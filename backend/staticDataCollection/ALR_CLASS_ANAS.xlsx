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bisericaru\Downloads\"/>
    </mc:Choice>
  </mc:AlternateContent>
  <xr:revisionPtr revIDLastSave="0" documentId="13_ncr:1_{5ABBF79F-800F-4846-A510-8E49C36FF349}" xr6:coauthVersionLast="47" xr6:coauthVersionMax="47" xr10:uidLastSave="{00000000-0000-0000-0000-000000000000}"/>
  <bookViews>
    <workbookView xWindow="-60" yWindow="-16320" windowWidth="29040" windowHeight="16440" firstSheet="3" activeTab="3" xr2:uid="{DC77C134-5AF7-40D7-AA3B-4D27D1216589}"/>
  </bookViews>
  <sheets>
    <sheet name="Classi allarmi RMT-STIG" sheetId="8" state="hidden" r:id="rId1"/>
    <sheet name="NEW-Allarmi" sheetId="5" state="hidden" r:id="rId2"/>
    <sheet name="Categorie Allarmi" sheetId="6" state="hidden" r:id="rId3"/>
    <sheet name="RIFERIMENTO" sheetId="11" r:id="rId4"/>
    <sheet name="Legenda colori" sheetId="12" r:id="rId5"/>
    <sheet name="EXPORT IRIS PROD 13-11-2024" sheetId="9" r:id="rId6"/>
    <sheet name="Tendine" sheetId="7" state="hidden" r:id="rId7"/>
  </sheets>
  <externalReferences>
    <externalReference r:id="rId8"/>
    <externalReference r:id="rId9"/>
  </externalReferences>
  <definedNames>
    <definedName name="_xlnm._FilterDatabase" localSheetId="2" hidden="1">'Categorie Allarmi'!$B$1:$C$47</definedName>
    <definedName name="_xlnm._FilterDatabase" localSheetId="0" hidden="1">'Classi allarmi RMT-STIG'!$A$1:$P$1034</definedName>
    <definedName name="_xlnm._FilterDatabase" localSheetId="5" hidden="1">'EXPORT IRIS PROD 13-11-2024'!$A$1:$O$1285</definedName>
    <definedName name="_xlnm._FilterDatabase" localSheetId="1" hidden="1">'NEW-Allarmi'!$A$1:$S$66</definedName>
    <definedName name="_xlnm._FilterDatabase" localSheetId="3" hidden="1">RIFERIMENTO!$A$1:$R$1135</definedName>
    <definedName name="Allarmi" localSheetId="0">'Classi allarmi RMT-STIG'!$E$1:$P$1014</definedName>
    <definedName name="Allarmi">#REF!</definedName>
    <definedName name="Modulo">OFFSET([1]Tendine!$B$3,0,0,COUNTA([1]Tendine!$B$3:$B$30),1)</definedName>
    <definedName name="Stato">OFFSET([1]Tendine!$P$3,0,0,COUNTA([1]Tendine!$P$3:$P$22),1)</definedName>
    <definedName name="Tecnologia">OFFSET([1]Tendine!$H$3,0,0,COUNTA([1]Tendine!$H$3:$H$29),1)</definedName>
    <definedName name="TecnologiaAID">OFFSET([1]Tendine!$L$3,0,0,COUNTA([1]Tendine!$L$3:$L$30),1)</definedName>
    <definedName name="TecnologiaLetturaTarghe">OFFSET([1]Tendine!$N$3,0,0,COUNTA([1]Tendine!$N$3:$N$30),1)</definedName>
    <definedName name="TecnologiaMeteo">OFFSET([1]Tendine!$J$3,0,0,COUNTA([1]Tendine!$J$3:$J$30),1)</definedName>
    <definedName name="TipoPP">OFFSET([1]Tendine!$F$3,0,0,COUNTA([1]Tendine!$F$3:$F$30),1)</definedName>
    <definedName name="WBSCluster">OFFSET([1]Tendine!$D$3,0,0,COUNTA([1]Tendine!$D$3:$D$30),1)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8" i="11" l="1"/>
  <c r="C1118" i="11" s="1"/>
  <c r="B1119" i="11"/>
  <c r="B1120" i="11"/>
  <c r="C1120" i="11" s="1"/>
  <c r="B1121" i="11"/>
  <c r="B1122" i="11"/>
  <c r="B1123" i="11"/>
  <c r="B1124" i="11"/>
  <c r="C1124" i="11" s="1"/>
  <c r="B1125" i="11"/>
  <c r="B1126" i="11"/>
  <c r="C1126" i="11" s="1"/>
  <c r="B1127" i="11"/>
  <c r="B1128" i="11"/>
  <c r="C1128" i="11" s="1"/>
  <c r="B1129" i="11"/>
  <c r="B1130" i="11"/>
  <c r="B1131" i="11"/>
  <c r="B1132" i="11"/>
  <c r="C1132" i="11" s="1"/>
  <c r="B1133" i="11"/>
  <c r="B1134" i="11"/>
  <c r="C1134" i="11" s="1"/>
  <c r="B1135" i="11"/>
  <c r="C1127" i="11" l="1"/>
  <c r="C1131" i="11"/>
  <c r="C1125" i="11"/>
  <c r="C1130" i="11"/>
  <c r="C1121" i="11"/>
  <c r="C1122" i="11"/>
  <c r="C1135" i="11"/>
  <c r="C1129" i="11"/>
  <c r="C1119" i="11"/>
  <c r="C1133" i="11"/>
  <c r="C1123" i="11"/>
  <c r="B1035" i="11"/>
  <c r="C1035" i="11" s="1"/>
  <c r="E1035" i="11"/>
  <c r="F1035" i="11"/>
  <c r="B1036" i="11"/>
  <c r="C1036" i="11" s="1"/>
  <c r="E1036" i="11"/>
  <c r="F1036" i="11"/>
  <c r="B1037" i="11"/>
  <c r="C1037" i="11" s="1"/>
  <c r="E1037" i="11"/>
  <c r="F1037" i="11"/>
  <c r="B1038" i="11"/>
  <c r="E1038" i="11"/>
  <c r="F1038" i="11"/>
  <c r="B1039" i="11"/>
  <c r="C1039" i="11" s="1"/>
  <c r="E1039" i="11"/>
  <c r="F1039" i="11"/>
  <c r="B1040" i="11"/>
  <c r="C1040" i="11" s="1"/>
  <c r="E1040" i="11"/>
  <c r="F1040" i="11"/>
  <c r="B1041" i="11"/>
  <c r="C1041" i="11" s="1"/>
  <c r="E1041" i="11"/>
  <c r="F1041" i="11"/>
  <c r="B1042" i="11"/>
  <c r="C1042" i="11" s="1"/>
  <c r="E1042" i="11"/>
  <c r="F1042" i="11"/>
  <c r="B1043" i="11"/>
  <c r="C1043" i="11" s="1"/>
  <c r="E1043" i="11"/>
  <c r="F1043" i="11"/>
  <c r="B1044" i="11"/>
  <c r="C1044" i="11" s="1"/>
  <c r="E1044" i="11"/>
  <c r="F1044" i="11"/>
  <c r="B1045" i="11"/>
  <c r="C1045" i="11" s="1"/>
  <c r="E1045" i="11"/>
  <c r="F1045" i="11"/>
  <c r="B1046" i="11"/>
  <c r="C1046" i="11" s="1"/>
  <c r="E1046" i="11"/>
  <c r="F1046" i="11"/>
  <c r="B1047" i="11"/>
  <c r="E1047" i="11"/>
  <c r="F1047" i="11"/>
  <c r="B1048" i="11"/>
  <c r="C1048" i="11" s="1"/>
  <c r="E1048" i="11"/>
  <c r="F1048" i="11"/>
  <c r="B1049" i="11"/>
  <c r="C1049" i="11" s="1"/>
  <c r="E1049" i="11"/>
  <c r="F1049" i="11"/>
  <c r="B1050" i="11"/>
  <c r="E1050" i="11"/>
  <c r="F1050" i="11"/>
  <c r="B1051" i="11"/>
  <c r="C1051" i="11" s="1"/>
  <c r="E1051" i="11"/>
  <c r="F1051" i="11"/>
  <c r="B1052" i="11"/>
  <c r="C1052" i="11" s="1"/>
  <c r="E1052" i="11"/>
  <c r="F1052" i="11"/>
  <c r="B1053" i="11"/>
  <c r="C1053" i="11" s="1"/>
  <c r="E1053" i="11"/>
  <c r="F1053" i="11"/>
  <c r="B1054" i="11"/>
  <c r="C1054" i="11" s="1"/>
  <c r="E1054" i="11"/>
  <c r="F1054" i="11"/>
  <c r="B1055" i="11"/>
  <c r="C1055" i="11" s="1"/>
  <c r="E1055" i="11"/>
  <c r="F1055" i="11"/>
  <c r="B1056" i="11"/>
  <c r="C1056" i="11" s="1"/>
  <c r="E1056" i="11"/>
  <c r="F1056" i="11"/>
  <c r="B1057" i="11"/>
  <c r="C1057" i="11" s="1"/>
  <c r="E1057" i="11"/>
  <c r="F1057" i="11"/>
  <c r="B1058" i="11"/>
  <c r="C1058" i="11" s="1"/>
  <c r="E1058" i="11"/>
  <c r="F1058" i="11"/>
  <c r="B1059" i="11"/>
  <c r="C1059" i="11" s="1"/>
  <c r="E1059" i="11"/>
  <c r="F1059" i="11"/>
  <c r="B1060" i="11"/>
  <c r="C1060" i="11" s="1"/>
  <c r="E1060" i="11"/>
  <c r="F1060" i="11"/>
  <c r="B1061" i="11"/>
  <c r="C1061" i="11" s="1"/>
  <c r="E1061" i="11"/>
  <c r="F1061" i="11"/>
  <c r="B1062" i="11"/>
  <c r="C1062" i="11" s="1"/>
  <c r="E1062" i="11"/>
  <c r="F1062" i="11"/>
  <c r="B1063" i="11"/>
  <c r="C1063" i="11" s="1"/>
  <c r="E1063" i="11"/>
  <c r="F1063" i="11"/>
  <c r="B1064" i="11"/>
  <c r="C1064" i="11" s="1"/>
  <c r="E1064" i="11"/>
  <c r="F1064" i="11"/>
  <c r="B1065" i="11"/>
  <c r="C1065" i="11" s="1"/>
  <c r="E1065" i="11"/>
  <c r="F1065" i="11"/>
  <c r="B1066" i="11"/>
  <c r="C1066" i="11" s="1"/>
  <c r="E1066" i="11"/>
  <c r="F1066" i="11"/>
  <c r="B1067" i="11"/>
  <c r="C1067" i="11" s="1"/>
  <c r="E1067" i="11"/>
  <c r="F1067" i="11"/>
  <c r="B1068" i="11"/>
  <c r="E1068" i="11"/>
  <c r="F1068" i="11"/>
  <c r="B1069" i="11"/>
  <c r="C1069" i="11" s="1"/>
  <c r="E1069" i="11"/>
  <c r="F1069" i="11"/>
  <c r="B1070" i="11"/>
  <c r="C1070" i="11" s="1"/>
  <c r="E1070" i="11"/>
  <c r="F1070" i="11"/>
  <c r="B1071" i="11"/>
  <c r="C1071" i="11" s="1"/>
  <c r="E1071" i="11"/>
  <c r="F1071" i="11"/>
  <c r="B1072" i="11"/>
  <c r="C1072" i="11" s="1"/>
  <c r="E1072" i="11"/>
  <c r="F1072" i="11"/>
  <c r="B1073" i="11"/>
  <c r="C1073" i="11" s="1"/>
  <c r="E1073" i="11"/>
  <c r="F1073" i="11"/>
  <c r="B1074" i="11"/>
  <c r="C1074" i="11" s="1"/>
  <c r="E1074" i="11"/>
  <c r="F1074" i="11"/>
  <c r="B1075" i="11"/>
  <c r="C1075" i="11" s="1"/>
  <c r="E1075" i="11"/>
  <c r="F1075" i="11"/>
  <c r="B1076" i="11"/>
  <c r="C1076" i="11" s="1"/>
  <c r="E1076" i="11"/>
  <c r="F1076" i="11"/>
  <c r="B1077" i="11"/>
  <c r="E1077" i="11"/>
  <c r="F1077" i="11"/>
  <c r="B1078" i="11"/>
  <c r="C1078" i="11" s="1"/>
  <c r="E1078" i="11"/>
  <c r="F1078" i="11"/>
  <c r="B1079" i="11"/>
  <c r="C1079" i="11" s="1"/>
  <c r="E1079" i="11"/>
  <c r="F1079" i="11"/>
  <c r="B1080" i="11"/>
  <c r="E1080" i="11"/>
  <c r="F1080" i="11"/>
  <c r="B1081" i="11"/>
  <c r="C1081" i="11" s="1"/>
  <c r="E1081" i="11"/>
  <c r="F1081" i="11"/>
  <c r="B1082" i="11"/>
  <c r="C1082" i="11" s="1"/>
  <c r="E1082" i="11"/>
  <c r="F1082" i="11"/>
  <c r="B1083" i="11"/>
  <c r="C1083" i="11" s="1"/>
  <c r="E1083" i="11"/>
  <c r="F1083" i="11"/>
  <c r="B1084" i="11"/>
  <c r="C1084" i="11" s="1"/>
  <c r="E1084" i="11"/>
  <c r="F1084" i="11"/>
  <c r="B1085" i="11"/>
  <c r="C1085" i="11" s="1"/>
  <c r="E1085" i="11"/>
  <c r="F1085" i="11"/>
  <c r="B1086" i="11"/>
  <c r="E1086" i="11"/>
  <c r="F1086" i="11"/>
  <c r="B1087" i="11"/>
  <c r="C1087" i="11" s="1"/>
  <c r="E1087" i="11"/>
  <c r="F1087" i="11"/>
  <c r="B1088" i="11"/>
  <c r="C1088" i="11" s="1"/>
  <c r="E1088" i="11"/>
  <c r="F1088" i="11"/>
  <c r="B1089" i="11"/>
  <c r="C1089" i="11" s="1"/>
  <c r="E1089" i="11"/>
  <c r="F1089" i="11"/>
  <c r="B1090" i="11"/>
  <c r="C1090" i="11" s="1"/>
  <c r="E1090" i="11"/>
  <c r="F1090" i="11"/>
  <c r="B1091" i="11"/>
  <c r="C1091" i="11" s="1"/>
  <c r="E1091" i="11"/>
  <c r="F1091" i="11"/>
  <c r="B1092" i="11"/>
  <c r="C1092" i="11" s="1"/>
  <c r="E1092" i="11"/>
  <c r="F1092" i="11"/>
  <c r="B1093" i="11"/>
  <c r="C1093" i="11" s="1"/>
  <c r="E1093" i="11"/>
  <c r="F1093" i="11"/>
  <c r="B1094" i="11"/>
  <c r="C1094" i="11" s="1"/>
  <c r="E1094" i="11"/>
  <c r="F1094" i="11"/>
  <c r="B1095" i="11"/>
  <c r="E1095" i="11"/>
  <c r="F1095" i="11"/>
  <c r="B1096" i="11"/>
  <c r="C1096" i="11" s="1"/>
  <c r="E1096" i="11"/>
  <c r="F1096" i="11"/>
  <c r="B1097" i="11"/>
  <c r="C1097" i="11" s="1"/>
  <c r="E1097" i="11"/>
  <c r="F1097" i="11"/>
  <c r="B1098" i="11"/>
  <c r="E1098" i="11"/>
  <c r="F1098" i="11"/>
  <c r="B1099" i="11"/>
  <c r="C1099" i="11" s="1"/>
  <c r="E1099" i="11"/>
  <c r="F1099" i="11"/>
  <c r="B1100" i="11"/>
  <c r="E1100" i="11"/>
  <c r="F1100" i="11"/>
  <c r="B1101" i="11"/>
  <c r="E1101" i="11"/>
  <c r="F1101" i="11"/>
  <c r="B1102" i="11"/>
  <c r="C1102" i="11" s="1"/>
  <c r="E1102" i="11"/>
  <c r="F1102" i="11"/>
  <c r="B1103" i="11"/>
  <c r="C1103" i="11" s="1"/>
  <c r="E1103" i="11"/>
  <c r="F1103" i="11"/>
  <c r="B1104" i="11"/>
  <c r="C1104" i="11" s="1"/>
  <c r="E1104" i="11"/>
  <c r="F1104" i="11"/>
  <c r="B1105" i="11"/>
  <c r="C1105" i="11" s="1"/>
  <c r="E1105" i="11"/>
  <c r="F1105" i="11"/>
  <c r="B1106" i="11"/>
  <c r="C1106" i="11" s="1"/>
  <c r="E1106" i="11"/>
  <c r="F1106" i="11"/>
  <c r="B1107" i="11"/>
  <c r="C1107" i="11" s="1"/>
  <c r="E1107" i="11"/>
  <c r="F1107" i="11"/>
  <c r="B1108" i="11"/>
  <c r="C1108" i="11" s="1"/>
  <c r="E1108" i="11"/>
  <c r="F1108" i="11"/>
  <c r="B1109" i="11"/>
  <c r="C1109" i="11" s="1"/>
  <c r="E1109" i="11"/>
  <c r="F1109" i="11"/>
  <c r="B1110" i="11"/>
  <c r="C1110" i="11" s="1"/>
  <c r="E1110" i="11"/>
  <c r="F1110" i="11"/>
  <c r="B1111" i="11"/>
  <c r="C1111" i="11" s="1"/>
  <c r="E1111" i="11"/>
  <c r="F1111" i="11"/>
  <c r="B1112" i="11"/>
  <c r="C1112" i="11" s="1"/>
  <c r="E1112" i="11"/>
  <c r="F1112" i="11"/>
  <c r="B1113" i="11"/>
  <c r="E1113" i="11"/>
  <c r="F1113" i="11"/>
  <c r="B1114" i="11"/>
  <c r="C1114" i="11" s="1"/>
  <c r="E1114" i="11"/>
  <c r="F1114" i="11"/>
  <c r="B1115" i="11"/>
  <c r="C1115" i="11" s="1"/>
  <c r="E1115" i="11"/>
  <c r="F1115" i="11"/>
  <c r="B1116" i="11"/>
  <c r="C1116" i="11" s="1"/>
  <c r="E1116" i="11"/>
  <c r="F1116" i="11"/>
  <c r="B1117" i="11"/>
  <c r="C1117" i="11" s="1"/>
  <c r="E1117" i="11"/>
  <c r="F1117" i="11"/>
  <c r="P1083" i="11" a="1"/>
  <c r="P1083" i="11" s="1"/>
  <c r="P1082" i="11" a="1"/>
  <c r="P1082" i="11" s="1"/>
  <c r="P1081" i="11" a="1"/>
  <c r="P1081" i="11" s="1"/>
  <c r="P1080" i="11" a="1"/>
  <c r="P1080" i="11" s="1"/>
  <c r="P1079" i="11" a="1"/>
  <c r="P1079" i="11" s="1"/>
  <c r="P1077" i="11" a="1"/>
  <c r="P1077" i="11" s="1"/>
  <c r="P1074" i="11" a="1"/>
  <c r="P1074" i="11" s="1"/>
  <c r="P1073" i="11" a="1"/>
  <c r="P1073" i="11" s="1"/>
  <c r="P1072" i="11" a="1"/>
  <c r="P1072" i="11" s="1"/>
  <c r="F1034" i="11"/>
  <c r="E1034" i="11"/>
  <c r="B1034" i="11"/>
  <c r="C1034" i="11" s="1"/>
  <c r="F1033" i="11"/>
  <c r="E1033" i="11"/>
  <c r="B1033" i="11"/>
  <c r="C1033" i="11" s="1"/>
  <c r="F1032" i="11"/>
  <c r="E1032" i="11"/>
  <c r="B1032" i="11"/>
  <c r="C1032" i="11" s="1"/>
  <c r="F1031" i="11"/>
  <c r="E1031" i="11"/>
  <c r="B1031" i="11"/>
  <c r="C1031" i="11" s="1"/>
  <c r="F1030" i="11"/>
  <c r="E1030" i="11"/>
  <c r="B1030" i="11"/>
  <c r="C1030" i="11" s="1"/>
  <c r="F1029" i="11"/>
  <c r="E1029" i="11"/>
  <c r="B1029" i="11"/>
  <c r="C1029" i="11" s="1"/>
  <c r="F1028" i="11"/>
  <c r="E1028" i="11"/>
  <c r="B1028" i="11"/>
  <c r="C1028" i="11" s="1"/>
  <c r="F1027" i="11"/>
  <c r="E1027" i="11"/>
  <c r="B1027" i="11"/>
  <c r="C1027" i="11" s="1"/>
  <c r="F1026" i="11"/>
  <c r="E1026" i="11"/>
  <c r="B1026" i="11"/>
  <c r="C1026" i="11" s="1"/>
  <c r="F1025" i="11"/>
  <c r="E1025" i="11"/>
  <c r="B1025" i="11"/>
  <c r="C1025" i="11" s="1"/>
  <c r="F1024" i="11"/>
  <c r="E1024" i="11"/>
  <c r="B1024" i="11"/>
  <c r="C1024" i="11" s="1"/>
  <c r="F1023" i="11"/>
  <c r="E1023" i="11"/>
  <c r="B1023" i="11"/>
  <c r="F1022" i="11"/>
  <c r="E1022" i="11"/>
  <c r="B1022" i="11"/>
  <c r="F1021" i="11"/>
  <c r="E1021" i="11"/>
  <c r="B1021" i="11"/>
  <c r="C1021" i="11" s="1"/>
  <c r="F1020" i="11"/>
  <c r="E1020" i="11"/>
  <c r="B1020" i="11"/>
  <c r="C1020" i="11" s="1"/>
  <c r="F1019" i="11"/>
  <c r="E1019" i="11"/>
  <c r="B1019" i="11"/>
  <c r="C1019" i="11" s="1"/>
  <c r="F1018" i="11"/>
  <c r="E1018" i="11"/>
  <c r="B1018" i="11"/>
  <c r="C1018" i="11" s="1"/>
  <c r="F1017" i="11"/>
  <c r="E1017" i="11"/>
  <c r="B1017" i="11"/>
  <c r="F1016" i="11"/>
  <c r="E1016" i="11"/>
  <c r="B1016" i="11"/>
  <c r="C1016" i="11" s="1"/>
  <c r="F1015" i="11"/>
  <c r="E1015" i="11"/>
  <c r="B1015" i="11"/>
  <c r="C1015" i="11" s="1"/>
  <c r="F1014" i="11"/>
  <c r="E1014" i="11"/>
  <c r="B1014" i="11"/>
  <c r="C1014" i="11" s="1"/>
  <c r="F1013" i="11"/>
  <c r="E1013" i="11"/>
  <c r="B1013" i="11"/>
  <c r="C1013" i="11" s="1"/>
  <c r="F1012" i="11"/>
  <c r="E1012" i="11"/>
  <c r="B1012" i="11"/>
  <c r="C1012" i="11" s="1"/>
  <c r="F1011" i="11"/>
  <c r="E1011" i="11"/>
  <c r="B1011" i="11"/>
  <c r="C1011" i="11" s="1"/>
  <c r="F1010" i="11"/>
  <c r="E1010" i="11"/>
  <c r="B1010" i="11"/>
  <c r="F1009" i="11"/>
  <c r="E1009" i="11"/>
  <c r="B1009" i="11"/>
  <c r="C1009" i="11" s="1"/>
  <c r="F1008" i="11"/>
  <c r="E1008" i="11"/>
  <c r="B1008" i="11"/>
  <c r="C1008" i="11" s="1"/>
  <c r="F1007" i="11"/>
  <c r="E1007" i="11"/>
  <c r="B1007" i="11"/>
  <c r="C1007" i="11" s="1"/>
  <c r="F1006" i="11"/>
  <c r="E1006" i="11"/>
  <c r="B1006" i="11"/>
  <c r="C1006" i="11" s="1"/>
  <c r="F1005" i="11"/>
  <c r="E1005" i="11"/>
  <c r="B1005" i="11"/>
  <c r="F1004" i="11"/>
  <c r="E1004" i="11"/>
  <c r="B1004" i="11"/>
  <c r="C1004" i="11" s="1"/>
  <c r="F1003" i="11"/>
  <c r="E1003" i="11"/>
  <c r="B1003" i="11"/>
  <c r="C1003" i="11" s="1"/>
  <c r="F1002" i="11"/>
  <c r="E1002" i="11"/>
  <c r="B1002" i="11"/>
  <c r="C1002" i="11" s="1"/>
  <c r="F1001" i="11"/>
  <c r="E1001" i="11"/>
  <c r="B1001" i="11"/>
  <c r="C1001" i="11" s="1"/>
  <c r="F1000" i="11"/>
  <c r="E1000" i="11"/>
  <c r="B1000" i="11"/>
  <c r="C1000" i="11" s="1"/>
  <c r="F999" i="11"/>
  <c r="E999" i="11"/>
  <c r="B999" i="11"/>
  <c r="C999" i="11" s="1"/>
  <c r="F998" i="11"/>
  <c r="E998" i="11"/>
  <c r="B998" i="11"/>
  <c r="F997" i="11"/>
  <c r="E997" i="11"/>
  <c r="B997" i="11"/>
  <c r="C997" i="11" s="1"/>
  <c r="F996" i="11"/>
  <c r="E996" i="11"/>
  <c r="B996" i="11"/>
  <c r="C996" i="11" s="1"/>
  <c r="F995" i="11"/>
  <c r="E995" i="11"/>
  <c r="B995" i="11"/>
  <c r="C995" i="11" s="1"/>
  <c r="F994" i="11"/>
  <c r="E994" i="11"/>
  <c r="B994" i="11"/>
  <c r="C994" i="11" s="1"/>
  <c r="F993" i="11"/>
  <c r="E993" i="11"/>
  <c r="B993" i="11"/>
  <c r="F992" i="11"/>
  <c r="E992" i="11"/>
  <c r="B992" i="11"/>
  <c r="C992" i="11" s="1"/>
  <c r="F991" i="11"/>
  <c r="E991" i="11"/>
  <c r="B991" i="11"/>
  <c r="C991" i="11" s="1"/>
  <c r="F990" i="11"/>
  <c r="E990" i="11"/>
  <c r="B990" i="11"/>
  <c r="C990" i="11" s="1"/>
  <c r="F989" i="11"/>
  <c r="E989" i="11"/>
  <c r="B989" i="11"/>
  <c r="C989" i="11" s="1"/>
  <c r="F988" i="11"/>
  <c r="E988" i="11"/>
  <c r="B988" i="11"/>
  <c r="C988" i="11" s="1"/>
  <c r="F987" i="11"/>
  <c r="E987" i="11"/>
  <c r="B987" i="11"/>
  <c r="C987" i="11" s="1"/>
  <c r="F986" i="11"/>
  <c r="E986" i="11"/>
  <c r="B986" i="11"/>
  <c r="F985" i="11"/>
  <c r="E985" i="11"/>
  <c r="B985" i="11"/>
  <c r="C985" i="11" s="1"/>
  <c r="F984" i="11"/>
  <c r="E984" i="11"/>
  <c r="B984" i="11"/>
  <c r="C984" i="11" s="1"/>
  <c r="F983" i="11"/>
  <c r="E983" i="11"/>
  <c r="B983" i="11"/>
  <c r="C983" i="11" s="1"/>
  <c r="F982" i="11"/>
  <c r="E982" i="11"/>
  <c r="B982" i="11"/>
  <c r="C982" i="11" s="1"/>
  <c r="F981" i="11"/>
  <c r="E981" i="11"/>
  <c r="B981" i="11"/>
  <c r="F980" i="11"/>
  <c r="E980" i="11"/>
  <c r="B980" i="11"/>
  <c r="C980" i="11" s="1"/>
  <c r="F979" i="11"/>
  <c r="E979" i="11"/>
  <c r="B979" i="11"/>
  <c r="C979" i="11" s="1"/>
  <c r="F978" i="11"/>
  <c r="E978" i="11"/>
  <c r="B978" i="11"/>
  <c r="C978" i="11" s="1"/>
  <c r="F977" i="11"/>
  <c r="E977" i="11"/>
  <c r="B977" i="11"/>
  <c r="C977" i="11" s="1"/>
  <c r="F976" i="11"/>
  <c r="E976" i="11"/>
  <c r="B976" i="11"/>
  <c r="C976" i="11" s="1"/>
  <c r="F975" i="11"/>
  <c r="E975" i="11"/>
  <c r="B975" i="11"/>
  <c r="C975" i="11" s="1"/>
  <c r="F974" i="11"/>
  <c r="E974" i="11"/>
  <c r="B974" i="11"/>
  <c r="F973" i="11"/>
  <c r="E973" i="11"/>
  <c r="B973" i="11"/>
  <c r="C973" i="11" s="1"/>
  <c r="F972" i="11"/>
  <c r="E972" i="11"/>
  <c r="B972" i="11"/>
  <c r="C972" i="11" s="1"/>
  <c r="F971" i="11"/>
  <c r="E971" i="11"/>
  <c r="B971" i="11"/>
  <c r="C971" i="11" s="1"/>
  <c r="F970" i="11"/>
  <c r="E970" i="11"/>
  <c r="B970" i="11"/>
  <c r="C970" i="11" s="1"/>
  <c r="F969" i="11"/>
  <c r="E969" i="11"/>
  <c r="B969" i="11"/>
  <c r="F968" i="11"/>
  <c r="E968" i="11"/>
  <c r="B968" i="11"/>
  <c r="C968" i="11" s="1"/>
  <c r="F967" i="11"/>
  <c r="E967" i="11"/>
  <c r="B967" i="11"/>
  <c r="C967" i="11" s="1"/>
  <c r="F966" i="11"/>
  <c r="E966" i="11"/>
  <c r="B966" i="11"/>
  <c r="C966" i="11" s="1"/>
  <c r="F965" i="11"/>
  <c r="E965" i="11"/>
  <c r="B965" i="11"/>
  <c r="C965" i="11" s="1"/>
  <c r="F964" i="11"/>
  <c r="E964" i="11"/>
  <c r="B964" i="11"/>
  <c r="C964" i="11" s="1"/>
  <c r="F963" i="11"/>
  <c r="E963" i="11"/>
  <c r="B963" i="11"/>
  <c r="C963" i="11" s="1"/>
  <c r="F962" i="11"/>
  <c r="E962" i="11"/>
  <c r="B962" i="11"/>
  <c r="F961" i="11"/>
  <c r="E961" i="11"/>
  <c r="B961" i="11"/>
  <c r="C961" i="11" s="1"/>
  <c r="F960" i="11"/>
  <c r="E960" i="11"/>
  <c r="B960" i="11"/>
  <c r="C960" i="11" s="1"/>
  <c r="F959" i="11"/>
  <c r="E959" i="11"/>
  <c r="B959" i="11"/>
  <c r="C959" i="11" s="1"/>
  <c r="F958" i="11"/>
  <c r="E958" i="11"/>
  <c r="B958" i="11"/>
  <c r="C958" i="11" s="1"/>
  <c r="F957" i="11"/>
  <c r="E957" i="11"/>
  <c r="B957" i="11"/>
  <c r="F956" i="11"/>
  <c r="E956" i="11"/>
  <c r="B956" i="11"/>
  <c r="C956" i="11" s="1"/>
  <c r="F955" i="11"/>
  <c r="E955" i="11"/>
  <c r="B955" i="11"/>
  <c r="C955" i="11" s="1"/>
  <c r="F954" i="11"/>
  <c r="E954" i="11"/>
  <c r="B954" i="11"/>
  <c r="C954" i="11" s="1"/>
  <c r="F953" i="11"/>
  <c r="E953" i="11"/>
  <c r="B953" i="11"/>
  <c r="C953" i="11" s="1"/>
  <c r="F952" i="11"/>
  <c r="E952" i="11"/>
  <c r="B952" i="11"/>
  <c r="C952" i="11" s="1"/>
  <c r="F951" i="11"/>
  <c r="E951" i="11"/>
  <c r="B951" i="11"/>
  <c r="F950" i="11"/>
  <c r="E950" i="11"/>
  <c r="B950" i="11"/>
  <c r="F949" i="11"/>
  <c r="E949" i="11"/>
  <c r="B949" i="11"/>
  <c r="C949" i="11" s="1"/>
  <c r="F948" i="11"/>
  <c r="E948" i="11"/>
  <c r="B948" i="11"/>
  <c r="C948" i="11" s="1"/>
  <c r="F947" i="11"/>
  <c r="E947" i="11"/>
  <c r="B947" i="11"/>
  <c r="C947" i="11" s="1"/>
  <c r="F946" i="11"/>
  <c r="E946" i="11"/>
  <c r="B946" i="11"/>
  <c r="C946" i="11" s="1"/>
  <c r="F945" i="11"/>
  <c r="E945" i="11"/>
  <c r="B945" i="11"/>
  <c r="F944" i="11"/>
  <c r="E944" i="11"/>
  <c r="B944" i="11"/>
  <c r="C944" i="11" s="1"/>
  <c r="F943" i="11"/>
  <c r="E943" i="11"/>
  <c r="B943" i="11"/>
  <c r="C943" i="11" s="1"/>
  <c r="F942" i="11"/>
  <c r="E942" i="11"/>
  <c r="B942" i="11"/>
  <c r="C942" i="11" s="1"/>
  <c r="F941" i="11"/>
  <c r="E941" i="11"/>
  <c r="B941" i="11"/>
  <c r="C941" i="11" s="1"/>
  <c r="F940" i="11"/>
  <c r="E940" i="11"/>
  <c r="B940" i="11"/>
  <c r="C940" i="11" s="1"/>
  <c r="F939" i="11"/>
  <c r="E939" i="11"/>
  <c r="B939" i="11"/>
  <c r="C939" i="11" s="1"/>
  <c r="F938" i="11"/>
  <c r="E938" i="11"/>
  <c r="B938" i="11"/>
  <c r="F937" i="11"/>
  <c r="E937" i="11"/>
  <c r="B937" i="11"/>
  <c r="C937" i="11" s="1"/>
  <c r="F936" i="11"/>
  <c r="E936" i="11"/>
  <c r="B936" i="11"/>
  <c r="F935" i="11"/>
  <c r="E935" i="11"/>
  <c r="B935" i="11"/>
  <c r="C935" i="11" s="1"/>
  <c r="F934" i="11"/>
  <c r="E934" i="11"/>
  <c r="B934" i="11"/>
  <c r="C934" i="11" s="1"/>
  <c r="F933" i="11"/>
  <c r="E933" i="11"/>
  <c r="B933" i="11"/>
  <c r="F932" i="11"/>
  <c r="E932" i="11"/>
  <c r="B932" i="11"/>
  <c r="C932" i="11" s="1"/>
  <c r="F931" i="11"/>
  <c r="E931" i="11"/>
  <c r="B931" i="11"/>
  <c r="C931" i="11" s="1"/>
  <c r="F930" i="11"/>
  <c r="E930" i="11"/>
  <c r="B930" i="11"/>
  <c r="F929" i="11"/>
  <c r="E929" i="11"/>
  <c r="B929" i="11"/>
  <c r="C929" i="11" s="1"/>
  <c r="F928" i="11"/>
  <c r="E928" i="11"/>
  <c r="B928" i="11"/>
  <c r="C928" i="11" s="1"/>
  <c r="F927" i="11"/>
  <c r="E927" i="11"/>
  <c r="B927" i="11"/>
  <c r="C927" i="11" s="1"/>
  <c r="F926" i="11"/>
  <c r="E926" i="11"/>
  <c r="B926" i="11"/>
  <c r="F925" i="11"/>
  <c r="E925" i="11"/>
  <c r="B925" i="11"/>
  <c r="C925" i="11" s="1"/>
  <c r="F924" i="11"/>
  <c r="E924" i="11"/>
  <c r="B924" i="11"/>
  <c r="C924" i="11" s="1"/>
  <c r="F923" i="11"/>
  <c r="E923" i="11"/>
  <c r="B923" i="11"/>
  <c r="C923" i="11" s="1"/>
  <c r="F922" i="11"/>
  <c r="E922" i="11"/>
  <c r="B922" i="11"/>
  <c r="C922" i="11" s="1"/>
  <c r="F921" i="11"/>
  <c r="E921" i="11"/>
  <c r="B921" i="11"/>
  <c r="F920" i="11"/>
  <c r="E920" i="11"/>
  <c r="B920" i="11"/>
  <c r="C920" i="11" s="1"/>
  <c r="F919" i="11"/>
  <c r="E919" i="11"/>
  <c r="B919" i="11"/>
  <c r="C919" i="11" s="1"/>
  <c r="F918" i="11"/>
  <c r="E918" i="11"/>
  <c r="B918" i="11"/>
  <c r="C918" i="11" s="1"/>
  <c r="F917" i="11"/>
  <c r="E917" i="11"/>
  <c r="B917" i="11"/>
  <c r="C917" i="11" s="1"/>
  <c r="F916" i="11"/>
  <c r="E916" i="11"/>
  <c r="B916" i="11"/>
  <c r="C916" i="11" s="1"/>
  <c r="F915" i="11"/>
  <c r="E915" i="11"/>
  <c r="B915" i="11"/>
  <c r="F914" i="11"/>
  <c r="E914" i="11"/>
  <c r="B914" i="11"/>
  <c r="F913" i="11"/>
  <c r="E913" i="11"/>
  <c r="B913" i="11"/>
  <c r="C913" i="11" s="1"/>
  <c r="F912" i="11"/>
  <c r="E912" i="11"/>
  <c r="B912" i="11"/>
  <c r="C912" i="11" s="1"/>
  <c r="F911" i="11"/>
  <c r="E911" i="11"/>
  <c r="B911" i="11"/>
  <c r="C911" i="11" s="1"/>
  <c r="F910" i="11"/>
  <c r="E910" i="11"/>
  <c r="B910" i="11"/>
  <c r="C910" i="11" s="1"/>
  <c r="F909" i="11"/>
  <c r="E909" i="11"/>
  <c r="B909" i="11"/>
  <c r="F908" i="11"/>
  <c r="E908" i="11"/>
  <c r="B908" i="11"/>
  <c r="C908" i="11" s="1"/>
  <c r="F907" i="11"/>
  <c r="E907" i="11"/>
  <c r="B907" i="11"/>
  <c r="C907" i="11" s="1"/>
  <c r="F906" i="11"/>
  <c r="E906" i="11"/>
  <c r="B906" i="11"/>
  <c r="C906" i="11" s="1"/>
  <c r="F905" i="11"/>
  <c r="E905" i="11"/>
  <c r="B905" i="11"/>
  <c r="C905" i="11" s="1"/>
  <c r="F904" i="11"/>
  <c r="E904" i="11"/>
  <c r="B904" i="11"/>
  <c r="C904" i="11" s="1"/>
  <c r="F903" i="11"/>
  <c r="E903" i="11"/>
  <c r="B903" i="11"/>
  <c r="C903" i="11" s="1"/>
  <c r="F902" i="11"/>
  <c r="E902" i="11"/>
  <c r="B902" i="11"/>
  <c r="F901" i="11"/>
  <c r="E901" i="11"/>
  <c r="B901" i="11"/>
  <c r="C901" i="11" s="1"/>
  <c r="F900" i="11"/>
  <c r="E900" i="11"/>
  <c r="B900" i="11"/>
  <c r="C900" i="11" s="1"/>
  <c r="F899" i="11"/>
  <c r="E899" i="11"/>
  <c r="B899" i="11"/>
  <c r="C899" i="11" s="1"/>
  <c r="F898" i="11"/>
  <c r="E898" i="11"/>
  <c r="B898" i="11"/>
  <c r="C898" i="11" s="1"/>
  <c r="F897" i="11"/>
  <c r="E897" i="11"/>
  <c r="B897" i="11"/>
  <c r="F896" i="11"/>
  <c r="E896" i="11"/>
  <c r="B896" i="11"/>
  <c r="F895" i="11"/>
  <c r="E895" i="11"/>
  <c r="B895" i="11"/>
  <c r="C895" i="11" s="1"/>
  <c r="F894" i="11"/>
  <c r="E894" i="11"/>
  <c r="B894" i="11"/>
  <c r="C894" i="11" s="1"/>
  <c r="F893" i="11"/>
  <c r="E893" i="11"/>
  <c r="B893" i="11"/>
  <c r="C893" i="11" s="1"/>
  <c r="F892" i="11"/>
  <c r="E892" i="11"/>
  <c r="B892" i="11"/>
  <c r="F891" i="11"/>
  <c r="E891" i="11"/>
  <c r="B891" i="11"/>
  <c r="C891" i="11" s="1"/>
  <c r="F890" i="11"/>
  <c r="E890" i="11"/>
  <c r="B890" i="11"/>
  <c r="F889" i="11"/>
  <c r="E889" i="11"/>
  <c r="B889" i="11"/>
  <c r="C889" i="11" s="1"/>
  <c r="F888" i="11"/>
  <c r="E888" i="11"/>
  <c r="B888" i="11"/>
  <c r="C888" i="11" s="1"/>
  <c r="F887" i="11"/>
  <c r="E887" i="11"/>
  <c r="B887" i="11"/>
  <c r="C887" i="11" s="1"/>
  <c r="F886" i="11"/>
  <c r="E886" i="11"/>
  <c r="B886" i="11"/>
  <c r="C886" i="11" s="1"/>
  <c r="F885" i="11"/>
  <c r="E885" i="11"/>
  <c r="B885" i="11"/>
  <c r="F884" i="11"/>
  <c r="E884" i="11"/>
  <c r="B884" i="11"/>
  <c r="C884" i="11" s="1"/>
  <c r="F883" i="11"/>
  <c r="E883" i="11"/>
  <c r="B883" i="11"/>
  <c r="C883" i="11" s="1"/>
  <c r="F882" i="11"/>
  <c r="E882" i="11"/>
  <c r="B882" i="11"/>
  <c r="C882" i="11" s="1"/>
  <c r="F881" i="11"/>
  <c r="E881" i="11"/>
  <c r="B881" i="11"/>
  <c r="F880" i="11"/>
  <c r="E880" i="11"/>
  <c r="B880" i="11"/>
  <c r="C880" i="11" s="1"/>
  <c r="F879" i="11"/>
  <c r="E879" i="11"/>
  <c r="B879" i="11"/>
  <c r="C879" i="11" s="1"/>
  <c r="F878" i="11"/>
  <c r="E878" i="11"/>
  <c r="B878" i="11"/>
  <c r="F877" i="11"/>
  <c r="E877" i="11"/>
  <c r="B877" i="11"/>
  <c r="F876" i="11"/>
  <c r="E876" i="11"/>
  <c r="B876" i="11"/>
  <c r="C876" i="11" s="1"/>
  <c r="F875" i="11"/>
  <c r="E875" i="11"/>
  <c r="B875" i="11"/>
  <c r="C875" i="11" s="1"/>
  <c r="F874" i="11"/>
  <c r="E874" i="11"/>
  <c r="B874" i="11"/>
  <c r="C874" i="11" s="1"/>
  <c r="F873" i="11"/>
  <c r="E873" i="11"/>
  <c r="B873" i="11"/>
  <c r="F872" i="11"/>
  <c r="E872" i="11"/>
  <c r="B872" i="11"/>
  <c r="C872" i="11" s="1"/>
  <c r="F871" i="11"/>
  <c r="E871" i="11"/>
  <c r="B871" i="11"/>
  <c r="C871" i="11" s="1"/>
  <c r="F870" i="11"/>
  <c r="E870" i="11"/>
  <c r="B870" i="11"/>
  <c r="C870" i="11" s="1"/>
  <c r="F869" i="11"/>
  <c r="E869" i="11"/>
  <c r="B869" i="11"/>
  <c r="F868" i="11"/>
  <c r="E868" i="11"/>
  <c r="B868" i="11"/>
  <c r="C868" i="11" s="1"/>
  <c r="F867" i="11"/>
  <c r="E867" i="11"/>
  <c r="B867" i="11"/>
  <c r="F866" i="11"/>
  <c r="E866" i="11"/>
  <c r="B866" i="11"/>
  <c r="F865" i="11"/>
  <c r="E865" i="11"/>
  <c r="B865" i="11"/>
  <c r="C865" i="11" s="1"/>
  <c r="F864" i="11"/>
  <c r="E864" i="11"/>
  <c r="B864" i="11"/>
  <c r="F863" i="11"/>
  <c r="E863" i="11"/>
  <c r="B863" i="11"/>
  <c r="C863" i="11" s="1"/>
  <c r="F862" i="11"/>
  <c r="E862" i="11"/>
  <c r="B862" i="11"/>
  <c r="C862" i="11" s="1"/>
  <c r="F861" i="11"/>
  <c r="E861" i="11"/>
  <c r="B861" i="11"/>
  <c r="F860" i="11"/>
  <c r="E860" i="11"/>
  <c r="B860" i="11"/>
  <c r="C860" i="11" s="1"/>
  <c r="F859" i="11"/>
  <c r="E859" i="11"/>
  <c r="B859" i="11"/>
  <c r="C859" i="11" s="1"/>
  <c r="F858" i="11"/>
  <c r="E858" i="11"/>
  <c r="B858" i="11"/>
  <c r="C858" i="11" s="1"/>
  <c r="F857" i="11"/>
  <c r="E857" i="11"/>
  <c r="B857" i="11"/>
  <c r="C857" i="11" s="1"/>
  <c r="F856" i="11"/>
  <c r="E856" i="11"/>
  <c r="B856" i="11"/>
  <c r="C856" i="11" s="1"/>
  <c r="F855" i="11"/>
  <c r="E855" i="11"/>
  <c r="B855" i="11"/>
  <c r="C855" i="11" s="1"/>
  <c r="F854" i="11"/>
  <c r="E854" i="11"/>
  <c r="B854" i="11"/>
  <c r="F853" i="11"/>
  <c r="E853" i="11"/>
  <c r="B853" i="11"/>
  <c r="C853" i="11" s="1"/>
  <c r="F852" i="11"/>
  <c r="E852" i="11"/>
  <c r="B852" i="11"/>
  <c r="C852" i="11" s="1"/>
  <c r="F851" i="11"/>
  <c r="E851" i="11"/>
  <c r="B851" i="11"/>
  <c r="C851" i="11" s="1"/>
  <c r="F850" i="11"/>
  <c r="E850" i="11"/>
  <c r="B850" i="11"/>
  <c r="C850" i="11" s="1"/>
  <c r="F849" i="11"/>
  <c r="E849" i="11"/>
  <c r="B849" i="11"/>
  <c r="F848" i="11"/>
  <c r="E848" i="11"/>
  <c r="B848" i="11"/>
  <c r="C848" i="11" s="1"/>
  <c r="F847" i="11"/>
  <c r="E847" i="11"/>
  <c r="B847" i="11"/>
  <c r="C847" i="11" s="1"/>
  <c r="F846" i="11"/>
  <c r="E846" i="11"/>
  <c r="B846" i="11"/>
  <c r="F845" i="11"/>
  <c r="E845" i="11"/>
  <c r="B845" i="11"/>
  <c r="C845" i="11" s="1"/>
  <c r="F844" i="11"/>
  <c r="E844" i="11"/>
  <c r="B844" i="11"/>
  <c r="C844" i="11" s="1"/>
  <c r="F843" i="11"/>
  <c r="E843" i="11"/>
  <c r="B843" i="11"/>
  <c r="C843" i="11" s="1"/>
  <c r="F842" i="11"/>
  <c r="E842" i="11"/>
  <c r="B842" i="11"/>
  <c r="F841" i="11"/>
  <c r="E841" i="11"/>
  <c r="B841" i="11"/>
  <c r="C841" i="11" s="1"/>
  <c r="F840" i="11"/>
  <c r="E840" i="11"/>
  <c r="B840" i="11"/>
  <c r="C840" i="11" s="1"/>
  <c r="F839" i="11"/>
  <c r="E839" i="11"/>
  <c r="B839" i="11"/>
  <c r="C839" i="11" s="1"/>
  <c r="F838" i="11"/>
  <c r="E838" i="11"/>
  <c r="B838" i="11"/>
  <c r="C838" i="11" s="1"/>
  <c r="F837" i="11"/>
  <c r="E837" i="11"/>
  <c r="B837" i="11"/>
  <c r="F836" i="11"/>
  <c r="E836" i="11"/>
  <c r="B836" i="11"/>
  <c r="C836" i="11" s="1"/>
  <c r="F835" i="11"/>
  <c r="E835" i="11"/>
  <c r="B835" i="11"/>
  <c r="C835" i="11" s="1"/>
  <c r="F834" i="11"/>
  <c r="E834" i="11"/>
  <c r="B834" i="11"/>
  <c r="C834" i="11" s="1"/>
  <c r="F833" i="11"/>
  <c r="E833" i="11"/>
  <c r="B833" i="11"/>
  <c r="C833" i="11" s="1"/>
  <c r="F832" i="11"/>
  <c r="E832" i="11"/>
  <c r="B832" i="11"/>
  <c r="C832" i="11" s="1"/>
  <c r="F831" i="11"/>
  <c r="E831" i="11"/>
  <c r="B831" i="11"/>
  <c r="C831" i="11" s="1"/>
  <c r="F830" i="11"/>
  <c r="E830" i="11"/>
  <c r="B830" i="11"/>
  <c r="F829" i="11"/>
  <c r="E829" i="11"/>
  <c r="B829" i="11"/>
  <c r="F828" i="11"/>
  <c r="E828" i="11"/>
  <c r="B828" i="11"/>
  <c r="C828" i="11" s="1"/>
  <c r="F827" i="11"/>
  <c r="E827" i="11"/>
  <c r="B827" i="11"/>
  <c r="F826" i="11"/>
  <c r="E826" i="11"/>
  <c r="B826" i="11"/>
  <c r="C826" i="11" s="1"/>
  <c r="F825" i="11"/>
  <c r="E825" i="11"/>
  <c r="B825" i="11"/>
  <c r="F824" i="11"/>
  <c r="E824" i="11"/>
  <c r="B824" i="11"/>
  <c r="C824" i="11" s="1"/>
  <c r="F823" i="11"/>
  <c r="E823" i="11"/>
  <c r="B823" i="11"/>
  <c r="F822" i="11"/>
  <c r="E822" i="11"/>
  <c r="B822" i="11"/>
  <c r="F821" i="11"/>
  <c r="E821" i="11"/>
  <c r="B821" i="11"/>
  <c r="C821" i="11" s="1"/>
  <c r="F820" i="11"/>
  <c r="E820" i="11"/>
  <c r="B820" i="11"/>
  <c r="C820" i="11" s="1"/>
  <c r="F819" i="11"/>
  <c r="E819" i="11"/>
  <c r="B819" i="11"/>
  <c r="C819" i="11" s="1"/>
  <c r="F818" i="11"/>
  <c r="E818" i="11"/>
  <c r="B818" i="11"/>
  <c r="F817" i="11"/>
  <c r="E817" i="11"/>
  <c r="B817" i="11"/>
  <c r="C817" i="11" s="1"/>
  <c r="F816" i="11"/>
  <c r="E816" i="11"/>
  <c r="B816" i="11"/>
  <c r="C816" i="11" s="1"/>
  <c r="F815" i="11"/>
  <c r="E815" i="11"/>
  <c r="B815" i="11"/>
  <c r="C815" i="11" s="1"/>
  <c r="F814" i="11"/>
  <c r="E814" i="11"/>
  <c r="B814" i="11"/>
  <c r="C814" i="11" s="1"/>
  <c r="F813" i="11"/>
  <c r="E813" i="11"/>
  <c r="B813" i="11"/>
  <c r="F812" i="11"/>
  <c r="E812" i="11"/>
  <c r="B812" i="11"/>
  <c r="C812" i="11" s="1"/>
  <c r="F811" i="11"/>
  <c r="E811" i="11"/>
  <c r="B811" i="11"/>
  <c r="C811" i="11" s="1"/>
  <c r="F810" i="11"/>
  <c r="E810" i="11"/>
  <c r="B810" i="11"/>
  <c r="F809" i="11"/>
  <c r="E809" i="11"/>
  <c r="B809" i="11"/>
  <c r="C809" i="11" s="1"/>
  <c r="F808" i="11"/>
  <c r="E808" i="11"/>
  <c r="B808" i="11"/>
  <c r="F807" i="11"/>
  <c r="E807" i="11"/>
  <c r="B807" i="11"/>
  <c r="C807" i="11" s="1"/>
  <c r="F806" i="11"/>
  <c r="E806" i="11"/>
  <c r="B806" i="11"/>
  <c r="F805" i="11"/>
  <c r="E805" i="11"/>
  <c r="B805" i="11"/>
  <c r="C805" i="11" s="1"/>
  <c r="F804" i="11"/>
  <c r="E804" i="11"/>
  <c r="B804" i="11"/>
  <c r="F803" i="11"/>
  <c r="E803" i="11"/>
  <c r="B803" i="11"/>
  <c r="C803" i="11" s="1"/>
  <c r="F802" i="11"/>
  <c r="E802" i="11"/>
  <c r="B802" i="11"/>
  <c r="C802" i="11" s="1"/>
  <c r="F801" i="11"/>
  <c r="E801" i="11"/>
  <c r="B801" i="11"/>
  <c r="F800" i="11"/>
  <c r="E800" i="11"/>
  <c r="B800" i="11"/>
  <c r="C800" i="11" s="1"/>
  <c r="F799" i="11"/>
  <c r="E799" i="11"/>
  <c r="B799" i="11"/>
  <c r="C799" i="11" s="1"/>
  <c r="F798" i="11"/>
  <c r="E798" i="11"/>
  <c r="B798" i="11"/>
  <c r="C798" i="11" s="1"/>
  <c r="F797" i="11"/>
  <c r="E797" i="11"/>
  <c r="B797" i="11"/>
  <c r="C797" i="11" s="1"/>
  <c r="F796" i="11"/>
  <c r="E796" i="11"/>
  <c r="B796" i="11"/>
  <c r="C796" i="11" s="1"/>
  <c r="F795" i="11"/>
  <c r="E795" i="11"/>
  <c r="B795" i="11"/>
  <c r="F794" i="11"/>
  <c r="E794" i="11"/>
  <c r="B794" i="11"/>
  <c r="F793" i="11"/>
  <c r="E793" i="11"/>
  <c r="B793" i="11"/>
  <c r="C793" i="11" s="1"/>
  <c r="F792" i="11"/>
  <c r="E792" i="11"/>
  <c r="B792" i="11"/>
  <c r="F791" i="11"/>
  <c r="E791" i="11"/>
  <c r="B791" i="11"/>
  <c r="C791" i="11" s="1"/>
  <c r="F790" i="11"/>
  <c r="E790" i="11"/>
  <c r="B790" i="11"/>
  <c r="C790" i="11" s="1"/>
  <c r="F789" i="11"/>
  <c r="E789" i="11"/>
  <c r="B789" i="11"/>
  <c r="F788" i="11"/>
  <c r="E788" i="11"/>
  <c r="B788" i="11"/>
  <c r="C788" i="11" s="1"/>
  <c r="F787" i="11"/>
  <c r="E787" i="11"/>
  <c r="B787" i="11"/>
  <c r="C787" i="11" s="1"/>
  <c r="F786" i="11"/>
  <c r="E786" i="11"/>
  <c r="B786" i="11"/>
  <c r="F785" i="11"/>
  <c r="E785" i="11"/>
  <c r="B785" i="11"/>
  <c r="C785" i="11" s="1"/>
  <c r="F784" i="11"/>
  <c r="E784" i="11"/>
  <c r="B784" i="11"/>
  <c r="C784" i="11" s="1"/>
  <c r="F783" i="11"/>
  <c r="E783" i="11"/>
  <c r="B783" i="11"/>
  <c r="C783" i="11" s="1"/>
  <c r="F782" i="11"/>
  <c r="E782" i="11"/>
  <c r="B782" i="11"/>
  <c r="F781" i="11"/>
  <c r="E781" i="11"/>
  <c r="B781" i="11"/>
  <c r="C781" i="11" s="1"/>
  <c r="F780" i="11"/>
  <c r="E780" i="11"/>
  <c r="B780" i="11"/>
  <c r="C780" i="11" s="1"/>
  <c r="F779" i="11"/>
  <c r="E779" i="11"/>
  <c r="B779" i="11"/>
  <c r="F778" i="11"/>
  <c r="E778" i="11"/>
  <c r="B778" i="11"/>
  <c r="F777" i="11"/>
  <c r="E777" i="11"/>
  <c r="B777" i="11"/>
  <c r="F776" i="11"/>
  <c r="E776" i="11"/>
  <c r="B776" i="11"/>
  <c r="F775" i="11"/>
  <c r="E775" i="11"/>
  <c r="B775" i="11"/>
  <c r="F774" i="11"/>
  <c r="E774" i="11"/>
  <c r="B774" i="11"/>
  <c r="C774" i="11" s="1"/>
  <c r="F773" i="11"/>
  <c r="E773" i="11"/>
  <c r="B773" i="11"/>
  <c r="F772" i="11"/>
  <c r="E772" i="11"/>
  <c r="B772" i="11"/>
  <c r="F771" i="11"/>
  <c r="E771" i="11"/>
  <c r="B771" i="11"/>
  <c r="C771" i="11" s="1"/>
  <c r="F770" i="11"/>
  <c r="E770" i="11"/>
  <c r="B770" i="11"/>
  <c r="F769" i="11"/>
  <c r="E769" i="11"/>
  <c r="B769" i="11"/>
  <c r="C769" i="11" s="1"/>
  <c r="F768" i="11"/>
  <c r="E768" i="11"/>
  <c r="B768" i="11"/>
  <c r="F767" i="11"/>
  <c r="E767" i="11"/>
  <c r="B767" i="11"/>
  <c r="F766" i="11"/>
  <c r="E766" i="11"/>
  <c r="B766" i="11"/>
  <c r="F765" i="11"/>
  <c r="E765" i="11"/>
  <c r="B765" i="11"/>
  <c r="F764" i="11"/>
  <c r="E764" i="11"/>
  <c r="B764" i="11"/>
  <c r="F763" i="11"/>
  <c r="E763" i="11"/>
  <c r="B763" i="11"/>
  <c r="F762" i="11"/>
  <c r="E762" i="11"/>
  <c r="B762" i="11"/>
  <c r="C762" i="11" s="1"/>
  <c r="F761" i="11"/>
  <c r="E761" i="11"/>
  <c r="B761" i="11"/>
  <c r="F760" i="11"/>
  <c r="E760" i="11"/>
  <c r="B760" i="11"/>
  <c r="F759" i="11"/>
  <c r="E759" i="11"/>
  <c r="B759" i="11"/>
  <c r="C759" i="11" s="1"/>
  <c r="F758" i="11"/>
  <c r="E758" i="11"/>
  <c r="B758" i="11"/>
  <c r="F757" i="11"/>
  <c r="E757" i="11"/>
  <c r="B757" i="11"/>
  <c r="F756" i="11"/>
  <c r="E756" i="11"/>
  <c r="B756" i="11"/>
  <c r="C756" i="11" s="1"/>
  <c r="F755" i="11"/>
  <c r="E755" i="11"/>
  <c r="B755" i="11"/>
  <c r="F754" i="11"/>
  <c r="E754" i="11"/>
  <c r="B754" i="11"/>
  <c r="F753" i="11"/>
  <c r="E753" i="11"/>
  <c r="B753" i="11"/>
  <c r="F752" i="11"/>
  <c r="E752" i="11"/>
  <c r="B752" i="11"/>
  <c r="F751" i="11"/>
  <c r="E751" i="11"/>
  <c r="B751" i="11"/>
  <c r="F750" i="11"/>
  <c r="E750" i="11"/>
  <c r="B750" i="11"/>
  <c r="C750" i="11" s="1"/>
  <c r="F749" i="11"/>
  <c r="E749" i="11"/>
  <c r="B749" i="11"/>
  <c r="F748" i="11"/>
  <c r="E748" i="11"/>
  <c r="B748" i="11"/>
  <c r="F747" i="11"/>
  <c r="E747" i="11"/>
  <c r="B747" i="11"/>
  <c r="F746" i="11"/>
  <c r="E746" i="11"/>
  <c r="B746" i="11"/>
  <c r="F745" i="11"/>
  <c r="E745" i="11"/>
  <c r="B745" i="11"/>
  <c r="F744" i="11"/>
  <c r="E744" i="11"/>
  <c r="B744" i="11"/>
  <c r="C744" i="11" s="1"/>
  <c r="F743" i="11"/>
  <c r="E743" i="11"/>
  <c r="B743" i="11"/>
  <c r="F742" i="11"/>
  <c r="E742" i="11"/>
  <c r="B742" i="11"/>
  <c r="F741" i="11"/>
  <c r="E741" i="11"/>
  <c r="B741" i="11"/>
  <c r="F740" i="11"/>
  <c r="E740" i="11"/>
  <c r="B740" i="11"/>
  <c r="F739" i="11"/>
  <c r="E739" i="11"/>
  <c r="B739" i="11"/>
  <c r="C739" i="11" s="1"/>
  <c r="F738" i="11"/>
  <c r="E738" i="11"/>
  <c r="B738" i="11"/>
  <c r="C738" i="11" s="1"/>
  <c r="F737" i="11"/>
  <c r="E737" i="11"/>
  <c r="B737" i="11"/>
  <c r="F736" i="11"/>
  <c r="E736" i="11"/>
  <c r="B736" i="11"/>
  <c r="F735" i="11"/>
  <c r="E735" i="11"/>
  <c r="B735" i="11"/>
  <c r="C735" i="11" s="1"/>
  <c r="F734" i="11"/>
  <c r="E734" i="11"/>
  <c r="B734" i="11"/>
  <c r="F733" i="11"/>
  <c r="E733" i="11"/>
  <c r="B733" i="11"/>
  <c r="C733" i="11" s="1"/>
  <c r="F732" i="11"/>
  <c r="E732" i="11"/>
  <c r="B732" i="11"/>
  <c r="F731" i="11"/>
  <c r="E731" i="11"/>
  <c r="B731" i="11"/>
  <c r="F730" i="11"/>
  <c r="E730" i="11"/>
  <c r="B730" i="11"/>
  <c r="F729" i="11"/>
  <c r="E729" i="11"/>
  <c r="B729" i="11"/>
  <c r="F728" i="11"/>
  <c r="E728" i="11"/>
  <c r="B728" i="11"/>
  <c r="F727" i="11"/>
  <c r="E727" i="11"/>
  <c r="B727" i="11"/>
  <c r="F726" i="11"/>
  <c r="E726" i="11"/>
  <c r="B726" i="11"/>
  <c r="C726" i="11" s="1"/>
  <c r="F725" i="11"/>
  <c r="E725" i="11"/>
  <c r="B725" i="11"/>
  <c r="F724" i="11"/>
  <c r="E724" i="11"/>
  <c r="B724" i="11"/>
  <c r="F723" i="11"/>
  <c r="E723" i="11"/>
  <c r="B723" i="11"/>
  <c r="C723" i="11" s="1"/>
  <c r="F722" i="11"/>
  <c r="E722" i="11"/>
  <c r="B722" i="11"/>
  <c r="F721" i="11"/>
  <c r="E721" i="11"/>
  <c r="B721" i="11"/>
  <c r="F720" i="11"/>
  <c r="E720" i="11"/>
  <c r="B720" i="11"/>
  <c r="C720" i="11" s="1"/>
  <c r="F719" i="11"/>
  <c r="E719" i="11"/>
  <c r="B719" i="11"/>
  <c r="F718" i="11"/>
  <c r="E718" i="11"/>
  <c r="B718" i="11"/>
  <c r="F717" i="11"/>
  <c r="E717" i="11"/>
  <c r="B717" i="11"/>
  <c r="F716" i="11"/>
  <c r="E716" i="11"/>
  <c r="B716" i="11"/>
  <c r="F715" i="11"/>
  <c r="E715" i="11"/>
  <c r="B715" i="11"/>
  <c r="F714" i="11"/>
  <c r="E714" i="11"/>
  <c r="B714" i="11"/>
  <c r="C714" i="11" s="1"/>
  <c r="F713" i="11"/>
  <c r="E713" i="11"/>
  <c r="B713" i="11"/>
  <c r="F712" i="11"/>
  <c r="E712" i="11"/>
  <c r="B712" i="11"/>
  <c r="F711" i="11"/>
  <c r="E711" i="11"/>
  <c r="B711" i="11"/>
  <c r="F710" i="11"/>
  <c r="E710" i="11"/>
  <c r="B710" i="11"/>
  <c r="F709" i="11"/>
  <c r="E709" i="11"/>
  <c r="B709" i="11"/>
  <c r="F708" i="11"/>
  <c r="E708" i="11"/>
  <c r="B708" i="11"/>
  <c r="C708" i="11" s="1"/>
  <c r="F707" i="11"/>
  <c r="E707" i="11"/>
  <c r="B707" i="11"/>
  <c r="F706" i="11"/>
  <c r="E706" i="11"/>
  <c r="B706" i="11"/>
  <c r="F705" i="11"/>
  <c r="E705" i="11"/>
  <c r="B705" i="11"/>
  <c r="F704" i="11"/>
  <c r="E704" i="11"/>
  <c r="B704" i="11"/>
  <c r="F703" i="11"/>
  <c r="E703" i="11"/>
  <c r="B703" i="11"/>
  <c r="C703" i="11" s="1"/>
  <c r="F702" i="11"/>
  <c r="E702" i="11"/>
  <c r="B702" i="11"/>
  <c r="C702" i="11" s="1"/>
  <c r="F701" i="11"/>
  <c r="E701" i="11"/>
  <c r="B701" i="11"/>
  <c r="F700" i="11"/>
  <c r="E700" i="11"/>
  <c r="B700" i="11"/>
  <c r="F699" i="11"/>
  <c r="E699" i="11"/>
  <c r="B699" i="11"/>
  <c r="F698" i="11"/>
  <c r="E698" i="11"/>
  <c r="B698" i="11"/>
  <c r="F697" i="11"/>
  <c r="E697" i="11"/>
  <c r="B697" i="11"/>
  <c r="F696" i="11"/>
  <c r="E696" i="11"/>
  <c r="B696" i="11"/>
  <c r="F695" i="11"/>
  <c r="E695" i="11"/>
  <c r="B695" i="11"/>
  <c r="F694" i="11"/>
  <c r="E694" i="11"/>
  <c r="B694" i="11"/>
  <c r="F693" i="11"/>
  <c r="E693" i="11"/>
  <c r="B693" i="11"/>
  <c r="F692" i="11"/>
  <c r="E692" i="11"/>
  <c r="B692" i="11"/>
  <c r="F691" i="11"/>
  <c r="E691" i="11"/>
  <c r="B691" i="11"/>
  <c r="F690" i="11"/>
  <c r="E690" i="11"/>
  <c r="B690" i="11"/>
  <c r="C690" i="11" s="1"/>
  <c r="F689" i="11"/>
  <c r="E689" i="11"/>
  <c r="B689" i="11"/>
  <c r="F688" i="11"/>
  <c r="E688" i="11"/>
  <c r="B688" i="11"/>
  <c r="F687" i="11"/>
  <c r="E687" i="11"/>
  <c r="B687" i="11"/>
  <c r="C687" i="11" s="1"/>
  <c r="F686" i="11"/>
  <c r="E686" i="11"/>
  <c r="B686" i="11"/>
  <c r="F685" i="11"/>
  <c r="E685" i="11"/>
  <c r="B685" i="11"/>
  <c r="F684" i="11"/>
  <c r="E684" i="11"/>
  <c r="B684" i="11"/>
  <c r="C684" i="11" s="1"/>
  <c r="F683" i="11"/>
  <c r="E683" i="11"/>
  <c r="B683" i="11"/>
  <c r="F682" i="11"/>
  <c r="E682" i="11"/>
  <c r="B682" i="11"/>
  <c r="F681" i="11"/>
  <c r="E681" i="11"/>
  <c r="B681" i="11"/>
  <c r="F680" i="11"/>
  <c r="E680" i="11"/>
  <c r="B680" i="11"/>
  <c r="F679" i="11"/>
  <c r="E679" i="11"/>
  <c r="B679" i="11"/>
  <c r="F678" i="11"/>
  <c r="E678" i="11"/>
  <c r="B678" i="11"/>
  <c r="C678" i="11" s="1"/>
  <c r="F677" i="11"/>
  <c r="E677" i="11"/>
  <c r="B677" i="11"/>
  <c r="F676" i="11"/>
  <c r="E676" i="11"/>
  <c r="B676" i="11"/>
  <c r="F675" i="11"/>
  <c r="E675" i="11"/>
  <c r="B675" i="11"/>
  <c r="F674" i="11"/>
  <c r="E674" i="11"/>
  <c r="B674" i="11"/>
  <c r="F673" i="11"/>
  <c r="E673" i="11"/>
  <c r="B673" i="11"/>
  <c r="F672" i="11"/>
  <c r="E672" i="11"/>
  <c r="B672" i="11"/>
  <c r="C672" i="11" s="1"/>
  <c r="F671" i="11"/>
  <c r="E671" i="11"/>
  <c r="B671" i="11"/>
  <c r="F670" i="11"/>
  <c r="E670" i="11"/>
  <c r="B670" i="11"/>
  <c r="F669" i="11"/>
  <c r="E669" i="11"/>
  <c r="B669" i="11"/>
  <c r="F668" i="11"/>
  <c r="E668" i="11"/>
  <c r="B668" i="11"/>
  <c r="F667" i="11"/>
  <c r="E667" i="11"/>
  <c r="B667" i="11"/>
  <c r="F666" i="11"/>
  <c r="E666" i="11"/>
  <c r="B666" i="11"/>
  <c r="C666" i="11" s="1"/>
  <c r="F665" i="11"/>
  <c r="E665" i="11"/>
  <c r="B665" i="11"/>
  <c r="F664" i="11"/>
  <c r="E664" i="11"/>
  <c r="B664" i="11"/>
  <c r="F663" i="11"/>
  <c r="E663" i="11"/>
  <c r="B663" i="11"/>
  <c r="F662" i="11"/>
  <c r="E662" i="11"/>
  <c r="B662" i="11"/>
  <c r="F661" i="11"/>
  <c r="E661" i="11"/>
  <c r="B661" i="11"/>
  <c r="C661" i="11" s="1"/>
  <c r="F660" i="11"/>
  <c r="E660" i="11"/>
  <c r="B660" i="11"/>
  <c r="F659" i="11"/>
  <c r="E659" i="11"/>
  <c r="B659" i="11"/>
  <c r="F658" i="11"/>
  <c r="E658" i="11"/>
  <c r="B658" i="11"/>
  <c r="F657" i="11"/>
  <c r="E657" i="11"/>
  <c r="B657" i="11"/>
  <c r="F656" i="11"/>
  <c r="E656" i="11"/>
  <c r="B656" i="11"/>
  <c r="F655" i="11"/>
  <c r="E655" i="11"/>
  <c r="B655" i="11"/>
  <c r="F654" i="11"/>
  <c r="E654" i="11"/>
  <c r="B654" i="11"/>
  <c r="C654" i="11" s="1"/>
  <c r="F653" i="11"/>
  <c r="E653" i="11"/>
  <c r="B653" i="11"/>
  <c r="F652" i="11"/>
  <c r="E652" i="11"/>
  <c r="B652" i="11"/>
  <c r="F651" i="11"/>
  <c r="E651" i="11"/>
  <c r="B651" i="11"/>
  <c r="C651" i="11" s="1"/>
  <c r="F650" i="11"/>
  <c r="E650" i="11"/>
  <c r="B650" i="11"/>
  <c r="F649" i="11"/>
  <c r="E649" i="11"/>
  <c r="B649" i="11"/>
  <c r="F648" i="11"/>
  <c r="E648" i="11"/>
  <c r="B648" i="11"/>
  <c r="C648" i="11" s="1"/>
  <c r="F647" i="11"/>
  <c r="E647" i="11"/>
  <c r="B647" i="11"/>
  <c r="F646" i="11"/>
  <c r="E646" i="11"/>
  <c r="B646" i="11"/>
  <c r="F645" i="11"/>
  <c r="E645" i="11"/>
  <c r="B645" i="11"/>
  <c r="F644" i="11"/>
  <c r="E644" i="11"/>
  <c r="B644" i="11"/>
  <c r="F643" i="11"/>
  <c r="E643" i="11"/>
  <c r="B643" i="11"/>
  <c r="C643" i="11" s="1"/>
  <c r="F642" i="11"/>
  <c r="E642" i="11"/>
  <c r="B642" i="11"/>
  <c r="C642" i="11" s="1"/>
  <c r="F641" i="11"/>
  <c r="E641" i="11"/>
  <c r="B641" i="11"/>
  <c r="F640" i="11"/>
  <c r="E640" i="11"/>
  <c r="B640" i="11"/>
  <c r="F639" i="11"/>
  <c r="E639" i="11"/>
  <c r="B639" i="11"/>
  <c r="F638" i="11"/>
  <c r="E638" i="11"/>
  <c r="B638" i="11"/>
  <c r="F637" i="11"/>
  <c r="E637" i="11"/>
  <c r="B637" i="11"/>
  <c r="F636" i="11"/>
  <c r="E636" i="11"/>
  <c r="B636" i="11"/>
  <c r="C636" i="11" s="1"/>
  <c r="F635" i="11"/>
  <c r="E635" i="11"/>
  <c r="B635" i="11"/>
  <c r="F634" i="11"/>
  <c r="E634" i="11"/>
  <c r="B634" i="11"/>
  <c r="F633" i="11"/>
  <c r="E633" i="11"/>
  <c r="B633" i="11"/>
  <c r="F632" i="11"/>
  <c r="E632" i="11"/>
  <c r="B632" i="11"/>
  <c r="F631" i="11"/>
  <c r="E631" i="11"/>
  <c r="B631" i="11"/>
  <c r="F630" i="11"/>
  <c r="E630" i="11"/>
  <c r="B630" i="11"/>
  <c r="C630" i="11" s="1"/>
  <c r="F629" i="11"/>
  <c r="E629" i="11"/>
  <c r="B629" i="11"/>
  <c r="F628" i="11"/>
  <c r="E628" i="11"/>
  <c r="B628" i="11"/>
  <c r="F627" i="11"/>
  <c r="E627" i="11"/>
  <c r="B627" i="11"/>
  <c r="F626" i="11"/>
  <c r="E626" i="11"/>
  <c r="B626" i="11"/>
  <c r="F625" i="11"/>
  <c r="E625" i="11"/>
  <c r="B625" i="11"/>
  <c r="C625" i="11" s="1"/>
  <c r="F624" i="11"/>
  <c r="E624" i="11"/>
  <c r="B624" i="11"/>
  <c r="F623" i="11"/>
  <c r="E623" i="11"/>
  <c r="B623" i="11"/>
  <c r="F622" i="11"/>
  <c r="E622" i="11"/>
  <c r="B622" i="11"/>
  <c r="F621" i="11"/>
  <c r="E621" i="11"/>
  <c r="B621" i="11"/>
  <c r="F620" i="11"/>
  <c r="E620" i="11"/>
  <c r="B620" i="11"/>
  <c r="F619" i="11"/>
  <c r="E619" i="11"/>
  <c r="B619" i="11"/>
  <c r="F618" i="11"/>
  <c r="E618" i="11"/>
  <c r="B618" i="11"/>
  <c r="C618" i="11" s="1"/>
  <c r="F617" i="11"/>
  <c r="E617" i="11"/>
  <c r="B617" i="11"/>
  <c r="F616" i="11"/>
  <c r="E616" i="11"/>
  <c r="B616" i="11"/>
  <c r="F615" i="11"/>
  <c r="E615" i="11"/>
  <c r="B615" i="11"/>
  <c r="C615" i="11" s="1"/>
  <c r="F614" i="11"/>
  <c r="E614" i="11"/>
  <c r="B614" i="11"/>
  <c r="F613" i="11"/>
  <c r="E613" i="11"/>
  <c r="B613" i="11"/>
  <c r="F612" i="11"/>
  <c r="E612" i="11"/>
  <c r="B612" i="11"/>
  <c r="C612" i="11" s="1"/>
  <c r="F611" i="11"/>
  <c r="E611" i="11"/>
  <c r="B611" i="11"/>
  <c r="F610" i="11"/>
  <c r="E610" i="11"/>
  <c r="B610" i="11"/>
  <c r="F609" i="11"/>
  <c r="E609" i="11"/>
  <c r="B609" i="11"/>
  <c r="F608" i="11"/>
  <c r="E608" i="11"/>
  <c r="B608" i="11"/>
  <c r="F607" i="11"/>
  <c r="E607" i="11"/>
  <c r="B607" i="11"/>
  <c r="F606" i="11"/>
  <c r="E606" i="11"/>
  <c r="B606" i="11"/>
  <c r="C606" i="11" s="1"/>
  <c r="F605" i="11"/>
  <c r="E605" i="11"/>
  <c r="B605" i="11"/>
  <c r="F604" i="11"/>
  <c r="E604" i="11"/>
  <c r="B604" i="11"/>
  <c r="F603" i="11"/>
  <c r="E603" i="11"/>
  <c r="B603" i="11"/>
  <c r="F602" i="11"/>
  <c r="E602" i="11"/>
  <c r="B602" i="11"/>
  <c r="F601" i="11"/>
  <c r="E601" i="11"/>
  <c r="B601" i="11"/>
  <c r="F600" i="11"/>
  <c r="E600" i="11"/>
  <c r="B600" i="11"/>
  <c r="C600" i="11" s="1"/>
  <c r="F599" i="11"/>
  <c r="E599" i="11"/>
  <c r="B599" i="11"/>
  <c r="F598" i="11"/>
  <c r="E598" i="11"/>
  <c r="B598" i="11"/>
  <c r="F597" i="11"/>
  <c r="E597" i="11"/>
  <c r="B597" i="11"/>
  <c r="F596" i="11"/>
  <c r="E596" i="11"/>
  <c r="B596" i="11"/>
  <c r="F595" i="11"/>
  <c r="E595" i="11"/>
  <c r="B595" i="11"/>
  <c r="C595" i="11" s="1"/>
  <c r="F594" i="11"/>
  <c r="E594" i="11"/>
  <c r="B594" i="11"/>
  <c r="C594" i="11" s="1"/>
  <c r="F593" i="11"/>
  <c r="E593" i="11"/>
  <c r="B593" i="11"/>
  <c r="F592" i="11"/>
  <c r="E592" i="11"/>
  <c r="B592" i="11"/>
  <c r="F591" i="11"/>
  <c r="E591" i="11"/>
  <c r="B591" i="11"/>
  <c r="F590" i="11"/>
  <c r="E590" i="11"/>
  <c r="B590" i="11"/>
  <c r="F589" i="11"/>
  <c r="E589" i="11"/>
  <c r="B589" i="11"/>
  <c r="C589" i="11" s="1"/>
  <c r="F588" i="11"/>
  <c r="E588" i="11"/>
  <c r="B588" i="11"/>
  <c r="F587" i="11"/>
  <c r="E587" i="11"/>
  <c r="B587" i="11"/>
  <c r="F586" i="11"/>
  <c r="E586" i="11"/>
  <c r="B586" i="11"/>
  <c r="F585" i="11"/>
  <c r="E585" i="11"/>
  <c r="B585" i="11"/>
  <c r="F584" i="11"/>
  <c r="E584" i="11"/>
  <c r="B584" i="11"/>
  <c r="F583" i="11"/>
  <c r="E583" i="11"/>
  <c r="B583" i="11"/>
  <c r="F582" i="11"/>
  <c r="E582" i="11"/>
  <c r="B582" i="11"/>
  <c r="C582" i="11" s="1"/>
  <c r="F581" i="11"/>
  <c r="E581" i="11"/>
  <c r="B581" i="11"/>
  <c r="F580" i="11"/>
  <c r="E580" i="11"/>
  <c r="B580" i="11"/>
  <c r="F579" i="11"/>
  <c r="E579" i="11"/>
  <c r="B579" i="11"/>
  <c r="C579" i="11" s="1"/>
  <c r="F578" i="11"/>
  <c r="E578" i="11"/>
  <c r="B578" i="11"/>
  <c r="F577" i="11"/>
  <c r="E577" i="11"/>
  <c r="B577" i="11"/>
  <c r="F576" i="11"/>
  <c r="E576" i="11"/>
  <c r="B576" i="11"/>
  <c r="C576" i="11" s="1"/>
  <c r="F575" i="11"/>
  <c r="E575" i="11"/>
  <c r="B575" i="11"/>
  <c r="F574" i="11"/>
  <c r="E574" i="11"/>
  <c r="B574" i="11"/>
  <c r="F573" i="11"/>
  <c r="E573" i="11"/>
  <c r="B573" i="11"/>
  <c r="F572" i="11"/>
  <c r="E572" i="11"/>
  <c r="B572" i="11"/>
  <c r="F571" i="11"/>
  <c r="E571" i="11"/>
  <c r="B571" i="11"/>
  <c r="F570" i="11"/>
  <c r="E570" i="11"/>
  <c r="B570" i="11"/>
  <c r="C570" i="11" s="1"/>
  <c r="F569" i="11"/>
  <c r="E569" i="11"/>
  <c r="B569" i="11"/>
  <c r="F568" i="11"/>
  <c r="E568" i="11"/>
  <c r="B568" i="11"/>
  <c r="F567" i="11"/>
  <c r="E567" i="11"/>
  <c r="B567" i="11"/>
  <c r="F566" i="11"/>
  <c r="E566" i="11"/>
  <c r="B566" i="11"/>
  <c r="F565" i="11"/>
  <c r="E565" i="11"/>
  <c r="B565" i="11"/>
  <c r="F564" i="11"/>
  <c r="E564" i="11"/>
  <c r="B564" i="11"/>
  <c r="F563" i="11"/>
  <c r="E563" i="11"/>
  <c r="B563" i="11"/>
  <c r="C563" i="11" s="1"/>
  <c r="F562" i="11"/>
  <c r="E562" i="11"/>
  <c r="B562" i="11"/>
  <c r="F561" i="11"/>
  <c r="E561" i="11"/>
  <c r="B561" i="11"/>
  <c r="F560" i="11"/>
  <c r="E560" i="11"/>
  <c r="B560" i="11"/>
  <c r="F559" i="11"/>
  <c r="E559" i="11"/>
  <c r="B559" i="11"/>
  <c r="F558" i="11"/>
  <c r="E558" i="11"/>
  <c r="B558" i="11"/>
  <c r="F557" i="11"/>
  <c r="E557" i="11"/>
  <c r="B557" i="11"/>
  <c r="F556" i="11"/>
  <c r="E556" i="11"/>
  <c r="B556" i="11"/>
  <c r="C556" i="11" s="1"/>
  <c r="F555" i="11"/>
  <c r="E555" i="11"/>
  <c r="B555" i="11"/>
  <c r="F554" i="11"/>
  <c r="E554" i="11"/>
  <c r="B554" i="11"/>
  <c r="F553" i="11"/>
  <c r="E553" i="11"/>
  <c r="B553" i="11"/>
  <c r="C553" i="11" s="1"/>
  <c r="F552" i="11"/>
  <c r="E552" i="11"/>
  <c r="B552" i="11"/>
  <c r="F551" i="11"/>
  <c r="E551" i="11"/>
  <c r="B551" i="11"/>
  <c r="F550" i="11"/>
  <c r="E550" i="11"/>
  <c r="B550" i="11"/>
  <c r="C550" i="11" s="1"/>
  <c r="F549" i="11"/>
  <c r="E549" i="11"/>
  <c r="B549" i="11"/>
  <c r="F548" i="11"/>
  <c r="E548" i="11"/>
  <c r="B548" i="11"/>
  <c r="F547" i="11"/>
  <c r="E547" i="11"/>
  <c r="B547" i="11"/>
  <c r="C547" i="11" s="1"/>
  <c r="F546" i="11"/>
  <c r="E546" i="11"/>
  <c r="B546" i="11"/>
  <c r="F545" i="11"/>
  <c r="E545" i="11"/>
  <c r="B545" i="11"/>
  <c r="F544" i="11"/>
  <c r="E544" i="11"/>
  <c r="B544" i="11"/>
  <c r="C544" i="11" s="1"/>
  <c r="F543" i="11"/>
  <c r="E543" i="11"/>
  <c r="B543" i="11"/>
  <c r="C543" i="11" s="1"/>
  <c r="F542" i="11"/>
  <c r="E542" i="11"/>
  <c r="B542" i="11"/>
  <c r="F541" i="11"/>
  <c r="E541" i="11"/>
  <c r="B541" i="11"/>
  <c r="C541" i="11" s="1"/>
  <c r="F540" i="11"/>
  <c r="E540" i="11"/>
  <c r="B540" i="11"/>
  <c r="F539" i="11"/>
  <c r="E539" i="11"/>
  <c r="B539" i="11"/>
  <c r="F538" i="11"/>
  <c r="E538" i="11"/>
  <c r="B538" i="11"/>
  <c r="F537" i="11"/>
  <c r="E537" i="11"/>
  <c r="B537" i="11"/>
  <c r="F536" i="11"/>
  <c r="E536" i="11"/>
  <c r="B536" i="11"/>
  <c r="F535" i="11"/>
  <c r="E535" i="11"/>
  <c r="B535" i="11"/>
  <c r="C535" i="11" s="1"/>
  <c r="F534" i="11"/>
  <c r="E534" i="11"/>
  <c r="B534" i="11"/>
  <c r="C534" i="11" s="1"/>
  <c r="F533" i="11"/>
  <c r="E533" i="11"/>
  <c r="B533" i="11"/>
  <c r="F532" i="11"/>
  <c r="E532" i="11"/>
  <c r="B532" i="11"/>
  <c r="C532" i="11" s="1"/>
  <c r="F531" i="11"/>
  <c r="E531" i="11"/>
  <c r="B531" i="11"/>
  <c r="F530" i="11"/>
  <c r="E530" i="11"/>
  <c r="B530" i="11"/>
  <c r="F529" i="11"/>
  <c r="E529" i="11"/>
  <c r="B529" i="11"/>
  <c r="F528" i="11"/>
  <c r="E528" i="11"/>
  <c r="B528" i="11"/>
  <c r="F527" i="11"/>
  <c r="E527" i="11"/>
  <c r="B527" i="11"/>
  <c r="F526" i="11"/>
  <c r="E526" i="11"/>
  <c r="B526" i="11"/>
  <c r="F525" i="11"/>
  <c r="E525" i="11"/>
  <c r="B525" i="11"/>
  <c r="F524" i="11"/>
  <c r="E524" i="11"/>
  <c r="B524" i="11"/>
  <c r="F523" i="11"/>
  <c r="E523" i="11"/>
  <c r="B523" i="11"/>
  <c r="F522" i="11"/>
  <c r="E522" i="11"/>
  <c r="B522" i="11"/>
  <c r="F521" i="11"/>
  <c r="E521" i="11"/>
  <c r="B521" i="11"/>
  <c r="C521" i="11" s="1"/>
  <c r="F520" i="11"/>
  <c r="E520" i="11"/>
  <c r="B520" i="11"/>
  <c r="C520" i="11" s="1"/>
  <c r="F519" i="11"/>
  <c r="E519" i="11"/>
  <c r="B519" i="11"/>
  <c r="F518" i="11"/>
  <c r="E518" i="11"/>
  <c r="B518" i="11"/>
  <c r="F517" i="11"/>
  <c r="E517" i="11"/>
  <c r="B517" i="11"/>
  <c r="C517" i="11" s="1"/>
  <c r="F516" i="11"/>
  <c r="E516" i="11"/>
  <c r="B516" i="11"/>
  <c r="F515" i="11"/>
  <c r="E515" i="11"/>
  <c r="B515" i="11"/>
  <c r="F514" i="11"/>
  <c r="E514" i="11"/>
  <c r="B514" i="11"/>
  <c r="F513" i="11"/>
  <c r="E513" i="11"/>
  <c r="B513" i="11"/>
  <c r="F512" i="11"/>
  <c r="E512" i="11"/>
  <c r="B512" i="11"/>
  <c r="F511" i="11"/>
  <c r="E511" i="11"/>
  <c r="B511" i="11"/>
  <c r="C511" i="11" s="1"/>
  <c r="F510" i="11"/>
  <c r="E510" i="11"/>
  <c r="B510" i="11"/>
  <c r="F509" i="11"/>
  <c r="E509" i="11"/>
  <c r="B509" i="11"/>
  <c r="F508" i="11"/>
  <c r="E508" i="11"/>
  <c r="B508" i="11"/>
  <c r="C508" i="11" s="1"/>
  <c r="F507" i="11"/>
  <c r="E507" i="11"/>
  <c r="B507" i="11"/>
  <c r="F506" i="11"/>
  <c r="E506" i="11"/>
  <c r="B506" i="11"/>
  <c r="F505" i="11"/>
  <c r="E505" i="11"/>
  <c r="B505" i="11"/>
  <c r="C505" i="11" s="1"/>
  <c r="F504" i="11"/>
  <c r="E504" i="11"/>
  <c r="B504" i="11"/>
  <c r="F503" i="11"/>
  <c r="E503" i="11"/>
  <c r="B503" i="11"/>
  <c r="F502" i="11"/>
  <c r="E502" i="11"/>
  <c r="B502" i="11"/>
  <c r="F501" i="11"/>
  <c r="E501" i="11"/>
  <c r="B501" i="11"/>
  <c r="F500" i="11"/>
  <c r="E500" i="11"/>
  <c r="B500" i="11"/>
  <c r="F499" i="11"/>
  <c r="E499" i="11"/>
  <c r="B499" i="11"/>
  <c r="C499" i="11" s="1"/>
  <c r="F498" i="11"/>
  <c r="E498" i="11"/>
  <c r="B498" i="11"/>
  <c r="C498" i="11" s="1"/>
  <c r="F497" i="11"/>
  <c r="E497" i="11"/>
  <c r="B497" i="11"/>
  <c r="F496" i="11"/>
  <c r="E496" i="11"/>
  <c r="B496" i="11"/>
  <c r="C496" i="11" s="1"/>
  <c r="F495" i="11"/>
  <c r="E495" i="11"/>
  <c r="B495" i="11"/>
  <c r="F494" i="11"/>
  <c r="E494" i="11"/>
  <c r="B494" i="11"/>
  <c r="F493" i="11"/>
  <c r="E493" i="11"/>
  <c r="B493" i="11"/>
  <c r="F492" i="11"/>
  <c r="E492" i="11"/>
  <c r="B492" i="11"/>
  <c r="F491" i="11"/>
  <c r="E491" i="11"/>
  <c r="B491" i="11"/>
  <c r="F490" i="11"/>
  <c r="E490" i="11"/>
  <c r="B490" i="11"/>
  <c r="F489" i="11"/>
  <c r="E489" i="11"/>
  <c r="B489" i="11"/>
  <c r="F488" i="11"/>
  <c r="E488" i="11"/>
  <c r="B488" i="11"/>
  <c r="F487" i="11"/>
  <c r="E487" i="11"/>
  <c r="B487" i="11"/>
  <c r="F486" i="11"/>
  <c r="E486" i="11"/>
  <c r="B486" i="11"/>
  <c r="F485" i="11"/>
  <c r="E485" i="11"/>
  <c r="B485" i="11"/>
  <c r="F484" i="11"/>
  <c r="E484" i="11"/>
  <c r="B484" i="11"/>
  <c r="F483" i="11"/>
  <c r="E483" i="11"/>
  <c r="B483" i="11"/>
  <c r="F482" i="11"/>
  <c r="E482" i="11"/>
  <c r="B482" i="11"/>
  <c r="F481" i="11"/>
  <c r="E481" i="11"/>
  <c r="B481" i="11"/>
  <c r="C481" i="11" s="1"/>
  <c r="F480" i="11"/>
  <c r="E480" i="11"/>
  <c r="B480" i="11"/>
  <c r="F479" i="11"/>
  <c r="E479" i="11"/>
  <c r="B479" i="11"/>
  <c r="F478" i="11"/>
  <c r="E478" i="11"/>
  <c r="B478" i="11"/>
  <c r="F477" i="11"/>
  <c r="E477" i="11"/>
  <c r="B477" i="11"/>
  <c r="F476" i="11"/>
  <c r="E476" i="11"/>
  <c r="B476" i="11"/>
  <c r="F475" i="11"/>
  <c r="E475" i="11"/>
  <c r="B475" i="11"/>
  <c r="F474" i="11"/>
  <c r="E474" i="11"/>
  <c r="B474" i="11"/>
  <c r="F473" i="11"/>
  <c r="E473" i="11"/>
  <c r="B473" i="11"/>
  <c r="F472" i="11"/>
  <c r="E472" i="11"/>
  <c r="B472" i="11"/>
  <c r="C472" i="11" s="1"/>
  <c r="F471" i="11"/>
  <c r="E471" i="11"/>
  <c r="B471" i="11"/>
  <c r="F470" i="11"/>
  <c r="E470" i="11"/>
  <c r="B470" i="11"/>
  <c r="F469" i="11"/>
  <c r="E469" i="11"/>
  <c r="B469" i="11"/>
  <c r="C469" i="11" s="1"/>
  <c r="F468" i="11"/>
  <c r="E468" i="11"/>
  <c r="B468" i="11"/>
  <c r="F467" i="11"/>
  <c r="E467" i="11"/>
  <c r="B467" i="11"/>
  <c r="F466" i="11"/>
  <c r="E466" i="11"/>
  <c r="B466" i="11"/>
  <c r="F465" i="11"/>
  <c r="E465" i="11"/>
  <c r="B465" i="11"/>
  <c r="F464" i="11"/>
  <c r="E464" i="11"/>
  <c r="B464" i="11"/>
  <c r="F463" i="11"/>
  <c r="E463" i="11"/>
  <c r="B463" i="11"/>
  <c r="C463" i="11" s="1"/>
  <c r="F462" i="11"/>
  <c r="E462" i="11"/>
  <c r="B462" i="11"/>
  <c r="F461" i="11"/>
  <c r="E461" i="11"/>
  <c r="B461" i="11"/>
  <c r="F460" i="11"/>
  <c r="E460" i="11"/>
  <c r="B460" i="11"/>
  <c r="C460" i="11" s="1"/>
  <c r="F459" i="11"/>
  <c r="E459" i="11"/>
  <c r="B459" i="11"/>
  <c r="F458" i="11"/>
  <c r="E458" i="11"/>
  <c r="B458" i="11"/>
  <c r="F457" i="11"/>
  <c r="E457" i="11"/>
  <c r="B457" i="11"/>
  <c r="F456" i="11"/>
  <c r="E456" i="11"/>
  <c r="B456" i="11"/>
  <c r="F455" i="11"/>
  <c r="E455" i="11"/>
  <c r="B455" i="11"/>
  <c r="F454" i="11"/>
  <c r="E454" i="11"/>
  <c r="B454" i="11"/>
  <c r="F453" i="11"/>
  <c r="E453" i="11"/>
  <c r="B453" i="11"/>
  <c r="F452" i="11"/>
  <c r="E452" i="11"/>
  <c r="B452" i="11"/>
  <c r="F451" i="11"/>
  <c r="E451" i="11"/>
  <c r="B451" i="11"/>
  <c r="F450" i="11"/>
  <c r="E450" i="11"/>
  <c r="B450" i="11"/>
  <c r="F449" i="11"/>
  <c r="E449" i="11"/>
  <c r="B449" i="11"/>
  <c r="F448" i="11"/>
  <c r="E448" i="11"/>
  <c r="B448" i="11"/>
  <c r="F447" i="11"/>
  <c r="E447" i="11"/>
  <c r="B447" i="11"/>
  <c r="F446" i="11"/>
  <c r="E446" i="11"/>
  <c r="B446" i="11"/>
  <c r="F445" i="11"/>
  <c r="E445" i="11"/>
  <c r="B445" i="11"/>
  <c r="C445" i="11" s="1"/>
  <c r="F444" i="11"/>
  <c r="E444" i="11"/>
  <c r="B444" i="11"/>
  <c r="F443" i="11"/>
  <c r="E443" i="11"/>
  <c r="B443" i="11"/>
  <c r="F442" i="11"/>
  <c r="E442" i="11"/>
  <c r="B442" i="11"/>
  <c r="F441" i="11"/>
  <c r="E441" i="11"/>
  <c r="B441" i="11"/>
  <c r="F440" i="11"/>
  <c r="E440" i="11"/>
  <c r="B440" i="11"/>
  <c r="F439" i="11"/>
  <c r="E439" i="11"/>
  <c r="B439" i="11"/>
  <c r="F438" i="11"/>
  <c r="E438" i="11"/>
  <c r="B438" i="11"/>
  <c r="F437" i="11"/>
  <c r="E437" i="11"/>
  <c r="B437" i="11"/>
  <c r="F436" i="11"/>
  <c r="E436" i="11"/>
  <c r="B436" i="11"/>
  <c r="F435" i="11"/>
  <c r="E435" i="11"/>
  <c r="B435" i="11"/>
  <c r="F434" i="11"/>
  <c r="E434" i="11"/>
  <c r="B434" i="11"/>
  <c r="F433" i="11"/>
  <c r="E433" i="11"/>
  <c r="B433" i="11"/>
  <c r="C433" i="11" s="1"/>
  <c r="F432" i="11"/>
  <c r="E432" i="11"/>
  <c r="B432" i="11"/>
  <c r="F431" i="11"/>
  <c r="E431" i="11"/>
  <c r="B431" i="11"/>
  <c r="F430" i="11"/>
  <c r="E430" i="11"/>
  <c r="B430" i="11"/>
  <c r="F429" i="11"/>
  <c r="E429" i="11"/>
  <c r="B429" i="11"/>
  <c r="F428" i="11"/>
  <c r="E428" i="11"/>
  <c r="B428" i="11"/>
  <c r="F427" i="11"/>
  <c r="E427" i="11"/>
  <c r="B427" i="11"/>
  <c r="C427" i="11" s="1"/>
  <c r="F426" i="11"/>
  <c r="E426" i="11"/>
  <c r="B426" i="11"/>
  <c r="F425" i="11"/>
  <c r="E425" i="11"/>
  <c r="B425" i="11"/>
  <c r="F424" i="11"/>
  <c r="E424" i="11"/>
  <c r="B424" i="11"/>
  <c r="F423" i="11"/>
  <c r="E423" i="11"/>
  <c r="B423" i="11"/>
  <c r="F422" i="11"/>
  <c r="E422" i="11"/>
  <c r="B422" i="11"/>
  <c r="F421" i="11"/>
  <c r="E421" i="11"/>
  <c r="B421" i="11"/>
  <c r="F420" i="11"/>
  <c r="E420" i="11"/>
  <c r="B420" i="11"/>
  <c r="F419" i="11"/>
  <c r="E419" i="11"/>
  <c r="B419" i="11"/>
  <c r="F418" i="11"/>
  <c r="E418" i="11"/>
  <c r="B418" i="11"/>
  <c r="F417" i="11"/>
  <c r="E417" i="11"/>
  <c r="B417" i="11"/>
  <c r="F416" i="11"/>
  <c r="E416" i="11"/>
  <c r="B416" i="11"/>
  <c r="F415" i="11"/>
  <c r="E415" i="11"/>
  <c r="B415" i="11"/>
  <c r="F414" i="11"/>
  <c r="E414" i="11"/>
  <c r="B414" i="11"/>
  <c r="F413" i="11"/>
  <c r="E413" i="11"/>
  <c r="B413" i="11"/>
  <c r="F412" i="11"/>
  <c r="E412" i="11"/>
  <c r="B412" i="11"/>
  <c r="F411" i="11"/>
  <c r="E411" i="11"/>
  <c r="B411" i="11"/>
  <c r="F410" i="11"/>
  <c r="E410" i="11"/>
  <c r="B410" i="11"/>
  <c r="F409" i="11"/>
  <c r="E409" i="11"/>
  <c r="B409" i="11"/>
  <c r="C409" i="11" s="1"/>
  <c r="F408" i="11"/>
  <c r="E408" i="11"/>
  <c r="B408" i="11"/>
  <c r="F407" i="11"/>
  <c r="E407" i="11"/>
  <c r="B407" i="11"/>
  <c r="F406" i="11"/>
  <c r="E406" i="11"/>
  <c r="B406" i="11"/>
  <c r="F405" i="11"/>
  <c r="E405" i="11"/>
  <c r="B405" i="11"/>
  <c r="F404" i="11"/>
  <c r="E404" i="11"/>
  <c r="B404" i="11"/>
  <c r="F403" i="11"/>
  <c r="E403" i="11"/>
  <c r="B403" i="11"/>
  <c r="F402" i="11"/>
  <c r="E402" i="11"/>
  <c r="B402" i="11"/>
  <c r="F401" i="11"/>
  <c r="E401" i="11"/>
  <c r="B401" i="11"/>
  <c r="F400" i="11"/>
  <c r="E400" i="11"/>
  <c r="B400" i="11"/>
  <c r="F399" i="11"/>
  <c r="E399" i="11"/>
  <c r="B399" i="11"/>
  <c r="F398" i="11"/>
  <c r="E398" i="11"/>
  <c r="B398" i="11"/>
  <c r="F397" i="11"/>
  <c r="E397" i="11"/>
  <c r="B397" i="11"/>
  <c r="C397" i="11" s="1"/>
  <c r="F396" i="11"/>
  <c r="E396" i="11"/>
  <c r="B396" i="11"/>
  <c r="F395" i="11"/>
  <c r="E395" i="11"/>
  <c r="B395" i="11"/>
  <c r="F394" i="11"/>
  <c r="E394" i="11"/>
  <c r="B394" i="11"/>
  <c r="F393" i="11"/>
  <c r="E393" i="11"/>
  <c r="B393" i="11"/>
  <c r="F392" i="11"/>
  <c r="E392" i="11"/>
  <c r="B392" i="11"/>
  <c r="F391" i="11"/>
  <c r="E391" i="11"/>
  <c r="B391" i="11"/>
  <c r="F390" i="11"/>
  <c r="E390" i="11"/>
  <c r="B390" i="11"/>
  <c r="F389" i="11"/>
  <c r="E389" i="11"/>
  <c r="B389" i="11"/>
  <c r="F388" i="11"/>
  <c r="E388" i="11"/>
  <c r="B388" i="11"/>
  <c r="F387" i="11"/>
  <c r="E387" i="11"/>
  <c r="B387" i="11"/>
  <c r="F386" i="11"/>
  <c r="E386" i="11"/>
  <c r="B386" i="11"/>
  <c r="F385" i="11"/>
  <c r="E385" i="11"/>
  <c r="B385" i="11"/>
  <c r="F384" i="11"/>
  <c r="E384" i="11"/>
  <c r="B384" i="11"/>
  <c r="F383" i="11"/>
  <c r="E383" i="11"/>
  <c r="B383" i="11"/>
  <c r="F382" i="11"/>
  <c r="E382" i="11"/>
  <c r="B382" i="11"/>
  <c r="F381" i="11"/>
  <c r="E381" i="11"/>
  <c r="B381" i="11"/>
  <c r="F380" i="11"/>
  <c r="E380" i="11"/>
  <c r="B380" i="11"/>
  <c r="F379" i="11"/>
  <c r="E379" i="11"/>
  <c r="B379" i="11"/>
  <c r="F378" i="11"/>
  <c r="E378" i="11"/>
  <c r="B378" i="11"/>
  <c r="F377" i="11"/>
  <c r="E377" i="11"/>
  <c r="B377" i="11"/>
  <c r="F376" i="11"/>
  <c r="E376" i="11"/>
  <c r="B376" i="11"/>
  <c r="F375" i="11"/>
  <c r="E375" i="11"/>
  <c r="B375" i="11"/>
  <c r="F374" i="11"/>
  <c r="E374" i="11"/>
  <c r="B374" i="11"/>
  <c r="F373" i="11"/>
  <c r="E373" i="11"/>
  <c r="B373" i="11"/>
  <c r="C373" i="11" s="1"/>
  <c r="F372" i="11"/>
  <c r="E372" i="11"/>
  <c r="B372" i="11"/>
  <c r="F371" i="11"/>
  <c r="E371" i="11"/>
  <c r="B371" i="11"/>
  <c r="F370" i="11"/>
  <c r="E370" i="11"/>
  <c r="B370" i="11"/>
  <c r="F369" i="11"/>
  <c r="E369" i="11"/>
  <c r="B369" i="11"/>
  <c r="F368" i="11"/>
  <c r="E368" i="11"/>
  <c r="B368" i="11"/>
  <c r="F367" i="11"/>
  <c r="E367" i="11"/>
  <c r="B367" i="11"/>
  <c r="F366" i="11"/>
  <c r="E366" i="11"/>
  <c r="B366" i="11"/>
  <c r="F365" i="11"/>
  <c r="E365" i="11"/>
  <c r="B365" i="11"/>
  <c r="F364" i="11"/>
  <c r="E364" i="11"/>
  <c r="B364" i="11"/>
  <c r="F363" i="11"/>
  <c r="E363" i="11"/>
  <c r="B363" i="11"/>
  <c r="F362" i="11"/>
  <c r="E362" i="11"/>
  <c r="B362" i="11"/>
  <c r="F361" i="11"/>
  <c r="E361" i="11"/>
  <c r="B361" i="11"/>
  <c r="F360" i="11"/>
  <c r="E360" i="11"/>
  <c r="B360" i="11"/>
  <c r="F359" i="11"/>
  <c r="E359" i="11"/>
  <c r="B359" i="11"/>
  <c r="F358" i="11"/>
  <c r="E358" i="11"/>
  <c r="B358" i="11"/>
  <c r="F357" i="11"/>
  <c r="E357" i="11"/>
  <c r="B357" i="11"/>
  <c r="F356" i="11"/>
  <c r="E356" i="11"/>
  <c r="B356" i="11"/>
  <c r="F355" i="11"/>
  <c r="E355" i="11"/>
  <c r="B355" i="11"/>
  <c r="F354" i="11"/>
  <c r="E354" i="11"/>
  <c r="B354" i="11"/>
  <c r="F353" i="11"/>
  <c r="E353" i="11"/>
  <c r="B353" i="11"/>
  <c r="F352" i="11"/>
  <c r="E352" i="11"/>
  <c r="B352" i="11"/>
  <c r="F351" i="11"/>
  <c r="E351" i="11"/>
  <c r="B351" i="11"/>
  <c r="F350" i="11"/>
  <c r="E350" i="11"/>
  <c r="B350" i="11"/>
  <c r="F349" i="11"/>
  <c r="E349" i="11"/>
  <c r="B349" i="11"/>
  <c r="F348" i="11"/>
  <c r="E348" i="11"/>
  <c r="B348" i="11"/>
  <c r="F347" i="11"/>
  <c r="E347" i="11"/>
  <c r="B347" i="11"/>
  <c r="F346" i="11"/>
  <c r="E346" i="11"/>
  <c r="B346" i="11"/>
  <c r="F345" i="11"/>
  <c r="E345" i="11"/>
  <c r="B345" i="11"/>
  <c r="F344" i="11"/>
  <c r="E344" i="11"/>
  <c r="B344" i="11"/>
  <c r="F343" i="11"/>
  <c r="E343" i="11"/>
  <c r="B343" i="11"/>
  <c r="F342" i="11"/>
  <c r="E342" i="11"/>
  <c r="B342" i="11"/>
  <c r="F341" i="11"/>
  <c r="E341" i="11"/>
  <c r="B341" i="11"/>
  <c r="F340" i="11"/>
  <c r="E340" i="11"/>
  <c r="B340" i="11"/>
  <c r="F339" i="11"/>
  <c r="E339" i="11"/>
  <c r="B339" i="11"/>
  <c r="F338" i="11"/>
  <c r="E338" i="11"/>
  <c r="B338" i="11"/>
  <c r="F337" i="11"/>
  <c r="E337" i="11"/>
  <c r="B337" i="11"/>
  <c r="C337" i="11" s="1"/>
  <c r="F336" i="11"/>
  <c r="E336" i="11"/>
  <c r="B336" i="11"/>
  <c r="F335" i="11"/>
  <c r="E335" i="11"/>
  <c r="B335" i="11"/>
  <c r="F334" i="11"/>
  <c r="E334" i="11"/>
  <c r="B334" i="11"/>
  <c r="F333" i="11"/>
  <c r="E333" i="11"/>
  <c r="B333" i="11"/>
  <c r="F332" i="11"/>
  <c r="E332" i="11"/>
  <c r="B332" i="11"/>
  <c r="F331" i="11"/>
  <c r="E331" i="11"/>
  <c r="B331" i="11"/>
  <c r="F330" i="11"/>
  <c r="E330" i="11"/>
  <c r="B330" i="11"/>
  <c r="F329" i="11"/>
  <c r="E329" i="11"/>
  <c r="B329" i="11"/>
  <c r="F328" i="11"/>
  <c r="E328" i="11"/>
  <c r="B328" i="11"/>
  <c r="F327" i="11"/>
  <c r="E327" i="11"/>
  <c r="B327" i="11"/>
  <c r="F326" i="11"/>
  <c r="E326" i="11"/>
  <c r="B326" i="11"/>
  <c r="F325" i="11"/>
  <c r="E325" i="11"/>
  <c r="B325" i="11"/>
  <c r="F324" i="11"/>
  <c r="E324" i="11"/>
  <c r="B324" i="11"/>
  <c r="F323" i="11"/>
  <c r="E323" i="11"/>
  <c r="B323" i="11"/>
  <c r="F322" i="11"/>
  <c r="E322" i="11"/>
  <c r="B322" i="11"/>
  <c r="F321" i="11"/>
  <c r="E321" i="11"/>
  <c r="B321" i="11"/>
  <c r="F320" i="11"/>
  <c r="E320" i="11"/>
  <c r="B320" i="11"/>
  <c r="F319" i="11"/>
  <c r="E319" i="11"/>
  <c r="B319" i="11"/>
  <c r="F318" i="11"/>
  <c r="E318" i="11"/>
  <c r="B318" i="11"/>
  <c r="F317" i="11"/>
  <c r="E317" i="11"/>
  <c r="B317" i="11"/>
  <c r="F316" i="11"/>
  <c r="E316" i="11"/>
  <c r="B316" i="11"/>
  <c r="F315" i="11"/>
  <c r="E315" i="11"/>
  <c r="B315" i="11"/>
  <c r="F314" i="11"/>
  <c r="E314" i="11"/>
  <c r="B314" i="11"/>
  <c r="F313" i="11"/>
  <c r="E313" i="11"/>
  <c r="B313" i="11"/>
  <c r="F312" i="11"/>
  <c r="E312" i="11"/>
  <c r="B312" i="11"/>
  <c r="F311" i="11"/>
  <c r="E311" i="11"/>
  <c r="B311" i="11"/>
  <c r="F310" i="11"/>
  <c r="E310" i="11"/>
  <c r="B310" i="11"/>
  <c r="F309" i="11"/>
  <c r="E309" i="11"/>
  <c r="B309" i="11"/>
  <c r="F308" i="11"/>
  <c r="E308" i="11"/>
  <c r="B308" i="11"/>
  <c r="F307" i="11"/>
  <c r="E307" i="11"/>
  <c r="B307" i="11"/>
  <c r="F306" i="11"/>
  <c r="E306" i="11"/>
  <c r="B306" i="11"/>
  <c r="F305" i="11"/>
  <c r="E305" i="11"/>
  <c r="B305" i="11"/>
  <c r="F304" i="11"/>
  <c r="E304" i="11"/>
  <c r="B304" i="11"/>
  <c r="F303" i="11"/>
  <c r="E303" i="11"/>
  <c r="B303" i="11"/>
  <c r="F302" i="11"/>
  <c r="E302" i="11"/>
  <c r="B302" i="11"/>
  <c r="F301" i="11"/>
  <c r="E301" i="11"/>
  <c r="B301" i="11"/>
  <c r="F300" i="11"/>
  <c r="E300" i="11"/>
  <c r="B300" i="11"/>
  <c r="F299" i="11"/>
  <c r="E299" i="11"/>
  <c r="B299" i="11"/>
  <c r="F298" i="11"/>
  <c r="E298" i="11"/>
  <c r="B298" i="11"/>
  <c r="F297" i="11"/>
  <c r="E297" i="11"/>
  <c r="B297" i="11"/>
  <c r="F296" i="11"/>
  <c r="E296" i="11"/>
  <c r="B296" i="11"/>
  <c r="F295" i="11"/>
  <c r="E295" i="11"/>
  <c r="B295" i="11"/>
  <c r="F294" i="11"/>
  <c r="E294" i="11"/>
  <c r="B294" i="11"/>
  <c r="F293" i="11"/>
  <c r="E293" i="11"/>
  <c r="B293" i="11"/>
  <c r="F292" i="11"/>
  <c r="E292" i="11"/>
  <c r="B292" i="11"/>
  <c r="F291" i="11"/>
  <c r="E291" i="11"/>
  <c r="B291" i="11"/>
  <c r="F290" i="11"/>
  <c r="E290" i="11"/>
  <c r="B290" i="11"/>
  <c r="F289" i="11"/>
  <c r="E289" i="11"/>
  <c r="B289" i="11"/>
  <c r="F288" i="11"/>
  <c r="E288" i="11"/>
  <c r="B288" i="11"/>
  <c r="F287" i="11"/>
  <c r="E287" i="11"/>
  <c r="B287" i="11"/>
  <c r="F286" i="11"/>
  <c r="E286" i="11"/>
  <c r="B286" i="11"/>
  <c r="F285" i="11"/>
  <c r="E285" i="11"/>
  <c r="B285" i="11"/>
  <c r="F284" i="11"/>
  <c r="E284" i="11"/>
  <c r="B284" i="11"/>
  <c r="F283" i="11"/>
  <c r="E283" i="11"/>
  <c r="B283" i="11"/>
  <c r="F282" i="11"/>
  <c r="E282" i="11"/>
  <c r="B282" i="11"/>
  <c r="F281" i="11"/>
  <c r="E281" i="11"/>
  <c r="B281" i="11"/>
  <c r="F280" i="11"/>
  <c r="E280" i="11"/>
  <c r="B280" i="11"/>
  <c r="F279" i="11"/>
  <c r="E279" i="11"/>
  <c r="B279" i="11"/>
  <c r="F278" i="11"/>
  <c r="E278" i="11"/>
  <c r="B278" i="11"/>
  <c r="F277" i="11"/>
  <c r="E277" i="11"/>
  <c r="B277" i="11"/>
  <c r="F276" i="11"/>
  <c r="E276" i="11"/>
  <c r="B276" i="11"/>
  <c r="F275" i="11"/>
  <c r="E275" i="11"/>
  <c r="B275" i="11"/>
  <c r="F274" i="11"/>
  <c r="E274" i="11"/>
  <c r="B274" i="11"/>
  <c r="F273" i="11"/>
  <c r="E273" i="11"/>
  <c r="B273" i="11"/>
  <c r="F272" i="11"/>
  <c r="E272" i="11"/>
  <c r="B272" i="11"/>
  <c r="F271" i="11"/>
  <c r="E271" i="11"/>
  <c r="B271" i="11"/>
  <c r="F270" i="11"/>
  <c r="E270" i="11"/>
  <c r="B270" i="11"/>
  <c r="F269" i="11"/>
  <c r="E269" i="11"/>
  <c r="B269" i="11"/>
  <c r="F268" i="11"/>
  <c r="E268" i="11"/>
  <c r="B268" i="11"/>
  <c r="F267" i="11"/>
  <c r="E267" i="11"/>
  <c r="B267" i="11"/>
  <c r="F266" i="11"/>
  <c r="E266" i="11"/>
  <c r="B266" i="11"/>
  <c r="F265" i="11"/>
  <c r="E265" i="11"/>
  <c r="B265" i="11"/>
  <c r="F264" i="11"/>
  <c r="E264" i="11"/>
  <c r="B264" i="11"/>
  <c r="F263" i="11"/>
  <c r="E263" i="11"/>
  <c r="B263" i="11"/>
  <c r="F262" i="11"/>
  <c r="E262" i="11"/>
  <c r="B262" i="11"/>
  <c r="F261" i="11"/>
  <c r="E261" i="11"/>
  <c r="B261" i="11"/>
  <c r="F260" i="11"/>
  <c r="E260" i="11"/>
  <c r="B260" i="11"/>
  <c r="F259" i="11"/>
  <c r="E259" i="11"/>
  <c r="B259" i="11"/>
  <c r="F258" i="11"/>
  <c r="E258" i="11"/>
  <c r="B258" i="11"/>
  <c r="F257" i="11"/>
  <c r="E257" i="11"/>
  <c r="B257" i="11"/>
  <c r="F256" i="11"/>
  <c r="E256" i="11"/>
  <c r="B256" i="11"/>
  <c r="F255" i="11"/>
  <c r="E255" i="11"/>
  <c r="B255" i="11"/>
  <c r="F254" i="11"/>
  <c r="E254" i="11"/>
  <c r="B254" i="11"/>
  <c r="F253" i="11"/>
  <c r="E253" i="11"/>
  <c r="B253" i="11"/>
  <c r="F252" i="11"/>
  <c r="E252" i="11"/>
  <c r="B252" i="11"/>
  <c r="F251" i="11"/>
  <c r="E251" i="11"/>
  <c r="B251" i="11"/>
  <c r="F250" i="11"/>
  <c r="E250" i="11"/>
  <c r="B250" i="11"/>
  <c r="F249" i="11"/>
  <c r="E249" i="11"/>
  <c r="B249" i="11"/>
  <c r="F248" i="11"/>
  <c r="E248" i="11"/>
  <c r="B248" i="11"/>
  <c r="F247" i="11"/>
  <c r="E247" i="11"/>
  <c r="B247" i="11"/>
  <c r="F246" i="11"/>
  <c r="E246" i="11"/>
  <c r="B246" i="11"/>
  <c r="F245" i="11"/>
  <c r="E245" i="11"/>
  <c r="B245" i="11"/>
  <c r="F244" i="11"/>
  <c r="E244" i="11"/>
  <c r="B244" i="11"/>
  <c r="F243" i="11"/>
  <c r="E243" i="11"/>
  <c r="B243" i="11"/>
  <c r="F242" i="11"/>
  <c r="E242" i="11"/>
  <c r="B242" i="11"/>
  <c r="F241" i="11"/>
  <c r="E241" i="11"/>
  <c r="B241" i="11"/>
  <c r="F240" i="11"/>
  <c r="E240" i="11"/>
  <c r="B240" i="11"/>
  <c r="F239" i="11"/>
  <c r="E239" i="11"/>
  <c r="B239" i="11"/>
  <c r="F238" i="11"/>
  <c r="E238" i="11"/>
  <c r="B238" i="11"/>
  <c r="F237" i="11"/>
  <c r="E237" i="11"/>
  <c r="B237" i="11"/>
  <c r="F236" i="11"/>
  <c r="E236" i="11"/>
  <c r="B236" i="11"/>
  <c r="F235" i="11"/>
  <c r="E235" i="11"/>
  <c r="B235" i="11"/>
  <c r="F234" i="11"/>
  <c r="E234" i="11"/>
  <c r="B234" i="11"/>
  <c r="F233" i="11"/>
  <c r="E233" i="11"/>
  <c r="B233" i="11"/>
  <c r="F232" i="11"/>
  <c r="E232" i="11"/>
  <c r="B232" i="11"/>
  <c r="F231" i="11"/>
  <c r="E231" i="11"/>
  <c r="B231" i="11"/>
  <c r="F230" i="11"/>
  <c r="E230" i="11"/>
  <c r="B230" i="11"/>
  <c r="F229" i="11"/>
  <c r="E229" i="11"/>
  <c r="B229" i="11"/>
  <c r="F228" i="11"/>
  <c r="E228" i="11"/>
  <c r="B228" i="11"/>
  <c r="F227" i="11"/>
  <c r="E227" i="11"/>
  <c r="B227" i="11"/>
  <c r="F226" i="11"/>
  <c r="E226" i="11"/>
  <c r="B226" i="11"/>
  <c r="F225" i="11"/>
  <c r="E225" i="11"/>
  <c r="B225" i="11"/>
  <c r="F224" i="11"/>
  <c r="E224" i="11"/>
  <c r="B224" i="11"/>
  <c r="F223" i="11"/>
  <c r="E223" i="11"/>
  <c r="B223" i="11"/>
  <c r="F222" i="11"/>
  <c r="E222" i="11"/>
  <c r="B222" i="11"/>
  <c r="F221" i="11"/>
  <c r="E221" i="11"/>
  <c r="B221" i="11"/>
  <c r="F220" i="11"/>
  <c r="E220" i="11"/>
  <c r="B220" i="11"/>
  <c r="F219" i="11"/>
  <c r="E219" i="11"/>
  <c r="B219" i="11"/>
  <c r="F218" i="11"/>
  <c r="E218" i="11"/>
  <c r="B218" i="11"/>
  <c r="F217" i="11"/>
  <c r="E217" i="11"/>
  <c r="B217" i="11"/>
  <c r="F216" i="11"/>
  <c r="E216" i="11"/>
  <c r="B216" i="11"/>
  <c r="F215" i="11"/>
  <c r="E215" i="11"/>
  <c r="B215" i="11"/>
  <c r="F214" i="11"/>
  <c r="E214" i="11"/>
  <c r="B214" i="11"/>
  <c r="F213" i="11"/>
  <c r="E213" i="11"/>
  <c r="B213" i="11"/>
  <c r="F212" i="11"/>
  <c r="E212" i="11"/>
  <c r="B212" i="11"/>
  <c r="F211" i="11"/>
  <c r="E211" i="11"/>
  <c r="B211" i="11"/>
  <c r="F210" i="11"/>
  <c r="E210" i="11"/>
  <c r="B210" i="11"/>
  <c r="F209" i="11"/>
  <c r="E209" i="11"/>
  <c r="B209" i="11"/>
  <c r="F208" i="11"/>
  <c r="E208" i="11"/>
  <c r="B208" i="11"/>
  <c r="F207" i="11"/>
  <c r="E207" i="11"/>
  <c r="B207" i="11"/>
  <c r="F206" i="11"/>
  <c r="E206" i="11"/>
  <c r="B206" i="11"/>
  <c r="F205" i="11"/>
  <c r="E205" i="11"/>
  <c r="B205" i="11"/>
  <c r="F204" i="11"/>
  <c r="E204" i="11"/>
  <c r="B204" i="11"/>
  <c r="F203" i="11"/>
  <c r="E203" i="11"/>
  <c r="B203" i="11"/>
  <c r="F202" i="11"/>
  <c r="E202" i="11"/>
  <c r="B202" i="11"/>
  <c r="F201" i="11"/>
  <c r="E201" i="11"/>
  <c r="B201" i="11"/>
  <c r="F200" i="11"/>
  <c r="E200" i="11"/>
  <c r="B200" i="11"/>
  <c r="F199" i="11"/>
  <c r="E199" i="11"/>
  <c r="B199" i="11"/>
  <c r="F198" i="11"/>
  <c r="E198" i="11"/>
  <c r="B198" i="11"/>
  <c r="F197" i="11"/>
  <c r="E197" i="11"/>
  <c r="B197" i="11"/>
  <c r="F196" i="11"/>
  <c r="E196" i="11"/>
  <c r="B196" i="11"/>
  <c r="F195" i="11"/>
  <c r="E195" i="11"/>
  <c r="B195" i="11"/>
  <c r="F194" i="11"/>
  <c r="E194" i="11"/>
  <c r="B194" i="11"/>
  <c r="F193" i="11"/>
  <c r="E193" i="11"/>
  <c r="B193" i="11"/>
  <c r="F192" i="11"/>
  <c r="E192" i="11"/>
  <c r="B192" i="11"/>
  <c r="F191" i="11"/>
  <c r="E191" i="11"/>
  <c r="B191" i="11"/>
  <c r="F190" i="11"/>
  <c r="E190" i="11"/>
  <c r="B190" i="11"/>
  <c r="F189" i="11"/>
  <c r="E189" i="11"/>
  <c r="B189" i="11"/>
  <c r="F188" i="11"/>
  <c r="E188" i="11"/>
  <c r="B188" i="11"/>
  <c r="F187" i="11"/>
  <c r="E187" i="11"/>
  <c r="B187" i="11"/>
  <c r="F186" i="11"/>
  <c r="E186" i="11"/>
  <c r="B186" i="11"/>
  <c r="F185" i="11"/>
  <c r="E185" i="11"/>
  <c r="B185" i="11"/>
  <c r="F184" i="11"/>
  <c r="E184" i="11"/>
  <c r="B184" i="11"/>
  <c r="F183" i="11"/>
  <c r="E183" i="11"/>
  <c r="B183" i="11"/>
  <c r="F182" i="11"/>
  <c r="E182" i="11"/>
  <c r="B182" i="11"/>
  <c r="F181" i="11"/>
  <c r="E181" i="11"/>
  <c r="B181" i="11"/>
  <c r="F180" i="11"/>
  <c r="E180" i="11"/>
  <c r="B180" i="11"/>
  <c r="F179" i="11"/>
  <c r="E179" i="11"/>
  <c r="B179" i="11"/>
  <c r="F178" i="11"/>
  <c r="E178" i="11"/>
  <c r="B178" i="11"/>
  <c r="F177" i="11"/>
  <c r="E177" i="11"/>
  <c r="B177" i="11"/>
  <c r="F176" i="11"/>
  <c r="E176" i="11"/>
  <c r="B176" i="11"/>
  <c r="F175" i="11"/>
  <c r="E175" i="11"/>
  <c r="B175" i="11"/>
  <c r="F174" i="11"/>
  <c r="E174" i="11"/>
  <c r="B174" i="11"/>
  <c r="F173" i="11"/>
  <c r="E173" i="11"/>
  <c r="B173" i="11"/>
  <c r="F172" i="11"/>
  <c r="E172" i="11"/>
  <c r="B172" i="11"/>
  <c r="F171" i="11"/>
  <c r="E171" i="11"/>
  <c r="B171" i="11"/>
  <c r="F170" i="11"/>
  <c r="E170" i="11"/>
  <c r="B170" i="11"/>
  <c r="F169" i="11"/>
  <c r="E169" i="11"/>
  <c r="B169" i="11"/>
  <c r="F168" i="11"/>
  <c r="E168" i="11"/>
  <c r="B168" i="11"/>
  <c r="F167" i="11"/>
  <c r="E167" i="11"/>
  <c r="B167" i="11"/>
  <c r="F166" i="11"/>
  <c r="E166" i="11"/>
  <c r="B166" i="11"/>
  <c r="F165" i="11"/>
  <c r="E165" i="11"/>
  <c r="B165" i="11"/>
  <c r="F164" i="11"/>
  <c r="E164" i="11"/>
  <c r="B164" i="11"/>
  <c r="F163" i="11"/>
  <c r="E163" i="11"/>
  <c r="B163" i="11"/>
  <c r="F162" i="11"/>
  <c r="E162" i="11"/>
  <c r="B162" i="11"/>
  <c r="F161" i="11"/>
  <c r="E161" i="11"/>
  <c r="B161" i="11"/>
  <c r="F160" i="11"/>
  <c r="E160" i="11"/>
  <c r="B160" i="11"/>
  <c r="F159" i="11"/>
  <c r="E159" i="11"/>
  <c r="B159" i="11"/>
  <c r="F158" i="11"/>
  <c r="E158" i="11"/>
  <c r="B158" i="11"/>
  <c r="F157" i="11"/>
  <c r="E157" i="11"/>
  <c r="B157" i="11"/>
  <c r="F156" i="11"/>
  <c r="E156" i="11"/>
  <c r="B156" i="11"/>
  <c r="F155" i="11"/>
  <c r="E155" i="11"/>
  <c r="B155" i="11"/>
  <c r="F154" i="11"/>
  <c r="E154" i="11"/>
  <c r="B154" i="11"/>
  <c r="F153" i="11"/>
  <c r="E153" i="11"/>
  <c r="B153" i="11"/>
  <c r="F152" i="11"/>
  <c r="E152" i="11"/>
  <c r="B152" i="11"/>
  <c r="F151" i="11"/>
  <c r="E151" i="11"/>
  <c r="B151" i="11"/>
  <c r="F150" i="11"/>
  <c r="E150" i="11"/>
  <c r="B150" i="11"/>
  <c r="F149" i="11"/>
  <c r="E149" i="11"/>
  <c r="B149" i="11"/>
  <c r="F148" i="11"/>
  <c r="E148" i="11"/>
  <c r="B148" i="11"/>
  <c r="F147" i="11"/>
  <c r="E147" i="11"/>
  <c r="B147" i="11"/>
  <c r="F146" i="11"/>
  <c r="E146" i="11"/>
  <c r="B146" i="11"/>
  <c r="F145" i="11"/>
  <c r="E145" i="11"/>
  <c r="B145" i="11"/>
  <c r="F144" i="11"/>
  <c r="E144" i="11"/>
  <c r="B144" i="11"/>
  <c r="F143" i="11"/>
  <c r="E143" i="11"/>
  <c r="B143" i="11"/>
  <c r="F142" i="11"/>
  <c r="E142" i="11"/>
  <c r="B142" i="11"/>
  <c r="F141" i="11"/>
  <c r="E141" i="11"/>
  <c r="B141" i="11"/>
  <c r="F140" i="11"/>
  <c r="E140" i="11"/>
  <c r="B140" i="11"/>
  <c r="F139" i="11"/>
  <c r="E139" i="11"/>
  <c r="B139" i="11"/>
  <c r="F138" i="11"/>
  <c r="E138" i="11"/>
  <c r="B138" i="11"/>
  <c r="F137" i="11"/>
  <c r="E137" i="11"/>
  <c r="B137" i="11"/>
  <c r="F136" i="11"/>
  <c r="E136" i="11"/>
  <c r="B136" i="11"/>
  <c r="F135" i="11"/>
  <c r="E135" i="11"/>
  <c r="B135" i="11"/>
  <c r="F134" i="11"/>
  <c r="E134" i="11"/>
  <c r="B134" i="11"/>
  <c r="F133" i="11"/>
  <c r="E133" i="11"/>
  <c r="B133" i="11"/>
  <c r="F132" i="11"/>
  <c r="E132" i="11"/>
  <c r="B132" i="11"/>
  <c r="F131" i="11"/>
  <c r="E131" i="11"/>
  <c r="B131" i="11"/>
  <c r="F130" i="11"/>
  <c r="E130" i="11"/>
  <c r="B130" i="11"/>
  <c r="F129" i="11"/>
  <c r="E129" i="11"/>
  <c r="B129" i="11"/>
  <c r="F128" i="11"/>
  <c r="E128" i="11"/>
  <c r="B128" i="11"/>
  <c r="F127" i="11"/>
  <c r="E127" i="11"/>
  <c r="B127" i="11"/>
  <c r="F126" i="11"/>
  <c r="E126" i="11"/>
  <c r="B126" i="11"/>
  <c r="F125" i="11"/>
  <c r="E125" i="11"/>
  <c r="B125" i="11"/>
  <c r="F124" i="11"/>
  <c r="E124" i="11"/>
  <c r="B124" i="11"/>
  <c r="F123" i="11"/>
  <c r="E123" i="11"/>
  <c r="B123" i="11"/>
  <c r="F122" i="11"/>
  <c r="E122" i="11"/>
  <c r="B122" i="11"/>
  <c r="F121" i="11"/>
  <c r="E121" i="11"/>
  <c r="B121" i="11"/>
  <c r="F120" i="11"/>
  <c r="E120" i="11"/>
  <c r="B120" i="11"/>
  <c r="F119" i="11"/>
  <c r="E119" i="11"/>
  <c r="B119" i="11"/>
  <c r="F118" i="11"/>
  <c r="E118" i="11"/>
  <c r="B118" i="11"/>
  <c r="F117" i="11"/>
  <c r="E117" i="11"/>
  <c r="B117" i="11"/>
  <c r="F116" i="11"/>
  <c r="E116" i="11"/>
  <c r="B116" i="11"/>
  <c r="F115" i="11"/>
  <c r="E115" i="11"/>
  <c r="B115" i="11"/>
  <c r="F114" i="11"/>
  <c r="E114" i="11"/>
  <c r="B114" i="11"/>
  <c r="F113" i="11"/>
  <c r="E113" i="11"/>
  <c r="B113" i="11"/>
  <c r="F112" i="11"/>
  <c r="E112" i="11"/>
  <c r="B112" i="11"/>
  <c r="F111" i="11"/>
  <c r="E111" i="11"/>
  <c r="B111" i="11"/>
  <c r="F110" i="11"/>
  <c r="E110" i="11"/>
  <c r="B110" i="11"/>
  <c r="F109" i="11"/>
  <c r="E109" i="11"/>
  <c r="B109" i="11"/>
  <c r="F108" i="11"/>
  <c r="E108" i="11"/>
  <c r="B108" i="11"/>
  <c r="F107" i="11"/>
  <c r="E107" i="11"/>
  <c r="B107" i="11"/>
  <c r="F106" i="11"/>
  <c r="E106" i="11"/>
  <c r="B106" i="11"/>
  <c r="F105" i="11"/>
  <c r="E105" i="11"/>
  <c r="B105" i="11"/>
  <c r="F104" i="11"/>
  <c r="E104" i="11"/>
  <c r="B104" i="11"/>
  <c r="F103" i="11"/>
  <c r="E103" i="11"/>
  <c r="B103" i="11"/>
  <c r="F102" i="11"/>
  <c r="E102" i="11"/>
  <c r="B102" i="11"/>
  <c r="F101" i="11"/>
  <c r="E101" i="11"/>
  <c r="B101" i="11"/>
  <c r="F100" i="11"/>
  <c r="E100" i="11"/>
  <c r="B100" i="11"/>
  <c r="F99" i="11"/>
  <c r="E99" i="11"/>
  <c r="B99" i="11"/>
  <c r="F98" i="11"/>
  <c r="E98" i="11"/>
  <c r="B98" i="11"/>
  <c r="F97" i="11"/>
  <c r="E97" i="11"/>
  <c r="B97" i="11"/>
  <c r="F96" i="11"/>
  <c r="E96" i="11"/>
  <c r="B96" i="11"/>
  <c r="F95" i="11"/>
  <c r="E95" i="11"/>
  <c r="B95" i="11"/>
  <c r="F94" i="11"/>
  <c r="E94" i="11"/>
  <c r="B94" i="11"/>
  <c r="F93" i="11"/>
  <c r="E93" i="11"/>
  <c r="B93" i="11"/>
  <c r="F92" i="11"/>
  <c r="E92" i="11"/>
  <c r="B92" i="11"/>
  <c r="F91" i="11"/>
  <c r="E91" i="11"/>
  <c r="B91" i="11"/>
  <c r="F90" i="11"/>
  <c r="E90" i="11"/>
  <c r="B90" i="11"/>
  <c r="F89" i="11"/>
  <c r="E89" i="11"/>
  <c r="B89" i="11"/>
  <c r="F88" i="11"/>
  <c r="E88" i="11"/>
  <c r="B88" i="11"/>
  <c r="F87" i="11"/>
  <c r="E87" i="11"/>
  <c r="B87" i="11"/>
  <c r="F86" i="11"/>
  <c r="E86" i="11"/>
  <c r="B86" i="11"/>
  <c r="F85" i="11"/>
  <c r="E85" i="11"/>
  <c r="B85" i="11"/>
  <c r="F84" i="11"/>
  <c r="E84" i="11"/>
  <c r="B84" i="11"/>
  <c r="F83" i="11"/>
  <c r="E83" i="11"/>
  <c r="B83" i="11"/>
  <c r="F82" i="11"/>
  <c r="E82" i="11"/>
  <c r="B82" i="11"/>
  <c r="F81" i="11"/>
  <c r="E81" i="11"/>
  <c r="B81" i="11"/>
  <c r="F80" i="11"/>
  <c r="E80" i="11"/>
  <c r="B80" i="11"/>
  <c r="F79" i="11"/>
  <c r="E79" i="11"/>
  <c r="B79" i="11"/>
  <c r="F78" i="11"/>
  <c r="E78" i="11"/>
  <c r="B78" i="11"/>
  <c r="F77" i="11"/>
  <c r="E77" i="11"/>
  <c r="B77" i="11"/>
  <c r="F76" i="11"/>
  <c r="E76" i="11"/>
  <c r="B76" i="11"/>
  <c r="F75" i="11"/>
  <c r="E75" i="11"/>
  <c r="B75" i="11"/>
  <c r="F74" i="11"/>
  <c r="E74" i="11"/>
  <c r="B74" i="11"/>
  <c r="F73" i="11"/>
  <c r="E73" i="11"/>
  <c r="B73" i="11"/>
  <c r="F72" i="11"/>
  <c r="E72" i="11"/>
  <c r="B72" i="11"/>
  <c r="F71" i="11"/>
  <c r="E71" i="11"/>
  <c r="B71" i="11"/>
  <c r="F70" i="11"/>
  <c r="E70" i="11"/>
  <c r="B70" i="11"/>
  <c r="F69" i="11"/>
  <c r="E69" i="11"/>
  <c r="B69" i="11"/>
  <c r="F68" i="11"/>
  <c r="E68" i="11"/>
  <c r="B68" i="11"/>
  <c r="F67" i="11"/>
  <c r="E67" i="11"/>
  <c r="B67" i="11"/>
  <c r="F66" i="11"/>
  <c r="E66" i="11"/>
  <c r="B66" i="11"/>
  <c r="F65" i="11"/>
  <c r="E65" i="11"/>
  <c r="B65" i="11"/>
  <c r="F64" i="11"/>
  <c r="E64" i="11"/>
  <c r="B64" i="11"/>
  <c r="F63" i="11"/>
  <c r="E63" i="11"/>
  <c r="B63" i="11"/>
  <c r="F62" i="11"/>
  <c r="E62" i="11"/>
  <c r="B62" i="11"/>
  <c r="F61" i="11"/>
  <c r="E61" i="11"/>
  <c r="B61" i="11"/>
  <c r="F60" i="11"/>
  <c r="E60" i="11"/>
  <c r="B60" i="11"/>
  <c r="F59" i="11"/>
  <c r="E59" i="11"/>
  <c r="B59" i="11"/>
  <c r="F58" i="11"/>
  <c r="E58" i="11"/>
  <c r="B58" i="11"/>
  <c r="F57" i="11"/>
  <c r="E57" i="11"/>
  <c r="B57" i="11"/>
  <c r="F56" i="11"/>
  <c r="E56" i="11"/>
  <c r="B56" i="11"/>
  <c r="F55" i="11"/>
  <c r="E55" i="11"/>
  <c r="B55" i="11"/>
  <c r="F54" i="11"/>
  <c r="E54" i="11"/>
  <c r="B54" i="11"/>
  <c r="F53" i="11"/>
  <c r="E53" i="11"/>
  <c r="B53" i="11"/>
  <c r="F52" i="11"/>
  <c r="E52" i="11"/>
  <c r="B52" i="11"/>
  <c r="F51" i="11"/>
  <c r="E51" i="11"/>
  <c r="B51" i="11"/>
  <c r="F50" i="11"/>
  <c r="E50" i="11"/>
  <c r="B50" i="11"/>
  <c r="F49" i="11"/>
  <c r="E49" i="11"/>
  <c r="B49" i="11"/>
  <c r="F48" i="11"/>
  <c r="E48" i="11"/>
  <c r="B48" i="11"/>
  <c r="F47" i="11"/>
  <c r="E47" i="11"/>
  <c r="B47" i="11"/>
  <c r="F46" i="11"/>
  <c r="E46" i="11"/>
  <c r="B46" i="11"/>
  <c r="F45" i="11"/>
  <c r="E45" i="11"/>
  <c r="B45" i="11"/>
  <c r="F44" i="11"/>
  <c r="E44" i="11"/>
  <c r="B44" i="11"/>
  <c r="F43" i="11"/>
  <c r="E43" i="11"/>
  <c r="B43" i="11"/>
  <c r="F42" i="11"/>
  <c r="E42" i="11"/>
  <c r="B42" i="11"/>
  <c r="F41" i="11"/>
  <c r="E41" i="11"/>
  <c r="B41" i="11"/>
  <c r="F40" i="11"/>
  <c r="E40" i="11"/>
  <c r="B40" i="11"/>
  <c r="F39" i="11"/>
  <c r="E39" i="11"/>
  <c r="B39" i="11"/>
  <c r="F38" i="11"/>
  <c r="E38" i="11"/>
  <c r="B38" i="11"/>
  <c r="F37" i="11"/>
  <c r="E37" i="11"/>
  <c r="B37" i="11"/>
  <c r="F36" i="11"/>
  <c r="E36" i="11"/>
  <c r="B36" i="11"/>
  <c r="F35" i="11"/>
  <c r="E35" i="11"/>
  <c r="B35" i="11"/>
  <c r="F34" i="11"/>
  <c r="E34" i="11"/>
  <c r="B34" i="11"/>
  <c r="F33" i="11"/>
  <c r="E33" i="11"/>
  <c r="B33" i="11"/>
  <c r="F32" i="11"/>
  <c r="E32" i="11"/>
  <c r="B32" i="11"/>
  <c r="F31" i="11"/>
  <c r="E31" i="11"/>
  <c r="B31" i="11"/>
  <c r="F30" i="11"/>
  <c r="E30" i="11"/>
  <c r="B30" i="11"/>
  <c r="F29" i="11"/>
  <c r="E29" i="11"/>
  <c r="B29" i="11"/>
  <c r="F28" i="11"/>
  <c r="E28" i="11"/>
  <c r="B28" i="11"/>
  <c r="F27" i="11"/>
  <c r="E27" i="11"/>
  <c r="B27" i="11"/>
  <c r="F26" i="11"/>
  <c r="E26" i="11"/>
  <c r="B26" i="11"/>
  <c r="F25" i="11"/>
  <c r="E25" i="11"/>
  <c r="B25" i="11"/>
  <c r="F24" i="11"/>
  <c r="E24" i="11"/>
  <c r="B24" i="11"/>
  <c r="F23" i="11"/>
  <c r="E23" i="11"/>
  <c r="B23" i="11"/>
  <c r="F22" i="11"/>
  <c r="E22" i="11"/>
  <c r="B22" i="11"/>
  <c r="F21" i="11"/>
  <c r="E21" i="11"/>
  <c r="B21" i="11"/>
  <c r="F20" i="11"/>
  <c r="E20" i="11"/>
  <c r="B20" i="11"/>
  <c r="F19" i="11"/>
  <c r="E19" i="11"/>
  <c r="B19" i="11"/>
  <c r="F18" i="11"/>
  <c r="E18" i="11"/>
  <c r="B18" i="11"/>
  <c r="F17" i="11"/>
  <c r="E17" i="11"/>
  <c r="B17" i="11"/>
  <c r="F16" i="11"/>
  <c r="E16" i="11"/>
  <c r="B16" i="11"/>
  <c r="F15" i="11"/>
  <c r="E15" i="11"/>
  <c r="B15" i="11"/>
  <c r="F14" i="11"/>
  <c r="E14" i="11"/>
  <c r="B14" i="11"/>
  <c r="F13" i="11"/>
  <c r="E13" i="11"/>
  <c r="B13" i="11"/>
  <c r="F12" i="11"/>
  <c r="E12" i="11"/>
  <c r="B12" i="11"/>
  <c r="F11" i="11"/>
  <c r="E11" i="11"/>
  <c r="B11" i="11"/>
  <c r="F10" i="11"/>
  <c r="E10" i="11"/>
  <c r="B10" i="11"/>
  <c r="F9" i="11"/>
  <c r="E9" i="11"/>
  <c r="B9" i="11"/>
  <c r="F8" i="11"/>
  <c r="E8" i="11"/>
  <c r="B8" i="11"/>
  <c r="F7" i="11"/>
  <c r="E7" i="11"/>
  <c r="B7" i="11"/>
  <c r="F6" i="11"/>
  <c r="E6" i="11"/>
  <c r="B6" i="11"/>
  <c r="F5" i="11"/>
  <c r="E5" i="11"/>
  <c r="B5" i="11"/>
  <c r="F4" i="11"/>
  <c r="E4" i="11"/>
  <c r="B4" i="11"/>
  <c r="F3" i="11"/>
  <c r="E3" i="11"/>
  <c r="B3" i="11"/>
  <c r="F2" i="11"/>
  <c r="E2" i="11"/>
  <c r="B2" i="1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2" i="8"/>
  <c r="C2" i="9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2" i="5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2" i="8"/>
  <c r="O50" i="5" a="1"/>
  <c r="O50" i="5" s="1"/>
  <c r="O49" i="5" a="1"/>
  <c r="O49" i="5" s="1"/>
  <c r="O48" i="5" a="1"/>
  <c r="O48" i="5" s="1"/>
  <c r="O47" i="5" a="1"/>
  <c r="O47" i="5" s="1"/>
  <c r="O44" i="5" a="1"/>
  <c r="O44" i="5" s="1"/>
  <c r="O46" i="5" a="1"/>
  <c r="O46" i="5" s="1"/>
  <c r="O41" i="5" a="1"/>
  <c r="O41" i="5" s="1"/>
  <c r="O40" i="5" a="1"/>
  <c r="O40" i="5" s="1"/>
  <c r="O39" i="5" a="1"/>
  <c r="O39" i="5" s="1"/>
  <c r="D1129" i="11" l="1"/>
  <c r="D1132" i="11"/>
  <c r="D1134" i="11"/>
  <c r="D1119" i="11"/>
  <c r="D1120" i="11"/>
  <c r="D1131" i="11"/>
  <c r="D1133" i="11"/>
  <c r="D1121" i="11"/>
  <c r="D1122" i="11"/>
  <c r="D1123" i="11"/>
  <c r="D1125" i="11"/>
  <c r="D1128" i="11"/>
  <c r="D1135" i="11"/>
  <c r="D1126" i="11"/>
  <c r="D1127" i="11"/>
  <c r="D1118" i="11"/>
  <c r="D1130" i="11"/>
  <c r="D1124" i="11"/>
  <c r="C1100" i="11"/>
  <c r="A1095" i="11"/>
  <c r="C1095" i="11"/>
  <c r="A1047" i="11"/>
  <c r="C1047" i="11"/>
  <c r="A5" i="11"/>
  <c r="C5" i="11"/>
  <c r="A9" i="11"/>
  <c r="C9" i="11"/>
  <c r="A13" i="11"/>
  <c r="C13" i="11"/>
  <c r="A17" i="11"/>
  <c r="C17" i="11"/>
  <c r="A21" i="11"/>
  <c r="C21" i="11"/>
  <c r="A25" i="11"/>
  <c r="C25" i="11"/>
  <c r="A29" i="11"/>
  <c r="C29" i="11"/>
  <c r="A33" i="11"/>
  <c r="C33" i="11"/>
  <c r="A37" i="11"/>
  <c r="C37" i="11"/>
  <c r="A41" i="11"/>
  <c r="C41" i="11"/>
  <c r="A45" i="11"/>
  <c r="C45" i="11"/>
  <c r="A49" i="11"/>
  <c r="C49" i="11"/>
  <c r="A53" i="11"/>
  <c r="C53" i="11"/>
  <c r="A57" i="11"/>
  <c r="C57" i="11"/>
  <c r="A61" i="11"/>
  <c r="C61" i="11"/>
  <c r="A65" i="11"/>
  <c r="C65" i="11"/>
  <c r="A69" i="11"/>
  <c r="C69" i="11"/>
  <c r="A73" i="11"/>
  <c r="C73" i="11"/>
  <c r="A77" i="11"/>
  <c r="C77" i="11"/>
  <c r="A81" i="11"/>
  <c r="C81" i="11"/>
  <c r="A85" i="11"/>
  <c r="C85" i="11"/>
  <c r="A89" i="11"/>
  <c r="C89" i="11"/>
  <c r="A93" i="11"/>
  <c r="C93" i="11"/>
  <c r="A97" i="11"/>
  <c r="C97" i="11"/>
  <c r="A101" i="11"/>
  <c r="C101" i="11"/>
  <c r="A105" i="11"/>
  <c r="C105" i="11"/>
  <c r="A109" i="11"/>
  <c r="C109" i="11"/>
  <c r="A113" i="11"/>
  <c r="C113" i="11"/>
  <c r="A117" i="11"/>
  <c r="C117" i="11"/>
  <c r="A121" i="11"/>
  <c r="C121" i="11"/>
  <c r="A125" i="11"/>
  <c r="C125" i="11"/>
  <c r="A129" i="11"/>
  <c r="C129" i="11"/>
  <c r="A133" i="11"/>
  <c r="C133" i="11"/>
  <c r="A137" i="11"/>
  <c r="C137" i="11"/>
  <c r="A141" i="11"/>
  <c r="C141" i="11"/>
  <c r="A145" i="11"/>
  <c r="C145" i="11"/>
  <c r="A149" i="11"/>
  <c r="C149" i="11"/>
  <c r="A153" i="11"/>
  <c r="C153" i="11"/>
  <c r="A157" i="11"/>
  <c r="C157" i="11"/>
  <c r="A161" i="11"/>
  <c r="C161" i="11"/>
  <c r="A165" i="11"/>
  <c r="C165" i="11"/>
  <c r="A169" i="11"/>
  <c r="C169" i="11"/>
  <c r="A173" i="11"/>
  <c r="C173" i="11"/>
  <c r="A177" i="11"/>
  <c r="C177" i="11"/>
  <c r="A181" i="11"/>
  <c r="C181" i="11"/>
  <c r="A185" i="11"/>
  <c r="C185" i="11"/>
  <c r="A189" i="11"/>
  <c r="C189" i="11"/>
  <c r="A193" i="11"/>
  <c r="C193" i="11"/>
  <c r="A197" i="11"/>
  <c r="C197" i="11"/>
  <c r="A201" i="11"/>
  <c r="C201" i="11"/>
  <c r="A205" i="11"/>
  <c r="C205" i="11"/>
  <c r="A209" i="11"/>
  <c r="C209" i="11"/>
  <c r="A213" i="11"/>
  <c r="C213" i="11"/>
  <c r="A217" i="11"/>
  <c r="C217" i="11"/>
  <c r="A221" i="11"/>
  <c r="C221" i="11"/>
  <c r="A225" i="11"/>
  <c r="C225" i="11"/>
  <c r="A229" i="11"/>
  <c r="C229" i="11"/>
  <c r="A233" i="11"/>
  <c r="C233" i="11"/>
  <c r="A237" i="11"/>
  <c r="C237" i="11"/>
  <c r="A241" i="11"/>
  <c r="C241" i="11"/>
  <c r="A245" i="11"/>
  <c r="C245" i="11"/>
  <c r="A249" i="11"/>
  <c r="C249" i="11"/>
  <c r="A253" i="11"/>
  <c r="C253" i="11"/>
  <c r="A257" i="11"/>
  <c r="C257" i="11"/>
  <c r="A261" i="11"/>
  <c r="C261" i="11"/>
  <c r="A265" i="11"/>
  <c r="C265" i="11"/>
  <c r="A269" i="11"/>
  <c r="C269" i="11"/>
  <c r="A273" i="11"/>
  <c r="C273" i="11"/>
  <c r="A277" i="11"/>
  <c r="C277" i="11"/>
  <c r="A281" i="11"/>
  <c r="C281" i="11"/>
  <c r="A285" i="11"/>
  <c r="C285" i="11"/>
  <c r="A289" i="11"/>
  <c r="C289" i="11"/>
  <c r="A293" i="11"/>
  <c r="C293" i="11"/>
  <c r="A297" i="11"/>
  <c r="C297" i="11"/>
  <c r="A301" i="11"/>
  <c r="C301" i="11"/>
  <c r="A305" i="11"/>
  <c r="C305" i="11"/>
  <c r="A309" i="11"/>
  <c r="C309" i="11"/>
  <c r="A313" i="11"/>
  <c r="C313" i="11"/>
  <c r="A317" i="11"/>
  <c r="C317" i="11"/>
  <c r="A321" i="11"/>
  <c r="C321" i="11"/>
  <c r="A325" i="11"/>
  <c r="C325" i="11"/>
  <c r="A329" i="11"/>
  <c r="C329" i="11"/>
  <c r="A333" i="11"/>
  <c r="C333" i="11"/>
  <c r="A341" i="11"/>
  <c r="C341" i="11"/>
  <c r="A345" i="11"/>
  <c r="C345" i="11"/>
  <c r="A349" i="11"/>
  <c r="C349" i="11"/>
  <c r="A353" i="11"/>
  <c r="C353" i="11"/>
  <c r="A357" i="11"/>
  <c r="C357" i="11"/>
  <c r="A361" i="11"/>
  <c r="C361" i="11"/>
  <c r="A365" i="11"/>
  <c r="C365" i="11"/>
  <c r="A369" i="11"/>
  <c r="C369" i="11"/>
  <c r="A377" i="11"/>
  <c r="C377" i="11"/>
  <c r="A381" i="11"/>
  <c r="C381" i="11"/>
  <c r="A385" i="11"/>
  <c r="C385" i="11"/>
  <c r="A389" i="11"/>
  <c r="C389" i="11"/>
  <c r="A393" i="11"/>
  <c r="C393" i="11"/>
  <c r="A401" i="11"/>
  <c r="C401" i="11"/>
  <c r="A405" i="11"/>
  <c r="C405" i="11"/>
  <c r="A413" i="11"/>
  <c r="C413" i="11"/>
  <c r="A417" i="11"/>
  <c r="C417" i="11"/>
  <c r="A421" i="11"/>
  <c r="C421" i="11"/>
  <c r="A425" i="11"/>
  <c r="C425" i="11"/>
  <c r="A429" i="11"/>
  <c r="C429" i="11"/>
  <c r="A437" i="11"/>
  <c r="C437" i="11"/>
  <c r="A441" i="11"/>
  <c r="C441" i="11"/>
  <c r="A449" i="11"/>
  <c r="C449" i="11"/>
  <c r="A453" i="11"/>
  <c r="C453" i="11"/>
  <c r="A457" i="11"/>
  <c r="C457" i="11"/>
  <c r="A461" i="11"/>
  <c r="C461" i="11"/>
  <c r="A465" i="11"/>
  <c r="C465" i="11"/>
  <c r="A473" i="11"/>
  <c r="C473" i="11"/>
  <c r="A477" i="11"/>
  <c r="C477" i="11"/>
  <c r="A485" i="11"/>
  <c r="C485" i="11"/>
  <c r="A489" i="11"/>
  <c r="C489" i="11"/>
  <c r="A493" i="11"/>
  <c r="C493" i="11"/>
  <c r="A497" i="11"/>
  <c r="C497" i="11"/>
  <c r="A501" i="11"/>
  <c r="C501" i="11"/>
  <c r="A509" i="11"/>
  <c r="C509" i="11"/>
  <c r="A513" i="11"/>
  <c r="C513" i="11"/>
  <c r="A525" i="11"/>
  <c r="C525" i="11"/>
  <c r="A529" i="11"/>
  <c r="C529" i="11"/>
  <c r="A533" i="11"/>
  <c r="C533" i="11"/>
  <c r="A537" i="11"/>
  <c r="C537" i="11"/>
  <c r="A545" i="11"/>
  <c r="C545" i="11"/>
  <c r="A549" i="11"/>
  <c r="C549" i="11"/>
  <c r="A557" i="11"/>
  <c r="C557" i="11"/>
  <c r="A561" i="11"/>
  <c r="C561" i="11"/>
  <c r="A565" i="11"/>
  <c r="C565" i="11"/>
  <c r="A569" i="11"/>
  <c r="C569" i="11"/>
  <c r="A573" i="11"/>
  <c r="C573" i="11"/>
  <c r="A577" i="11"/>
  <c r="C577" i="11"/>
  <c r="A581" i="11"/>
  <c r="C581" i="11"/>
  <c r="A585" i="11"/>
  <c r="C585" i="11"/>
  <c r="A593" i="11"/>
  <c r="C593" i="11"/>
  <c r="A597" i="11"/>
  <c r="C597" i="11"/>
  <c r="A601" i="11"/>
  <c r="C601" i="11"/>
  <c r="A605" i="11"/>
  <c r="C605" i="11"/>
  <c r="A609" i="11"/>
  <c r="C609" i="11"/>
  <c r="A613" i="11"/>
  <c r="C613" i="11"/>
  <c r="A617" i="11"/>
  <c r="C617" i="11"/>
  <c r="A621" i="11"/>
  <c r="C621" i="11"/>
  <c r="A629" i="11"/>
  <c r="C629" i="11"/>
  <c r="A633" i="11"/>
  <c r="C633" i="11"/>
  <c r="A637" i="11"/>
  <c r="C637" i="11"/>
  <c r="A641" i="11"/>
  <c r="C641" i="11"/>
  <c r="A645" i="11"/>
  <c r="C645" i="11"/>
  <c r="A649" i="11"/>
  <c r="C649" i="11"/>
  <c r="A653" i="11"/>
  <c r="C653" i="11"/>
  <c r="A657" i="11"/>
  <c r="C657" i="11"/>
  <c r="A665" i="11"/>
  <c r="C665" i="11"/>
  <c r="A669" i="11"/>
  <c r="C669" i="11"/>
  <c r="A673" i="11"/>
  <c r="C673" i="11"/>
  <c r="A677" i="11"/>
  <c r="C677" i="11"/>
  <c r="A681" i="11"/>
  <c r="C681" i="11"/>
  <c r="A685" i="11"/>
  <c r="C685" i="11"/>
  <c r="A689" i="11"/>
  <c r="C689" i="11"/>
  <c r="A693" i="11"/>
  <c r="C693" i="11"/>
  <c r="A697" i="11"/>
  <c r="C697" i="11"/>
  <c r="A701" i="11"/>
  <c r="C701" i="11"/>
  <c r="A705" i="11"/>
  <c r="C705" i="11"/>
  <c r="A709" i="11"/>
  <c r="C709" i="11"/>
  <c r="A713" i="11"/>
  <c r="C713" i="11"/>
  <c r="A717" i="11"/>
  <c r="C717" i="11"/>
  <c r="A721" i="11"/>
  <c r="C721" i="11"/>
  <c r="A725" i="11"/>
  <c r="C725" i="11"/>
  <c r="A729" i="11"/>
  <c r="C729" i="11"/>
  <c r="A737" i="11"/>
  <c r="C737" i="11"/>
  <c r="A741" i="11"/>
  <c r="C741" i="11"/>
  <c r="A745" i="11"/>
  <c r="C745" i="11"/>
  <c r="A749" i="11"/>
  <c r="C749" i="11"/>
  <c r="A753" i="11"/>
  <c r="C753" i="11"/>
  <c r="A757" i="11"/>
  <c r="C757" i="11"/>
  <c r="A761" i="11"/>
  <c r="C761" i="11"/>
  <c r="A765" i="11"/>
  <c r="C765" i="11"/>
  <c r="A773" i="11"/>
  <c r="C773" i="11"/>
  <c r="A777" i="11"/>
  <c r="C777" i="11"/>
  <c r="A789" i="11"/>
  <c r="C789" i="11"/>
  <c r="A801" i="11"/>
  <c r="C801" i="11"/>
  <c r="A813" i="11"/>
  <c r="C813" i="11"/>
  <c r="A825" i="11"/>
  <c r="C825" i="11"/>
  <c r="A829" i="11"/>
  <c r="C829" i="11"/>
  <c r="A933" i="11"/>
  <c r="C933" i="11"/>
  <c r="A945" i="11"/>
  <c r="C945" i="11"/>
  <c r="A957" i="11"/>
  <c r="C957" i="11"/>
  <c r="A969" i="11"/>
  <c r="C969" i="11"/>
  <c r="A981" i="11"/>
  <c r="C981" i="11"/>
  <c r="A993" i="11"/>
  <c r="C993" i="11"/>
  <c r="A1005" i="11"/>
  <c r="C1005" i="11"/>
  <c r="A1017" i="11"/>
  <c r="C1017" i="11"/>
  <c r="A837" i="11"/>
  <c r="C837" i="11"/>
  <c r="A849" i="11"/>
  <c r="C849" i="11"/>
  <c r="A861" i="11"/>
  <c r="C861" i="11"/>
  <c r="A869" i="11"/>
  <c r="C869" i="11"/>
  <c r="A873" i="11"/>
  <c r="C873" i="11"/>
  <c r="A877" i="11"/>
  <c r="C877" i="11"/>
  <c r="A881" i="11"/>
  <c r="C881" i="11"/>
  <c r="A885" i="11"/>
  <c r="C885" i="11"/>
  <c r="A897" i="11"/>
  <c r="C897" i="11"/>
  <c r="A909" i="11"/>
  <c r="C909" i="11"/>
  <c r="A921" i="11"/>
  <c r="C921" i="11"/>
  <c r="A1098" i="11"/>
  <c r="C1098" i="11"/>
  <c r="A1086" i="11"/>
  <c r="C1086" i="11"/>
  <c r="A1050" i="11"/>
  <c r="C1050" i="11"/>
  <c r="D1038" i="11"/>
  <c r="C1038" i="11"/>
  <c r="A10" i="11"/>
  <c r="C10" i="11"/>
  <c r="A18" i="11"/>
  <c r="C18" i="11"/>
  <c r="A26" i="11"/>
  <c r="C26" i="11"/>
  <c r="A34" i="11"/>
  <c r="C34" i="11"/>
  <c r="A46" i="11"/>
  <c r="C46" i="11"/>
  <c r="A54" i="11"/>
  <c r="C54" i="11"/>
  <c r="A58" i="11"/>
  <c r="C58" i="11"/>
  <c r="A66" i="11"/>
  <c r="C66" i="11"/>
  <c r="A70" i="11"/>
  <c r="C70" i="11"/>
  <c r="A78" i="11"/>
  <c r="C78" i="11"/>
  <c r="A86" i="11"/>
  <c r="C86" i="11"/>
  <c r="A94" i="11"/>
  <c r="C94" i="11"/>
  <c r="A102" i="11"/>
  <c r="C102" i="11"/>
  <c r="A110" i="11"/>
  <c r="C110" i="11"/>
  <c r="A118" i="11"/>
  <c r="C118" i="11"/>
  <c r="A122" i="11"/>
  <c r="C122" i="11"/>
  <c r="A130" i="11"/>
  <c r="C130" i="11"/>
  <c r="A134" i="11"/>
  <c r="C134" i="11"/>
  <c r="A138" i="11"/>
  <c r="C138" i="11"/>
  <c r="A142" i="11"/>
  <c r="C142" i="11"/>
  <c r="A146" i="11"/>
  <c r="C146" i="11"/>
  <c r="A150" i="11"/>
  <c r="C150" i="11"/>
  <c r="A154" i="11"/>
  <c r="C154" i="11"/>
  <c r="A158" i="11"/>
  <c r="C158" i="11"/>
  <c r="A162" i="11"/>
  <c r="C162" i="11"/>
  <c r="A166" i="11"/>
  <c r="C166" i="11"/>
  <c r="A170" i="11"/>
  <c r="C170" i="11"/>
  <c r="A174" i="11"/>
  <c r="C174" i="11"/>
  <c r="A178" i="11"/>
  <c r="C178" i="11"/>
  <c r="A182" i="11"/>
  <c r="C182" i="11"/>
  <c r="A186" i="11"/>
  <c r="C186" i="11"/>
  <c r="A190" i="11"/>
  <c r="C190" i="11"/>
  <c r="A194" i="11"/>
  <c r="C194" i="11"/>
  <c r="A202" i="11"/>
  <c r="C202" i="11"/>
  <c r="A206" i="11"/>
  <c r="C206" i="11"/>
  <c r="A210" i="11"/>
  <c r="C210" i="11"/>
  <c r="A214" i="11"/>
  <c r="C214" i="11"/>
  <c r="A218" i="11"/>
  <c r="C218" i="11"/>
  <c r="A222" i="11"/>
  <c r="C222" i="11"/>
  <c r="A226" i="11"/>
  <c r="C226" i="11"/>
  <c r="A230" i="11"/>
  <c r="C230" i="11"/>
  <c r="A234" i="11"/>
  <c r="C234" i="11"/>
  <c r="A238" i="11"/>
  <c r="C238" i="11"/>
  <c r="A242" i="11"/>
  <c r="C242" i="11"/>
  <c r="A246" i="11"/>
  <c r="C246" i="11"/>
  <c r="A250" i="11"/>
  <c r="C250" i="11"/>
  <c r="A254" i="11"/>
  <c r="C254" i="11"/>
  <c r="A258" i="11"/>
  <c r="C258" i="11"/>
  <c r="A262" i="11"/>
  <c r="C262" i="11"/>
  <c r="A266" i="11"/>
  <c r="C266" i="11"/>
  <c r="A270" i="11"/>
  <c r="C270" i="11"/>
  <c r="A274" i="11"/>
  <c r="C274" i="11"/>
  <c r="A278" i="11"/>
  <c r="C278" i="11"/>
  <c r="A282" i="11"/>
  <c r="C282" i="11"/>
  <c r="A286" i="11"/>
  <c r="C286" i="11"/>
  <c r="A290" i="11"/>
  <c r="C290" i="11"/>
  <c r="A294" i="11"/>
  <c r="C294" i="11"/>
  <c r="A298" i="11"/>
  <c r="C298" i="11"/>
  <c r="A302" i="11"/>
  <c r="C302" i="11"/>
  <c r="A306" i="11"/>
  <c r="C306" i="11"/>
  <c r="A310" i="11"/>
  <c r="C310" i="11"/>
  <c r="A314" i="11"/>
  <c r="C314" i="11"/>
  <c r="A318" i="11"/>
  <c r="C318" i="11"/>
  <c r="A322" i="11"/>
  <c r="C322" i="11"/>
  <c r="A326" i="11"/>
  <c r="C326" i="11"/>
  <c r="A330" i="11"/>
  <c r="C330" i="11"/>
  <c r="A334" i="11"/>
  <c r="C334" i="11"/>
  <c r="A338" i="11"/>
  <c r="C338" i="11"/>
  <c r="A342" i="11"/>
  <c r="C342" i="11"/>
  <c r="A346" i="11"/>
  <c r="C346" i="11"/>
  <c r="A350" i="11"/>
  <c r="C350" i="11"/>
  <c r="A354" i="11"/>
  <c r="C354" i="11"/>
  <c r="A358" i="11"/>
  <c r="C358" i="11"/>
  <c r="A362" i="11"/>
  <c r="C362" i="11"/>
  <c r="A366" i="11"/>
  <c r="C366" i="11"/>
  <c r="A370" i="11"/>
  <c r="C370" i="11"/>
  <c r="A374" i="11"/>
  <c r="C374" i="11"/>
  <c r="A378" i="11"/>
  <c r="C378" i="11"/>
  <c r="A382" i="11"/>
  <c r="C382" i="11"/>
  <c r="A386" i="11"/>
  <c r="C386" i="11"/>
  <c r="A390" i="11"/>
  <c r="C390" i="11"/>
  <c r="A394" i="11"/>
  <c r="C394" i="11"/>
  <c r="A398" i="11"/>
  <c r="C398" i="11"/>
  <c r="A402" i="11"/>
  <c r="C402" i="11"/>
  <c r="A406" i="11"/>
  <c r="C406" i="11"/>
  <c r="A410" i="11"/>
  <c r="C410" i="11"/>
  <c r="A414" i="11"/>
  <c r="C414" i="11"/>
  <c r="A418" i="11"/>
  <c r="C418" i="11"/>
  <c r="A422" i="11"/>
  <c r="C422" i="11"/>
  <c r="A426" i="11"/>
  <c r="C426" i="11"/>
  <c r="A430" i="11"/>
  <c r="C430" i="11"/>
  <c r="A434" i="11"/>
  <c r="C434" i="11"/>
  <c r="A438" i="11"/>
  <c r="C438" i="11"/>
  <c r="A442" i="11"/>
  <c r="C442" i="11"/>
  <c r="A446" i="11"/>
  <c r="C446" i="11"/>
  <c r="A450" i="11"/>
  <c r="C450" i="11"/>
  <c r="A454" i="11"/>
  <c r="C454" i="11"/>
  <c r="A458" i="11"/>
  <c r="C458" i="11"/>
  <c r="A462" i="11"/>
  <c r="C462" i="11"/>
  <c r="A466" i="11"/>
  <c r="C466" i="11"/>
  <c r="A470" i="11"/>
  <c r="C470" i="11"/>
  <c r="A474" i="11"/>
  <c r="C474" i="11"/>
  <c r="A478" i="11"/>
  <c r="C478" i="11"/>
  <c r="A482" i="11"/>
  <c r="C482" i="11"/>
  <c r="A486" i="11"/>
  <c r="C486" i="11"/>
  <c r="A490" i="11"/>
  <c r="C490" i="11"/>
  <c r="A494" i="11"/>
  <c r="C494" i="11"/>
  <c r="A502" i="11"/>
  <c r="C502" i="11"/>
  <c r="A506" i="11"/>
  <c r="C506" i="11"/>
  <c r="A510" i="11"/>
  <c r="C510" i="11"/>
  <c r="A514" i="11"/>
  <c r="C514" i="11"/>
  <c r="A518" i="11"/>
  <c r="C518" i="11"/>
  <c r="A522" i="11"/>
  <c r="C522" i="11"/>
  <c r="A526" i="11"/>
  <c r="C526" i="11"/>
  <c r="A530" i="11"/>
  <c r="C530" i="11"/>
  <c r="A538" i="11"/>
  <c r="C538" i="11"/>
  <c r="A542" i="11"/>
  <c r="C542" i="11"/>
  <c r="A546" i="11"/>
  <c r="C546" i="11"/>
  <c r="A554" i="11"/>
  <c r="C554" i="11"/>
  <c r="A558" i="11"/>
  <c r="C558" i="11"/>
  <c r="A562" i="11"/>
  <c r="C562" i="11"/>
  <c r="A566" i="11"/>
  <c r="C566" i="11"/>
  <c r="A574" i="11"/>
  <c r="C574" i="11"/>
  <c r="A578" i="11"/>
  <c r="C578" i="11"/>
  <c r="A586" i="11"/>
  <c r="C586" i="11"/>
  <c r="A590" i="11"/>
  <c r="C590" i="11"/>
  <c r="A598" i="11"/>
  <c r="C598" i="11"/>
  <c r="A602" i="11"/>
  <c r="C602" i="11"/>
  <c r="A610" i="11"/>
  <c r="C610" i="11"/>
  <c r="A614" i="11"/>
  <c r="C614" i="11"/>
  <c r="A622" i="11"/>
  <c r="C622" i="11"/>
  <c r="A626" i="11"/>
  <c r="C626" i="11"/>
  <c r="A634" i="11"/>
  <c r="C634" i="11"/>
  <c r="A638" i="11"/>
  <c r="C638" i="11"/>
  <c r="A646" i="11"/>
  <c r="C646" i="11"/>
  <c r="A650" i="11"/>
  <c r="C650" i="11"/>
  <c r="A658" i="11"/>
  <c r="C658" i="11"/>
  <c r="A662" i="11"/>
  <c r="C662" i="11"/>
  <c r="A670" i="11"/>
  <c r="C670" i="11"/>
  <c r="A674" i="11"/>
  <c r="C674" i="11"/>
  <c r="A682" i="11"/>
  <c r="C682" i="11"/>
  <c r="A686" i="11"/>
  <c r="C686" i="11"/>
  <c r="A694" i="11"/>
  <c r="C694" i="11"/>
  <c r="A698" i="11"/>
  <c r="C698" i="11"/>
  <c r="A706" i="11"/>
  <c r="C706" i="11"/>
  <c r="A710" i="11"/>
  <c r="C710" i="11"/>
  <c r="A718" i="11"/>
  <c r="C718" i="11"/>
  <c r="A722" i="11"/>
  <c r="C722" i="11"/>
  <c r="A730" i="11"/>
  <c r="C730" i="11"/>
  <c r="A734" i="11"/>
  <c r="C734" i="11"/>
  <c r="A742" i="11"/>
  <c r="C742" i="11"/>
  <c r="A746" i="11"/>
  <c r="C746" i="11"/>
  <c r="A754" i="11"/>
  <c r="C754" i="11"/>
  <c r="A758" i="11"/>
  <c r="C758" i="11"/>
  <c r="A766" i="11"/>
  <c r="C766" i="11"/>
  <c r="A770" i="11"/>
  <c r="C770" i="11"/>
  <c r="A778" i="11"/>
  <c r="C778" i="11"/>
  <c r="A782" i="11"/>
  <c r="C782" i="11"/>
  <c r="A786" i="11"/>
  <c r="C786" i="11"/>
  <c r="A794" i="11"/>
  <c r="C794" i="11"/>
  <c r="A806" i="11"/>
  <c r="C806" i="11"/>
  <c r="A810" i="11"/>
  <c r="C810" i="11"/>
  <c r="A818" i="11"/>
  <c r="C818" i="11"/>
  <c r="A822" i="11"/>
  <c r="C822" i="11"/>
  <c r="A830" i="11"/>
  <c r="C830" i="11"/>
  <c r="A938" i="11"/>
  <c r="C938" i="11"/>
  <c r="A950" i="11"/>
  <c r="C950" i="11"/>
  <c r="A962" i="11"/>
  <c r="C962" i="11"/>
  <c r="A974" i="11"/>
  <c r="C974" i="11"/>
  <c r="A986" i="11"/>
  <c r="C986" i="11"/>
  <c r="A1010" i="11"/>
  <c r="C1010" i="11"/>
  <c r="A1022" i="11"/>
  <c r="C1022" i="11"/>
  <c r="A2" i="11"/>
  <c r="C2" i="11"/>
  <c r="A6" i="11"/>
  <c r="C6" i="11"/>
  <c r="A14" i="11"/>
  <c r="C14" i="11"/>
  <c r="A22" i="11"/>
  <c r="C22" i="11"/>
  <c r="A30" i="11"/>
  <c r="C30" i="11"/>
  <c r="A38" i="11"/>
  <c r="C38" i="11"/>
  <c r="A42" i="11"/>
  <c r="C42" i="11"/>
  <c r="A50" i="11"/>
  <c r="C50" i="11"/>
  <c r="A62" i="11"/>
  <c r="C62" i="11"/>
  <c r="A74" i="11"/>
  <c r="C74" i="11"/>
  <c r="A82" i="11"/>
  <c r="C82" i="11"/>
  <c r="A90" i="11"/>
  <c r="C90" i="11"/>
  <c r="A98" i="11"/>
  <c r="C98" i="11"/>
  <c r="A106" i="11"/>
  <c r="C106" i="11"/>
  <c r="A114" i="11"/>
  <c r="C114" i="11"/>
  <c r="A126" i="11"/>
  <c r="C126" i="11"/>
  <c r="A198" i="11"/>
  <c r="C198" i="11"/>
  <c r="A842" i="11"/>
  <c r="C842" i="11"/>
  <c r="A846" i="11"/>
  <c r="C846" i="11"/>
  <c r="A854" i="11"/>
  <c r="C854" i="11"/>
  <c r="A866" i="11"/>
  <c r="C866" i="11"/>
  <c r="A878" i="11"/>
  <c r="C878" i="11"/>
  <c r="A890" i="11"/>
  <c r="C890" i="11"/>
  <c r="A902" i="11"/>
  <c r="C902" i="11"/>
  <c r="A914" i="11"/>
  <c r="C914" i="11"/>
  <c r="A926" i="11"/>
  <c r="C926" i="11"/>
  <c r="A930" i="11"/>
  <c r="C930" i="11"/>
  <c r="A998" i="11"/>
  <c r="C998" i="11"/>
  <c r="A1101" i="11"/>
  <c r="C1101" i="11"/>
  <c r="A1077" i="11"/>
  <c r="C1077" i="11"/>
  <c r="A3" i="11"/>
  <c r="C3" i="11"/>
  <c r="A7" i="11"/>
  <c r="C7" i="11"/>
  <c r="A11" i="11"/>
  <c r="C11" i="11"/>
  <c r="A15" i="11"/>
  <c r="C15" i="11"/>
  <c r="A19" i="11"/>
  <c r="C19" i="11"/>
  <c r="A23" i="11"/>
  <c r="C23" i="11"/>
  <c r="A27" i="11"/>
  <c r="C27" i="11"/>
  <c r="A31" i="11"/>
  <c r="C31" i="11"/>
  <c r="A35" i="11"/>
  <c r="C35" i="11"/>
  <c r="A39" i="11"/>
  <c r="C39" i="11"/>
  <c r="A43" i="11"/>
  <c r="C43" i="11"/>
  <c r="A47" i="11"/>
  <c r="C47" i="11"/>
  <c r="A51" i="11"/>
  <c r="C51" i="11"/>
  <c r="A55" i="11"/>
  <c r="C55" i="11"/>
  <c r="A59" i="11"/>
  <c r="C59" i="11"/>
  <c r="A63" i="11"/>
  <c r="C63" i="11"/>
  <c r="A67" i="11"/>
  <c r="C67" i="11"/>
  <c r="A71" i="11"/>
  <c r="C71" i="11"/>
  <c r="A75" i="11"/>
  <c r="C75" i="11"/>
  <c r="A79" i="11"/>
  <c r="C79" i="11"/>
  <c r="A83" i="11"/>
  <c r="C83" i="11"/>
  <c r="A87" i="11"/>
  <c r="C87" i="11"/>
  <c r="A91" i="11"/>
  <c r="C91" i="11"/>
  <c r="A95" i="11"/>
  <c r="C95" i="11"/>
  <c r="A99" i="11"/>
  <c r="C99" i="11"/>
  <c r="A103" i="11"/>
  <c r="C103" i="11"/>
  <c r="A107" i="11"/>
  <c r="C107" i="11"/>
  <c r="A111" i="11"/>
  <c r="C111" i="11"/>
  <c r="A115" i="11"/>
  <c r="C115" i="11"/>
  <c r="A119" i="11"/>
  <c r="C119" i="11"/>
  <c r="A123" i="11"/>
  <c r="C123" i="11"/>
  <c r="A127" i="11"/>
  <c r="C127" i="11"/>
  <c r="A131" i="11"/>
  <c r="C131" i="11"/>
  <c r="A135" i="11"/>
  <c r="C135" i="11"/>
  <c r="A139" i="11"/>
  <c r="C139" i="11"/>
  <c r="A143" i="11"/>
  <c r="C143" i="11"/>
  <c r="A147" i="11"/>
  <c r="C147" i="11"/>
  <c r="A151" i="11"/>
  <c r="C151" i="11"/>
  <c r="A155" i="11"/>
  <c r="C155" i="11"/>
  <c r="A159" i="11"/>
  <c r="C159" i="11"/>
  <c r="A163" i="11"/>
  <c r="C163" i="11"/>
  <c r="A167" i="11"/>
  <c r="C167" i="11"/>
  <c r="A171" i="11"/>
  <c r="C171" i="11"/>
  <c r="A175" i="11"/>
  <c r="C175" i="11"/>
  <c r="A179" i="11"/>
  <c r="C179" i="11"/>
  <c r="A183" i="11"/>
  <c r="C183" i="11"/>
  <c r="A187" i="11"/>
  <c r="C187" i="11"/>
  <c r="A191" i="11"/>
  <c r="C191" i="11"/>
  <c r="A195" i="11"/>
  <c r="C195" i="11"/>
  <c r="A199" i="11"/>
  <c r="C199" i="11"/>
  <c r="A203" i="11"/>
  <c r="C203" i="11"/>
  <c r="A207" i="11"/>
  <c r="C207" i="11"/>
  <c r="A211" i="11"/>
  <c r="C211" i="11"/>
  <c r="A215" i="11"/>
  <c r="C215" i="11"/>
  <c r="A219" i="11"/>
  <c r="C219" i="11"/>
  <c r="A223" i="11"/>
  <c r="C223" i="11"/>
  <c r="A227" i="11"/>
  <c r="C227" i="11"/>
  <c r="A231" i="11"/>
  <c r="C231" i="11"/>
  <c r="A235" i="11"/>
  <c r="C235" i="11"/>
  <c r="A239" i="11"/>
  <c r="C239" i="11"/>
  <c r="A243" i="11"/>
  <c r="C243" i="11"/>
  <c r="A247" i="11"/>
  <c r="C247" i="11"/>
  <c r="A251" i="11"/>
  <c r="C251" i="11"/>
  <c r="A255" i="11"/>
  <c r="C255" i="11"/>
  <c r="A259" i="11"/>
  <c r="C259" i="11"/>
  <c r="A263" i="11"/>
  <c r="C263" i="11"/>
  <c r="A267" i="11"/>
  <c r="C267" i="11"/>
  <c r="A271" i="11"/>
  <c r="C271" i="11"/>
  <c r="A275" i="11"/>
  <c r="C275" i="11"/>
  <c r="A279" i="11"/>
  <c r="C279" i="11"/>
  <c r="A283" i="11"/>
  <c r="C283" i="11"/>
  <c r="A287" i="11"/>
  <c r="C287" i="11"/>
  <c r="A291" i="11"/>
  <c r="C291" i="11"/>
  <c r="A295" i="11"/>
  <c r="C295" i="11"/>
  <c r="A299" i="11"/>
  <c r="C299" i="11"/>
  <c r="A303" i="11"/>
  <c r="C303" i="11"/>
  <c r="A307" i="11"/>
  <c r="C307" i="11"/>
  <c r="A311" i="11"/>
  <c r="C311" i="11"/>
  <c r="A315" i="11"/>
  <c r="C315" i="11"/>
  <c r="A319" i="11"/>
  <c r="C319" i="11"/>
  <c r="A323" i="11"/>
  <c r="C323" i="11"/>
  <c r="A327" i="11"/>
  <c r="C327" i="11"/>
  <c r="A331" i="11"/>
  <c r="C331" i="11"/>
  <c r="A335" i="11"/>
  <c r="C335" i="11"/>
  <c r="A339" i="11"/>
  <c r="C339" i="11"/>
  <c r="A343" i="11"/>
  <c r="C343" i="11"/>
  <c r="A347" i="11"/>
  <c r="C347" i="11"/>
  <c r="A351" i="11"/>
  <c r="C351" i="11"/>
  <c r="A355" i="11"/>
  <c r="C355" i="11"/>
  <c r="A359" i="11"/>
  <c r="C359" i="11"/>
  <c r="A363" i="11"/>
  <c r="C363" i="11"/>
  <c r="A367" i="11"/>
  <c r="C367" i="11"/>
  <c r="A371" i="11"/>
  <c r="C371" i="11"/>
  <c r="A375" i="11"/>
  <c r="C375" i="11"/>
  <c r="A379" i="11"/>
  <c r="C379" i="11"/>
  <c r="A383" i="11"/>
  <c r="C383" i="11"/>
  <c r="A387" i="11"/>
  <c r="C387" i="11"/>
  <c r="A391" i="11"/>
  <c r="C391" i="11"/>
  <c r="A395" i="11"/>
  <c r="C395" i="11"/>
  <c r="A399" i="11"/>
  <c r="C399" i="11"/>
  <c r="A403" i="11"/>
  <c r="C403" i="11"/>
  <c r="A407" i="11"/>
  <c r="C407" i="11"/>
  <c r="A411" i="11"/>
  <c r="C411" i="11"/>
  <c r="A415" i="11"/>
  <c r="C415" i="11"/>
  <c r="A419" i="11"/>
  <c r="C419" i="11"/>
  <c r="A423" i="11"/>
  <c r="C423" i="11"/>
  <c r="A431" i="11"/>
  <c r="C431" i="11"/>
  <c r="A435" i="11"/>
  <c r="C435" i="11"/>
  <c r="A439" i="11"/>
  <c r="C439" i="11"/>
  <c r="A443" i="11"/>
  <c r="C443" i="11"/>
  <c r="A447" i="11"/>
  <c r="C447" i="11"/>
  <c r="A451" i="11"/>
  <c r="C451" i="11"/>
  <c r="A455" i="11"/>
  <c r="C455" i="11"/>
  <c r="A459" i="11"/>
  <c r="C459" i="11"/>
  <c r="A467" i="11"/>
  <c r="C467" i="11"/>
  <c r="A471" i="11"/>
  <c r="C471" i="11"/>
  <c r="A475" i="11"/>
  <c r="C475" i="11"/>
  <c r="A479" i="11"/>
  <c r="C479" i="11"/>
  <c r="A483" i="11"/>
  <c r="C483" i="11"/>
  <c r="A487" i="11"/>
  <c r="C487" i="11"/>
  <c r="A491" i="11"/>
  <c r="C491" i="11"/>
  <c r="A495" i="11"/>
  <c r="C495" i="11"/>
  <c r="A503" i="11"/>
  <c r="C503" i="11"/>
  <c r="A507" i="11"/>
  <c r="C507" i="11"/>
  <c r="A515" i="11"/>
  <c r="C515" i="11"/>
  <c r="A519" i="11"/>
  <c r="C519" i="11"/>
  <c r="A523" i="11"/>
  <c r="C523" i="11"/>
  <c r="A527" i="11"/>
  <c r="C527" i="11"/>
  <c r="A531" i="11"/>
  <c r="C531" i="11"/>
  <c r="A539" i="11"/>
  <c r="C539" i="11"/>
  <c r="A551" i="11"/>
  <c r="C551" i="11"/>
  <c r="A555" i="11"/>
  <c r="C555" i="11"/>
  <c r="A559" i="11"/>
  <c r="C559" i="11"/>
  <c r="A567" i="11"/>
  <c r="C567" i="11"/>
  <c r="A571" i="11"/>
  <c r="C571" i="11"/>
  <c r="A575" i="11"/>
  <c r="C575" i="11"/>
  <c r="A583" i="11"/>
  <c r="C583" i="11"/>
  <c r="A587" i="11"/>
  <c r="C587" i="11"/>
  <c r="A591" i="11"/>
  <c r="C591" i="11"/>
  <c r="A599" i="11"/>
  <c r="C599" i="11"/>
  <c r="A603" i="11"/>
  <c r="C603" i="11"/>
  <c r="A607" i="11"/>
  <c r="C607" i="11"/>
  <c r="A611" i="11"/>
  <c r="C611" i="11"/>
  <c r="A619" i="11"/>
  <c r="C619" i="11"/>
  <c r="A623" i="11"/>
  <c r="C623" i="11"/>
  <c r="A627" i="11"/>
  <c r="C627" i="11"/>
  <c r="A631" i="11"/>
  <c r="C631" i="11"/>
  <c r="A635" i="11"/>
  <c r="C635" i="11"/>
  <c r="A639" i="11"/>
  <c r="C639" i="11"/>
  <c r="A647" i="11"/>
  <c r="C647" i="11"/>
  <c r="A655" i="11"/>
  <c r="C655" i="11"/>
  <c r="A659" i="11"/>
  <c r="C659" i="11"/>
  <c r="A663" i="11"/>
  <c r="C663" i="11"/>
  <c r="A667" i="11"/>
  <c r="C667" i="11"/>
  <c r="A671" i="11"/>
  <c r="C671" i="11"/>
  <c r="A675" i="11"/>
  <c r="C675" i="11"/>
  <c r="A679" i="11"/>
  <c r="C679" i="11"/>
  <c r="A683" i="11"/>
  <c r="C683" i="11"/>
  <c r="A691" i="11"/>
  <c r="C691" i="11"/>
  <c r="A695" i="11"/>
  <c r="C695" i="11"/>
  <c r="A699" i="11"/>
  <c r="C699" i="11"/>
  <c r="A707" i="11"/>
  <c r="C707" i="11"/>
  <c r="A711" i="11"/>
  <c r="C711" i="11"/>
  <c r="A715" i="11"/>
  <c r="C715" i="11"/>
  <c r="A719" i="11"/>
  <c r="C719" i="11"/>
  <c r="A727" i="11"/>
  <c r="C727" i="11"/>
  <c r="A731" i="11"/>
  <c r="C731" i="11"/>
  <c r="A743" i="11"/>
  <c r="C743" i="11"/>
  <c r="A747" i="11"/>
  <c r="C747" i="11"/>
  <c r="A751" i="11"/>
  <c r="C751" i="11"/>
  <c r="A755" i="11"/>
  <c r="C755" i="11"/>
  <c r="A763" i="11"/>
  <c r="C763" i="11"/>
  <c r="A767" i="11"/>
  <c r="C767" i="11"/>
  <c r="A775" i="11"/>
  <c r="C775" i="11"/>
  <c r="A779" i="11"/>
  <c r="C779" i="11"/>
  <c r="A795" i="11"/>
  <c r="C795" i="11"/>
  <c r="A823" i="11"/>
  <c r="C823" i="11"/>
  <c r="A827" i="11"/>
  <c r="C827" i="11"/>
  <c r="A867" i="11"/>
  <c r="C867" i="11"/>
  <c r="A951" i="11"/>
  <c r="C951" i="11"/>
  <c r="A1023" i="11"/>
  <c r="C1023" i="11"/>
  <c r="A1113" i="11"/>
  <c r="C1113" i="11"/>
  <c r="A915" i="11"/>
  <c r="C915" i="11"/>
  <c r="A1080" i="11"/>
  <c r="C1080" i="11"/>
  <c r="A1068" i="11"/>
  <c r="C1068" i="11"/>
  <c r="A4" i="11"/>
  <c r="C4" i="11"/>
  <c r="A8" i="11"/>
  <c r="C8" i="11"/>
  <c r="A12" i="11"/>
  <c r="C12" i="11"/>
  <c r="A16" i="11"/>
  <c r="C16" i="11"/>
  <c r="A20" i="11"/>
  <c r="C20" i="11"/>
  <c r="A24" i="11"/>
  <c r="C24" i="11"/>
  <c r="A28" i="11"/>
  <c r="C28" i="11"/>
  <c r="A32" i="11"/>
  <c r="C32" i="11"/>
  <c r="A36" i="11"/>
  <c r="C36" i="11"/>
  <c r="A40" i="11"/>
  <c r="C40" i="11"/>
  <c r="A44" i="11"/>
  <c r="C44" i="11"/>
  <c r="A48" i="11"/>
  <c r="C48" i="11"/>
  <c r="A52" i="11"/>
  <c r="C52" i="11"/>
  <c r="A56" i="11"/>
  <c r="C56" i="11"/>
  <c r="A60" i="11"/>
  <c r="C60" i="11"/>
  <c r="A64" i="11"/>
  <c r="C64" i="11"/>
  <c r="A68" i="11"/>
  <c r="C68" i="11"/>
  <c r="A72" i="11"/>
  <c r="C72" i="11"/>
  <c r="A76" i="11"/>
  <c r="C76" i="11"/>
  <c r="A80" i="11"/>
  <c r="C80" i="11"/>
  <c r="A84" i="11"/>
  <c r="C84" i="11"/>
  <c r="A88" i="11"/>
  <c r="C88" i="11"/>
  <c r="A92" i="11"/>
  <c r="C92" i="11"/>
  <c r="A96" i="11"/>
  <c r="C96" i="11"/>
  <c r="A100" i="11"/>
  <c r="C100" i="11"/>
  <c r="A104" i="11"/>
  <c r="C104" i="11"/>
  <c r="A108" i="11"/>
  <c r="C108" i="11"/>
  <c r="A112" i="11"/>
  <c r="C112" i="11"/>
  <c r="A116" i="11"/>
  <c r="C116" i="11"/>
  <c r="A120" i="11"/>
  <c r="C120" i="11"/>
  <c r="A124" i="11"/>
  <c r="C124" i="11"/>
  <c r="A128" i="11"/>
  <c r="C128" i="11"/>
  <c r="A132" i="11"/>
  <c r="C132" i="11"/>
  <c r="A136" i="11"/>
  <c r="C136" i="11"/>
  <c r="A140" i="11"/>
  <c r="C140" i="11"/>
  <c r="A144" i="11"/>
  <c r="C144" i="11"/>
  <c r="A148" i="11"/>
  <c r="C148" i="11"/>
  <c r="A152" i="11"/>
  <c r="C152" i="11"/>
  <c r="A156" i="11"/>
  <c r="C156" i="11"/>
  <c r="A160" i="11"/>
  <c r="C160" i="11"/>
  <c r="A164" i="11"/>
  <c r="C164" i="11"/>
  <c r="A168" i="11"/>
  <c r="C168" i="11"/>
  <c r="A172" i="11"/>
  <c r="C172" i="11"/>
  <c r="A176" i="11"/>
  <c r="C176" i="11"/>
  <c r="A180" i="11"/>
  <c r="C180" i="11"/>
  <c r="A184" i="11"/>
  <c r="C184" i="11"/>
  <c r="A188" i="11"/>
  <c r="C188" i="11"/>
  <c r="A192" i="11"/>
  <c r="C192" i="11"/>
  <c r="A196" i="11"/>
  <c r="C196" i="11"/>
  <c r="A200" i="11"/>
  <c r="C200" i="11"/>
  <c r="A204" i="11"/>
  <c r="C204" i="11"/>
  <c r="A208" i="11"/>
  <c r="C208" i="11"/>
  <c r="A212" i="11"/>
  <c r="C212" i="11"/>
  <c r="A216" i="11"/>
  <c r="C216" i="11"/>
  <c r="A220" i="11"/>
  <c r="C220" i="11"/>
  <c r="A224" i="11"/>
  <c r="C224" i="11"/>
  <c r="A228" i="11"/>
  <c r="C228" i="11"/>
  <c r="A232" i="11"/>
  <c r="C232" i="11"/>
  <c r="A236" i="11"/>
  <c r="C236" i="11"/>
  <c r="A240" i="11"/>
  <c r="C240" i="11"/>
  <c r="A244" i="11"/>
  <c r="C244" i="11"/>
  <c r="A248" i="11"/>
  <c r="C248" i="11"/>
  <c r="A252" i="11"/>
  <c r="C252" i="11"/>
  <c r="A256" i="11"/>
  <c r="C256" i="11"/>
  <c r="A260" i="11"/>
  <c r="C260" i="11"/>
  <c r="A264" i="11"/>
  <c r="C264" i="11"/>
  <c r="A268" i="11"/>
  <c r="C268" i="11"/>
  <c r="A272" i="11"/>
  <c r="C272" i="11"/>
  <c r="A276" i="11"/>
  <c r="C276" i="11"/>
  <c r="A280" i="11"/>
  <c r="C280" i="11"/>
  <c r="A284" i="11"/>
  <c r="C284" i="11"/>
  <c r="A288" i="11"/>
  <c r="C288" i="11"/>
  <c r="A292" i="11"/>
  <c r="C292" i="11"/>
  <c r="A296" i="11"/>
  <c r="C296" i="11"/>
  <c r="A300" i="11"/>
  <c r="C300" i="11"/>
  <c r="A304" i="11"/>
  <c r="C304" i="11"/>
  <c r="A308" i="11"/>
  <c r="C308" i="11"/>
  <c r="A312" i="11"/>
  <c r="C312" i="11"/>
  <c r="A316" i="11"/>
  <c r="C316" i="11"/>
  <c r="A320" i="11"/>
  <c r="C320" i="11"/>
  <c r="A324" i="11"/>
  <c r="C324" i="11"/>
  <c r="A328" i="11"/>
  <c r="C328" i="11"/>
  <c r="A332" i="11"/>
  <c r="C332" i="11"/>
  <c r="A336" i="11"/>
  <c r="C336" i="11"/>
  <c r="A340" i="11"/>
  <c r="C340" i="11"/>
  <c r="A344" i="11"/>
  <c r="C344" i="11"/>
  <c r="A348" i="11"/>
  <c r="C348" i="11"/>
  <c r="A352" i="11"/>
  <c r="C352" i="11"/>
  <c r="A356" i="11"/>
  <c r="C356" i="11"/>
  <c r="A360" i="11"/>
  <c r="C360" i="11"/>
  <c r="A364" i="11"/>
  <c r="C364" i="11"/>
  <c r="A368" i="11"/>
  <c r="C368" i="11"/>
  <c r="A372" i="11"/>
  <c r="C372" i="11"/>
  <c r="A376" i="11"/>
  <c r="C376" i="11"/>
  <c r="A380" i="11"/>
  <c r="C380" i="11"/>
  <c r="A384" i="11"/>
  <c r="C384" i="11"/>
  <c r="A388" i="11"/>
  <c r="C388" i="11"/>
  <c r="A392" i="11"/>
  <c r="C392" i="11"/>
  <c r="A396" i="11"/>
  <c r="C396" i="11"/>
  <c r="A400" i="11"/>
  <c r="C400" i="11"/>
  <c r="A404" i="11"/>
  <c r="C404" i="11"/>
  <c r="A408" i="11"/>
  <c r="C408" i="11"/>
  <c r="A412" i="11"/>
  <c r="C412" i="11"/>
  <c r="A416" i="11"/>
  <c r="C416" i="11"/>
  <c r="A420" i="11"/>
  <c r="C420" i="11"/>
  <c r="A424" i="11"/>
  <c r="C424" i="11"/>
  <c r="A428" i="11"/>
  <c r="C428" i="11"/>
  <c r="A432" i="11"/>
  <c r="C432" i="11"/>
  <c r="A436" i="11"/>
  <c r="C436" i="11"/>
  <c r="A440" i="11"/>
  <c r="C440" i="11"/>
  <c r="A444" i="11"/>
  <c r="C444" i="11"/>
  <c r="A448" i="11"/>
  <c r="C448" i="11"/>
  <c r="A452" i="11"/>
  <c r="C452" i="11"/>
  <c r="A456" i="11"/>
  <c r="C456" i="11"/>
  <c r="A464" i="11"/>
  <c r="C464" i="11"/>
  <c r="A468" i="11"/>
  <c r="C468" i="11"/>
  <c r="A476" i="11"/>
  <c r="C476" i="11"/>
  <c r="A480" i="11"/>
  <c r="C480" i="11"/>
  <c r="A484" i="11"/>
  <c r="C484" i="11"/>
  <c r="A488" i="11"/>
  <c r="C488" i="11"/>
  <c r="A492" i="11"/>
  <c r="C492" i="11"/>
  <c r="A500" i="11"/>
  <c r="C500" i="11"/>
  <c r="A504" i="11"/>
  <c r="C504" i="11"/>
  <c r="A512" i="11"/>
  <c r="C512" i="11"/>
  <c r="A516" i="11"/>
  <c r="C516" i="11"/>
  <c r="A524" i="11"/>
  <c r="C524" i="11"/>
  <c r="A528" i="11"/>
  <c r="C528" i="11"/>
  <c r="A536" i="11"/>
  <c r="C536" i="11"/>
  <c r="A540" i="11"/>
  <c r="C540" i="11"/>
  <c r="A548" i="11"/>
  <c r="C548" i="11"/>
  <c r="A552" i="11"/>
  <c r="C552" i="11"/>
  <c r="A560" i="11"/>
  <c r="C560" i="11"/>
  <c r="A564" i="11"/>
  <c r="C564" i="11"/>
  <c r="A568" i="11"/>
  <c r="C568" i="11"/>
  <c r="A572" i="11"/>
  <c r="C572" i="11"/>
  <c r="A580" i="11"/>
  <c r="C580" i="11"/>
  <c r="A584" i="11"/>
  <c r="C584" i="11"/>
  <c r="A588" i="11"/>
  <c r="C588" i="11"/>
  <c r="A592" i="11"/>
  <c r="C592" i="11"/>
  <c r="A596" i="11"/>
  <c r="C596" i="11"/>
  <c r="A604" i="11"/>
  <c r="C604" i="11"/>
  <c r="A608" i="11"/>
  <c r="C608" i="11"/>
  <c r="A616" i="11"/>
  <c r="C616" i="11"/>
  <c r="A620" i="11"/>
  <c r="C620" i="11"/>
  <c r="A624" i="11"/>
  <c r="C624" i="11"/>
  <c r="A628" i="11"/>
  <c r="C628" i="11"/>
  <c r="A632" i="11"/>
  <c r="C632" i="11"/>
  <c r="A640" i="11"/>
  <c r="C640" i="11"/>
  <c r="A644" i="11"/>
  <c r="C644" i="11"/>
  <c r="A652" i="11"/>
  <c r="C652" i="11"/>
  <c r="A656" i="11"/>
  <c r="C656" i="11"/>
  <c r="A660" i="11"/>
  <c r="C660" i="11"/>
  <c r="A664" i="11"/>
  <c r="C664" i="11"/>
  <c r="A668" i="11"/>
  <c r="C668" i="11"/>
  <c r="A676" i="11"/>
  <c r="C676" i="11"/>
  <c r="A680" i="11"/>
  <c r="C680" i="11"/>
  <c r="A688" i="11"/>
  <c r="C688" i="11"/>
  <c r="A692" i="11"/>
  <c r="C692" i="11"/>
  <c r="A696" i="11"/>
  <c r="C696" i="11"/>
  <c r="A700" i="11"/>
  <c r="C700" i="11"/>
  <c r="A704" i="11"/>
  <c r="C704" i="11"/>
  <c r="A712" i="11"/>
  <c r="C712" i="11"/>
  <c r="A716" i="11"/>
  <c r="C716" i="11"/>
  <c r="A724" i="11"/>
  <c r="C724" i="11"/>
  <c r="A728" i="11"/>
  <c r="C728" i="11"/>
  <c r="A732" i="11"/>
  <c r="C732" i="11"/>
  <c r="A736" i="11"/>
  <c r="C736" i="11"/>
  <c r="A740" i="11"/>
  <c r="C740" i="11"/>
  <c r="A748" i="11"/>
  <c r="C748" i="11"/>
  <c r="A752" i="11"/>
  <c r="C752" i="11"/>
  <c r="A760" i="11"/>
  <c r="C760" i="11"/>
  <c r="A764" i="11"/>
  <c r="C764" i="11"/>
  <c r="A768" i="11"/>
  <c r="C768" i="11"/>
  <c r="A772" i="11"/>
  <c r="C772" i="11"/>
  <c r="A776" i="11"/>
  <c r="C776" i="11"/>
  <c r="A792" i="11"/>
  <c r="C792" i="11"/>
  <c r="A804" i="11"/>
  <c r="C804" i="11"/>
  <c r="A808" i="11"/>
  <c r="C808" i="11"/>
  <c r="A864" i="11"/>
  <c r="C864" i="11"/>
  <c r="A892" i="11"/>
  <c r="C892" i="11"/>
  <c r="A896" i="11"/>
  <c r="C896" i="11"/>
  <c r="A936" i="11"/>
  <c r="C936" i="11"/>
  <c r="D337" i="11"/>
  <c r="D373" i="11"/>
  <c r="D397" i="11"/>
  <c r="D409" i="11"/>
  <c r="D433" i="11"/>
  <c r="D445" i="11"/>
  <c r="D469" i="11"/>
  <c r="D481" i="11"/>
  <c r="D505" i="11"/>
  <c r="D517" i="11"/>
  <c r="D521" i="11"/>
  <c r="D541" i="11"/>
  <c r="D553" i="11"/>
  <c r="D589" i="11"/>
  <c r="D625" i="11"/>
  <c r="D661" i="11"/>
  <c r="D733" i="11"/>
  <c r="D769" i="11"/>
  <c r="D781" i="11"/>
  <c r="D785" i="11"/>
  <c r="D793" i="11"/>
  <c r="D797" i="11"/>
  <c r="D805" i="11"/>
  <c r="D809" i="11"/>
  <c r="D817" i="11"/>
  <c r="D821" i="11"/>
  <c r="D833" i="11"/>
  <c r="D841" i="11"/>
  <c r="D845" i="11"/>
  <c r="D853" i="11"/>
  <c r="D857" i="11"/>
  <c r="D865" i="11"/>
  <c r="D889" i="11"/>
  <c r="D893" i="11"/>
  <c r="D901" i="11"/>
  <c r="D905" i="11"/>
  <c r="D913" i="11"/>
  <c r="D917" i="11"/>
  <c r="D925" i="11"/>
  <c r="D929" i="11"/>
  <c r="D937" i="11"/>
  <c r="D941" i="11"/>
  <c r="D949" i="11"/>
  <c r="D953" i="11"/>
  <c r="D961" i="11"/>
  <c r="D965" i="11"/>
  <c r="D973" i="11"/>
  <c r="D977" i="11"/>
  <c r="D985" i="11"/>
  <c r="D989" i="11"/>
  <c r="D997" i="11"/>
  <c r="D1001" i="11"/>
  <c r="D1009" i="11"/>
  <c r="D1013" i="11"/>
  <c r="D1021" i="11"/>
  <c r="D1025" i="11"/>
  <c r="D1029" i="11"/>
  <c r="D1033" i="11"/>
  <c r="D1114" i="11"/>
  <c r="D1110" i="11"/>
  <c r="D1106" i="11"/>
  <c r="D1102" i="11"/>
  <c r="D1094" i="11"/>
  <c r="D1090" i="11"/>
  <c r="D1082" i="11"/>
  <c r="D1078" i="11"/>
  <c r="D1074" i="11"/>
  <c r="D1070" i="11"/>
  <c r="D1066" i="11"/>
  <c r="D1062" i="11"/>
  <c r="D1058" i="11"/>
  <c r="D1054" i="11"/>
  <c r="D1046" i="11"/>
  <c r="D1042" i="11"/>
  <c r="D498" i="11"/>
  <c r="D534" i="11"/>
  <c r="D550" i="11"/>
  <c r="D570" i="11"/>
  <c r="D582" i="11"/>
  <c r="D594" i="11"/>
  <c r="D606" i="11"/>
  <c r="D618" i="11"/>
  <c r="D630" i="11"/>
  <c r="D642" i="11"/>
  <c r="D654" i="11"/>
  <c r="D666" i="11"/>
  <c r="D678" i="11"/>
  <c r="D690" i="11"/>
  <c r="D702" i="11"/>
  <c r="D714" i="11"/>
  <c r="D726" i="11"/>
  <c r="D738" i="11"/>
  <c r="D750" i="11"/>
  <c r="D762" i="11"/>
  <c r="D774" i="11"/>
  <c r="D790" i="11"/>
  <c r="D798" i="11"/>
  <c r="D802" i="11"/>
  <c r="D814" i="11"/>
  <c r="D826" i="11"/>
  <c r="D834" i="11"/>
  <c r="D838" i="11"/>
  <c r="D850" i="11"/>
  <c r="D858" i="11"/>
  <c r="D862" i="11"/>
  <c r="D870" i="11"/>
  <c r="D874" i="11"/>
  <c r="D882" i="11"/>
  <c r="D886" i="11"/>
  <c r="D894" i="11"/>
  <c r="D898" i="11"/>
  <c r="D906" i="11"/>
  <c r="D910" i="11"/>
  <c r="D918" i="11"/>
  <c r="D922" i="11"/>
  <c r="D934" i="11"/>
  <c r="D942" i="11"/>
  <c r="D946" i="11"/>
  <c r="D954" i="11"/>
  <c r="D958" i="11"/>
  <c r="D966" i="11"/>
  <c r="D970" i="11"/>
  <c r="D978" i="11"/>
  <c r="D982" i="11"/>
  <c r="D990" i="11"/>
  <c r="D994" i="11"/>
  <c r="D1002" i="11"/>
  <c r="D1006" i="11"/>
  <c r="D1014" i="11"/>
  <c r="D1018" i="11"/>
  <c r="D1026" i="11"/>
  <c r="D1030" i="11"/>
  <c r="D1034" i="11"/>
  <c r="D1117" i="11"/>
  <c r="D1109" i="11"/>
  <c r="D1105" i="11"/>
  <c r="D1097" i="11"/>
  <c r="D1093" i="11"/>
  <c r="D1089" i="11"/>
  <c r="D1085" i="11"/>
  <c r="D1081" i="11"/>
  <c r="D1073" i="11"/>
  <c r="D1069" i="11"/>
  <c r="D1065" i="11"/>
  <c r="D1061" i="11"/>
  <c r="D1057" i="11"/>
  <c r="D1053" i="11"/>
  <c r="D1049" i="11"/>
  <c r="D1045" i="11"/>
  <c r="D1041" i="11"/>
  <c r="D1037" i="11"/>
  <c r="D427" i="11"/>
  <c r="D463" i="11"/>
  <c r="D499" i="11"/>
  <c r="D511" i="11"/>
  <c r="D535" i="11"/>
  <c r="D543" i="11"/>
  <c r="D547" i="11"/>
  <c r="D563" i="11"/>
  <c r="D579" i="11"/>
  <c r="D595" i="11"/>
  <c r="D615" i="11"/>
  <c r="D643" i="11"/>
  <c r="D651" i="11"/>
  <c r="D687" i="11"/>
  <c r="D703" i="11"/>
  <c r="D723" i="11"/>
  <c r="D735" i="11"/>
  <c r="D739" i="11"/>
  <c r="D759" i="11"/>
  <c r="D771" i="11"/>
  <c r="D783" i="11"/>
  <c r="D787" i="11"/>
  <c r="D791" i="11"/>
  <c r="D799" i="11"/>
  <c r="D803" i="11"/>
  <c r="D807" i="11"/>
  <c r="D811" i="11"/>
  <c r="D815" i="11"/>
  <c r="D819" i="11"/>
  <c r="D831" i="11"/>
  <c r="D835" i="11"/>
  <c r="D839" i="11"/>
  <c r="D843" i="11"/>
  <c r="D847" i="11"/>
  <c r="D851" i="11"/>
  <c r="D855" i="11"/>
  <c r="D859" i="11"/>
  <c r="D863" i="11"/>
  <c r="D871" i="11"/>
  <c r="D875" i="11"/>
  <c r="D879" i="11"/>
  <c r="D883" i="11"/>
  <c r="D887" i="11"/>
  <c r="D891" i="11"/>
  <c r="D895" i="11"/>
  <c r="D899" i="11"/>
  <c r="D903" i="11"/>
  <c r="D907" i="11"/>
  <c r="D911" i="11"/>
  <c r="D919" i="11"/>
  <c r="D923" i="11"/>
  <c r="D927" i="11"/>
  <c r="D931" i="11"/>
  <c r="D935" i="11"/>
  <c r="D939" i="11"/>
  <c r="D943" i="11"/>
  <c r="D947" i="11"/>
  <c r="D955" i="11"/>
  <c r="D959" i="11"/>
  <c r="D963" i="11"/>
  <c r="D967" i="11"/>
  <c r="D971" i="11"/>
  <c r="D975" i="11"/>
  <c r="D979" i="11"/>
  <c r="D983" i="11"/>
  <c r="D987" i="11"/>
  <c r="D991" i="11"/>
  <c r="D995" i="11"/>
  <c r="D999" i="11"/>
  <c r="D1003" i="11"/>
  <c r="D1007" i="11"/>
  <c r="D1011" i="11"/>
  <c r="D1015" i="11"/>
  <c r="D1019" i="11"/>
  <c r="D1027" i="11"/>
  <c r="D1031" i="11"/>
  <c r="D1116" i="11"/>
  <c r="D1112" i="11"/>
  <c r="D1108" i="11"/>
  <c r="D1104" i="11"/>
  <c r="D1100" i="11"/>
  <c r="D1096" i="11"/>
  <c r="D1092" i="11"/>
  <c r="D1088" i="11"/>
  <c r="D1084" i="11"/>
  <c r="D1076" i="11"/>
  <c r="D1072" i="11"/>
  <c r="D1064" i="11"/>
  <c r="D1060" i="11"/>
  <c r="D1056" i="11"/>
  <c r="D1052" i="11"/>
  <c r="D1048" i="11"/>
  <c r="D1044" i="11"/>
  <c r="D1040" i="11"/>
  <c r="D1036" i="11"/>
  <c r="D460" i="11"/>
  <c r="D472" i="11"/>
  <c r="D496" i="11"/>
  <c r="D508" i="11"/>
  <c r="D520" i="11"/>
  <c r="D532" i="11"/>
  <c r="D544" i="11"/>
  <c r="D556" i="11"/>
  <c r="D576" i="11"/>
  <c r="D600" i="11"/>
  <c r="D612" i="11"/>
  <c r="D636" i="11"/>
  <c r="D648" i="11"/>
  <c r="D672" i="11"/>
  <c r="D684" i="11"/>
  <c r="D708" i="11"/>
  <c r="D720" i="11"/>
  <c r="D744" i="11"/>
  <c r="D756" i="11"/>
  <c r="D780" i="11"/>
  <c r="D784" i="11"/>
  <c r="D788" i="11"/>
  <c r="D796" i="11"/>
  <c r="D800" i="11"/>
  <c r="D812" i="11"/>
  <c r="D816" i="11"/>
  <c r="D820" i="11"/>
  <c r="D824" i="11"/>
  <c r="D828" i="11"/>
  <c r="D832" i="11"/>
  <c r="D836" i="11"/>
  <c r="D840" i="11"/>
  <c r="D844" i="11"/>
  <c r="D848" i="11"/>
  <c r="D852" i="11"/>
  <c r="D856" i="11"/>
  <c r="D860" i="11"/>
  <c r="D868" i="11"/>
  <c r="D872" i="11"/>
  <c r="D876" i="11"/>
  <c r="D880" i="11"/>
  <c r="D884" i="11"/>
  <c r="D888" i="11"/>
  <c r="D900" i="11"/>
  <c r="D904" i="11"/>
  <c r="D908" i="11"/>
  <c r="D912" i="11"/>
  <c r="D916" i="11"/>
  <c r="D920" i="11"/>
  <c r="D924" i="11"/>
  <c r="D928" i="11"/>
  <c r="D932" i="11"/>
  <c r="D940" i="11"/>
  <c r="D944" i="11"/>
  <c r="D948" i="11"/>
  <c r="D952" i="11"/>
  <c r="D956" i="11"/>
  <c r="D960" i="11"/>
  <c r="D964" i="11"/>
  <c r="D968" i="11"/>
  <c r="D972" i="11"/>
  <c r="D976" i="11"/>
  <c r="D980" i="11"/>
  <c r="D984" i="11"/>
  <c r="D988" i="11"/>
  <c r="D992" i="11"/>
  <c r="D996" i="11"/>
  <c r="D1000" i="11"/>
  <c r="D1004" i="11"/>
  <c r="D1008" i="11"/>
  <c r="D1012" i="11"/>
  <c r="D1016" i="11"/>
  <c r="D1020" i="11"/>
  <c r="D1024" i="11"/>
  <c r="D1028" i="11"/>
  <c r="D1032" i="11"/>
  <c r="D1115" i="11"/>
  <c r="D1111" i="11"/>
  <c r="D1107" i="11"/>
  <c r="D1103" i="11"/>
  <c r="D1099" i="11"/>
  <c r="D1091" i="11"/>
  <c r="D1087" i="11"/>
  <c r="D1083" i="11"/>
  <c r="D1079" i="11"/>
  <c r="D1075" i="11"/>
  <c r="D1071" i="11"/>
  <c r="D1067" i="11"/>
  <c r="D1063" i="11"/>
  <c r="D1059" i="11"/>
  <c r="D1055" i="11"/>
  <c r="D1051" i="11"/>
  <c r="D1043" i="11"/>
  <c r="D1039" i="11"/>
  <c r="D1035" i="11"/>
  <c r="A1100" i="11"/>
  <c r="A1088" i="11"/>
  <c r="A1076" i="11"/>
  <c r="A1064" i="11"/>
  <c r="A1052" i="11"/>
  <c r="A1040" i="11"/>
  <c r="A1037" i="11"/>
  <c r="A1089" i="11"/>
  <c r="A1065" i="11"/>
  <c r="A1053" i="11"/>
  <c r="A1041" i="11"/>
  <c r="A1029" i="11"/>
  <c r="A1015" i="11"/>
  <c r="A1001" i="11"/>
  <c r="A987" i="11"/>
  <c r="A972" i="11"/>
  <c r="A958" i="11"/>
  <c r="A943" i="11"/>
  <c r="A929" i="11"/>
  <c r="A900" i="11"/>
  <c r="A886" i="11"/>
  <c r="A871" i="11"/>
  <c r="A857" i="11"/>
  <c r="A843" i="11"/>
  <c r="A828" i="11"/>
  <c r="A814" i="11"/>
  <c r="A799" i="11"/>
  <c r="A785" i="11"/>
  <c r="A771" i="11"/>
  <c r="A756" i="11"/>
  <c r="A684" i="11"/>
  <c r="A612" i="11"/>
  <c r="A511" i="11"/>
  <c r="A481" i="11"/>
  <c r="A409" i="11"/>
  <c r="A1112" i="11"/>
  <c r="A1028" i="11"/>
  <c r="A1014" i="11"/>
  <c r="A1000" i="11"/>
  <c r="A985" i="11"/>
  <c r="A971" i="11"/>
  <c r="A956" i="11"/>
  <c r="A942" i="11"/>
  <c r="A928" i="11"/>
  <c r="A913" i="11"/>
  <c r="A899" i="11"/>
  <c r="A884" i="11"/>
  <c r="A870" i="11"/>
  <c r="A856" i="11"/>
  <c r="A841" i="11"/>
  <c r="A812" i="11"/>
  <c r="A798" i="11"/>
  <c r="A784" i="11"/>
  <c r="A769" i="11"/>
  <c r="A726" i="11"/>
  <c r="A654" i="11"/>
  <c r="A625" i="11"/>
  <c r="A582" i="11"/>
  <c r="A553" i="11"/>
  <c r="A496" i="11"/>
  <c r="A427" i="11"/>
  <c r="A1111" i="11"/>
  <c r="A1099" i="11"/>
  <c r="A1087" i="11"/>
  <c r="A1075" i="11"/>
  <c r="A1063" i="11"/>
  <c r="A1051" i="11"/>
  <c r="A1039" i="11"/>
  <c r="A1027" i="11"/>
  <c r="A1013" i="11"/>
  <c r="A999" i="11"/>
  <c r="A984" i="11"/>
  <c r="A970" i="11"/>
  <c r="A955" i="11"/>
  <c r="A941" i="11"/>
  <c r="A927" i="11"/>
  <c r="A912" i="11"/>
  <c r="A898" i="11"/>
  <c r="A883" i="11"/>
  <c r="A855" i="11"/>
  <c r="A840" i="11"/>
  <c r="A826" i="11"/>
  <c r="A811" i="11"/>
  <c r="A797" i="11"/>
  <c r="A783" i="11"/>
  <c r="A739" i="11"/>
  <c r="A595" i="11"/>
  <c r="A463" i="11"/>
  <c r="A445" i="11"/>
  <c r="A1110" i="11"/>
  <c r="A1074" i="11"/>
  <c r="A1062" i="11"/>
  <c r="A1038" i="11"/>
  <c r="A1026" i="11"/>
  <c r="A1012" i="11"/>
  <c r="A997" i="11"/>
  <c r="A983" i="11"/>
  <c r="A968" i="11"/>
  <c r="A954" i="11"/>
  <c r="A940" i="11"/>
  <c r="A925" i="11"/>
  <c r="A911" i="11"/>
  <c r="A882" i="11"/>
  <c r="A868" i="11"/>
  <c r="A853" i="11"/>
  <c r="A839" i="11"/>
  <c r="A824" i="11"/>
  <c r="A796" i="11"/>
  <c r="A781" i="11"/>
  <c r="A738" i="11"/>
  <c r="A666" i="11"/>
  <c r="A594" i="11"/>
  <c r="A508" i="11"/>
  <c r="A1109" i="11"/>
  <c r="A1097" i="11"/>
  <c r="A1085" i="11"/>
  <c r="A1073" i="11"/>
  <c r="A1061" i="11"/>
  <c r="A1049" i="11"/>
  <c r="A1025" i="11"/>
  <c r="A1011" i="11"/>
  <c r="A996" i="11"/>
  <c r="A982" i="11"/>
  <c r="A967" i="11"/>
  <c r="A953" i="11"/>
  <c r="A939" i="11"/>
  <c r="A924" i="11"/>
  <c r="A910" i="11"/>
  <c r="A895" i="11"/>
  <c r="A852" i="11"/>
  <c r="A838" i="11"/>
  <c r="A809" i="11"/>
  <c r="A780" i="11"/>
  <c r="A723" i="11"/>
  <c r="A708" i="11"/>
  <c r="A651" i="11"/>
  <c r="A636" i="11"/>
  <c r="A579" i="11"/>
  <c r="A550" i="11"/>
  <c r="A535" i="11"/>
  <c r="A521" i="11"/>
  <c r="A1108" i="11"/>
  <c r="A1096" i="11"/>
  <c r="A1084" i="11"/>
  <c r="A1072" i="11"/>
  <c r="A1060" i="11"/>
  <c r="A1048" i="11"/>
  <c r="A1036" i="11"/>
  <c r="A1024" i="11"/>
  <c r="A1009" i="11"/>
  <c r="A995" i="11"/>
  <c r="A980" i="11"/>
  <c r="A966" i="11"/>
  <c r="A952" i="11"/>
  <c r="A937" i="11"/>
  <c r="A923" i="11"/>
  <c r="A908" i="11"/>
  <c r="A894" i="11"/>
  <c r="A880" i="11"/>
  <c r="A865" i="11"/>
  <c r="A851" i="11"/>
  <c r="A836" i="11"/>
  <c r="A793" i="11"/>
  <c r="A750" i="11"/>
  <c r="A678" i="11"/>
  <c r="A606" i="11"/>
  <c r="A563" i="11"/>
  <c r="A534" i="11"/>
  <c r="A520" i="11"/>
  <c r="A505" i="11"/>
  <c r="A460" i="11"/>
  <c r="A1107" i="11"/>
  <c r="A1083" i="11"/>
  <c r="A1071" i="11"/>
  <c r="A1059" i="11"/>
  <c r="A1035" i="11"/>
  <c r="A1008" i="11"/>
  <c r="A994" i="11"/>
  <c r="A979" i="11"/>
  <c r="A965" i="11"/>
  <c r="A922" i="11"/>
  <c r="A907" i="11"/>
  <c r="A893" i="11"/>
  <c r="A879" i="11"/>
  <c r="A850" i="11"/>
  <c r="A835" i="11"/>
  <c r="A821" i="11"/>
  <c r="A807" i="11"/>
  <c r="A735" i="11"/>
  <c r="A720" i="11"/>
  <c r="A648" i="11"/>
  <c r="A576" i="11"/>
  <c r="A547" i="11"/>
  <c r="A337" i="11"/>
  <c r="A1106" i="11"/>
  <c r="A1094" i="11"/>
  <c r="A1082" i="11"/>
  <c r="A1070" i="11"/>
  <c r="A1058" i="11"/>
  <c r="A1046" i="11"/>
  <c r="A1034" i="11"/>
  <c r="A1021" i="11"/>
  <c r="A1007" i="11"/>
  <c r="A992" i="11"/>
  <c r="A978" i="11"/>
  <c r="A964" i="11"/>
  <c r="A949" i="11"/>
  <c r="A935" i="11"/>
  <c r="A920" i="11"/>
  <c r="A906" i="11"/>
  <c r="A863" i="11"/>
  <c r="A848" i="11"/>
  <c r="A834" i="11"/>
  <c r="A820" i="11"/>
  <c r="A805" i="11"/>
  <c r="A791" i="11"/>
  <c r="A762" i="11"/>
  <c r="A733" i="11"/>
  <c r="A690" i="11"/>
  <c r="A661" i="11"/>
  <c r="A618" i="11"/>
  <c r="A589" i="11"/>
  <c r="A532" i="11"/>
  <c r="A517" i="11"/>
  <c r="A397" i="11"/>
  <c r="A1117" i="11"/>
  <c r="A1105" i="11"/>
  <c r="A1093" i="11"/>
  <c r="A1081" i="11"/>
  <c r="A1069" i="11"/>
  <c r="A1057" i="11"/>
  <c r="A1045" i="11"/>
  <c r="A1033" i="11"/>
  <c r="A1020" i="11"/>
  <c r="A1006" i="11"/>
  <c r="A991" i="11"/>
  <c r="A977" i="11"/>
  <c r="A963" i="11"/>
  <c r="A948" i="11"/>
  <c r="A934" i="11"/>
  <c r="A919" i="11"/>
  <c r="A905" i="11"/>
  <c r="A891" i="11"/>
  <c r="A876" i="11"/>
  <c r="A862" i="11"/>
  <c r="A847" i="11"/>
  <c r="A833" i="11"/>
  <c r="A819" i="11"/>
  <c r="A790" i="11"/>
  <c r="A703" i="11"/>
  <c r="A472" i="11"/>
  <c r="A1116" i="11"/>
  <c r="A1104" i="11"/>
  <c r="A1092" i="11"/>
  <c r="A1056" i="11"/>
  <c r="A1044" i="11"/>
  <c r="A1032" i="11"/>
  <c r="A1019" i="11"/>
  <c r="A1004" i="11"/>
  <c r="A990" i="11"/>
  <c r="A976" i="11"/>
  <c r="A961" i="11"/>
  <c r="A947" i="11"/>
  <c r="A932" i="11"/>
  <c r="A918" i="11"/>
  <c r="A904" i="11"/>
  <c r="A889" i="11"/>
  <c r="A875" i="11"/>
  <c r="A860" i="11"/>
  <c r="A832" i="11"/>
  <c r="A817" i="11"/>
  <c r="A803" i="11"/>
  <c r="A788" i="11"/>
  <c r="A774" i="11"/>
  <c r="A702" i="11"/>
  <c r="A630" i="11"/>
  <c r="A544" i="11"/>
  <c r="A469" i="11"/>
  <c r="A373" i="11"/>
  <c r="A1115" i="11"/>
  <c r="A1103" i="11"/>
  <c r="A1091" i="11"/>
  <c r="A1079" i="11"/>
  <c r="A1067" i="11"/>
  <c r="A1055" i="11"/>
  <c r="A1043" i="11"/>
  <c r="A1031" i="11"/>
  <c r="A1018" i="11"/>
  <c r="A1003" i="11"/>
  <c r="A989" i="11"/>
  <c r="A975" i="11"/>
  <c r="A960" i="11"/>
  <c r="A946" i="11"/>
  <c r="A931" i="11"/>
  <c r="A917" i="11"/>
  <c r="A903" i="11"/>
  <c r="A888" i="11"/>
  <c r="A874" i="11"/>
  <c r="A859" i="11"/>
  <c r="A845" i="11"/>
  <c r="A831" i="11"/>
  <c r="A816" i="11"/>
  <c r="A802" i="11"/>
  <c r="A787" i="11"/>
  <c r="A759" i="11"/>
  <c r="A744" i="11"/>
  <c r="A687" i="11"/>
  <c r="A672" i="11"/>
  <c r="A643" i="11"/>
  <c r="A615" i="11"/>
  <c r="A600" i="11"/>
  <c r="A543" i="11"/>
  <c r="A499" i="11"/>
  <c r="A433" i="11"/>
  <c r="A1114" i="11"/>
  <c r="A1102" i="11"/>
  <c r="A1090" i="11"/>
  <c r="A1078" i="11"/>
  <c r="A1066" i="11"/>
  <c r="A1054" i="11"/>
  <c r="A1042" i="11"/>
  <c r="A1030" i="11"/>
  <c r="A1016" i="11"/>
  <c r="A1002" i="11"/>
  <c r="A988" i="11"/>
  <c r="A973" i="11"/>
  <c r="A959" i="11"/>
  <c r="A944" i="11"/>
  <c r="A916" i="11"/>
  <c r="A901" i="11"/>
  <c r="A887" i="11"/>
  <c r="A872" i="11"/>
  <c r="A858" i="11"/>
  <c r="A844" i="11"/>
  <c r="A815" i="11"/>
  <c r="A800" i="11"/>
  <c r="A714" i="11"/>
  <c r="A642" i="11"/>
  <c r="A570" i="11"/>
  <c r="A556" i="11"/>
  <c r="A541" i="11"/>
  <c r="A498" i="11"/>
  <c r="D628" i="11"/>
  <c r="D374" i="11"/>
  <c r="D736" i="11"/>
  <c r="D447" i="11"/>
  <c r="D28" i="11"/>
  <c r="D213" i="11"/>
  <c r="D456" i="11"/>
  <c r="D312" i="11"/>
  <c r="D293" i="11"/>
  <c r="D396" i="11"/>
  <c r="D479" i="11"/>
  <c r="D158" i="11"/>
  <c r="D365" i="11"/>
  <c r="D16" i="11"/>
  <c r="D528" i="11"/>
  <c r="D846" i="11"/>
  <c r="D173" i="11"/>
  <c r="D260" i="11"/>
  <c r="D318" i="11"/>
  <c r="D1050" i="11"/>
  <c r="D506" i="11"/>
  <c r="D303" i="11"/>
  <c r="D389" i="11"/>
  <c r="D522" i="11"/>
  <c r="D601" i="11"/>
  <c r="D779" i="11"/>
  <c r="D1101" i="11"/>
  <c r="D574" i="11"/>
  <c r="D772" i="11"/>
  <c r="D915" i="11"/>
  <c r="D425" i="11"/>
  <c r="D682" i="11"/>
  <c r="D49" i="11"/>
  <c r="D152" i="11"/>
  <c r="D282" i="11"/>
  <c r="D477" i="11"/>
  <c r="D718" i="11"/>
  <c r="D56" i="11"/>
  <c r="D137" i="11"/>
  <c r="D294" i="11"/>
  <c r="D407" i="11"/>
  <c r="D7" i="11"/>
  <c r="D212" i="11"/>
  <c r="D341" i="11"/>
  <c r="D19" i="11"/>
  <c r="D81" i="11"/>
  <c r="D206" i="11"/>
  <c r="D225" i="11"/>
  <c r="D248" i="11"/>
  <c r="D323" i="11"/>
  <c r="D552" i="11"/>
  <c r="D610" i="11"/>
  <c r="D637" i="11"/>
  <c r="D664" i="11"/>
  <c r="D761" i="11"/>
  <c r="D105" i="11"/>
  <c r="D203" i="11"/>
  <c r="D275" i="11"/>
  <c r="D378" i="11"/>
  <c r="D416" i="11"/>
  <c r="D431" i="11"/>
  <c r="D491" i="11"/>
  <c r="D653" i="11"/>
  <c r="D754" i="11"/>
  <c r="D1023" i="11"/>
  <c r="D420" i="11"/>
  <c r="D473" i="11"/>
  <c r="D480" i="11"/>
  <c r="D565" i="11"/>
  <c r="D592" i="11"/>
  <c r="D646" i="11"/>
  <c r="D673" i="11"/>
  <c r="D700" i="11"/>
  <c r="D98" i="11"/>
  <c r="D234" i="11"/>
  <c r="D249" i="11"/>
  <c r="D75" i="11"/>
  <c r="D242" i="11"/>
  <c r="D257" i="11"/>
  <c r="D302" i="11"/>
  <c r="D455" i="11"/>
  <c r="D470" i="11"/>
  <c r="D515" i="11"/>
  <c r="D276" i="11"/>
  <c r="D383" i="11"/>
  <c r="D444" i="11"/>
  <c r="D504" i="11"/>
  <c r="D519" i="11"/>
  <c r="D581" i="11"/>
  <c r="D689" i="11"/>
  <c r="D810" i="11"/>
  <c r="D1068" i="11"/>
  <c r="D185" i="11"/>
  <c r="D933" i="11"/>
  <c r="D725" i="11"/>
  <c r="D34" i="11"/>
  <c r="D69" i="11"/>
  <c r="D266" i="11"/>
  <c r="D300" i="11"/>
  <c r="D330" i="11"/>
  <c r="D411" i="11"/>
  <c r="D468" i="11"/>
  <c r="D486" i="11"/>
  <c r="D617" i="11"/>
  <c r="D867" i="11"/>
  <c r="D1086" i="11"/>
  <c r="D709" i="11"/>
  <c r="D745" i="11"/>
  <c r="D419" i="11"/>
  <c r="D492" i="11"/>
  <c r="D540" i="11"/>
  <c r="D551" i="11"/>
  <c r="D558" i="11"/>
  <c r="D569" i="11"/>
  <c r="D580" i="11"/>
  <c r="D587" i="11"/>
  <c r="D605" i="11"/>
  <c r="D616" i="11"/>
  <c r="D623" i="11"/>
  <c r="D641" i="11"/>
  <c r="D652" i="11"/>
  <c r="D659" i="11"/>
  <c r="D677" i="11"/>
  <c r="D688" i="11"/>
  <c r="D695" i="11"/>
  <c r="D713" i="11"/>
  <c r="D724" i="11"/>
  <c r="D731" i="11"/>
  <c r="D749" i="11"/>
  <c r="D760" i="11"/>
  <c r="D767" i="11"/>
  <c r="D281" i="11"/>
  <c r="D306" i="11"/>
  <c r="D357" i="11"/>
  <c r="D37" i="11"/>
  <c r="D101" i="11"/>
  <c r="D116" i="11"/>
  <c r="D165" i="11"/>
  <c r="D324" i="11"/>
  <c r="D335" i="11"/>
  <c r="D342" i="11"/>
  <c r="D372" i="11"/>
  <c r="D401" i="11"/>
  <c r="D500" i="11"/>
  <c r="D786" i="11"/>
  <c r="D813" i="11"/>
  <c r="D1098" i="11"/>
  <c r="D93" i="11"/>
  <c r="D153" i="11"/>
  <c r="D270" i="11"/>
  <c r="D131" i="11"/>
  <c r="D179" i="11"/>
  <c r="D209" i="11"/>
  <c r="D224" i="11"/>
  <c r="D1113" i="11"/>
  <c r="D104" i="11"/>
  <c r="D227" i="11"/>
  <c r="D288" i="11"/>
  <c r="D320" i="11"/>
  <c r="D360" i="11"/>
  <c r="D437" i="11"/>
  <c r="D536" i="11"/>
  <c r="D599" i="11"/>
  <c r="D635" i="11"/>
  <c r="D671" i="11"/>
  <c r="D707" i="11"/>
  <c r="D743" i="11"/>
  <c r="D936" i="11"/>
  <c r="D1047" i="11"/>
  <c r="D31" i="11"/>
  <c r="D117" i="11"/>
  <c r="D140" i="11"/>
  <c r="D177" i="11"/>
  <c r="D188" i="11"/>
  <c r="D236" i="11"/>
  <c r="D311" i="11"/>
  <c r="D329" i="11"/>
  <c r="D336" i="11"/>
  <c r="D347" i="11"/>
  <c r="D395" i="11"/>
  <c r="D545" i="11"/>
  <c r="D578" i="11"/>
  <c r="D614" i="11"/>
  <c r="D650" i="11"/>
  <c r="D686" i="11"/>
  <c r="D722" i="11"/>
  <c r="D758" i="11"/>
  <c r="D822" i="11"/>
  <c r="D13" i="11"/>
  <c r="D46" i="11"/>
  <c r="D57" i="11"/>
  <c r="D80" i="11"/>
  <c r="D170" i="11"/>
  <c r="D243" i="11"/>
  <c r="D261" i="11"/>
  <c r="D272" i="11"/>
  <c r="D290" i="11"/>
  <c r="D377" i="11"/>
  <c r="D384" i="11"/>
  <c r="D443" i="11"/>
  <c r="D450" i="11"/>
  <c r="D483" i="11"/>
  <c r="D516" i="11"/>
  <c r="D527" i="11"/>
  <c r="D240" i="11"/>
  <c r="D308" i="11"/>
  <c r="D359" i="11"/>
  <c r="D414" i="11"/>
  <c r="D432" i="11"/>
  <c r="D509" i="11"/>
  <c r="D542" i="11"/>
  <c r="D1077" i="11"/>
  <c r="D557" i="11"/>
  <c r="D568" i="11"/>
  <c r="D586" i="11"/>
  <c r="D593" i="11"/>
  <c r="D604" i="11"/>
  <c r="D622" i="11"/>
  <c r="D629" i="11"/>
  <c r="D640" i="11"/>
  <c r="D658" i="11"/>
  <c r="D665" i="11"/>
  <c r="D676" i="11"/>
  <c r="D694" i="11"/>
  <c r="D701" i="11"/>
  <c r="D712" i="11"/>
  <c r="D730" i="11"/>
  <c r="D737" i="11"/>
  <c r="D748" i="11"/>
  <c r="D766" i="11"/>
  <c r="D773" i="11"/>
  <c r="D804" i="11"/>
  <c r="D969" i="11"/>
  <c r="D10" i="11"/>
  <c r="D43" i="11"/>
  <c r="D167" i="11"/>
  <c r="D25" i="11"/>
  <c r="D149" i="11"/>
  <c r="D189" i="11"/>
  <c r="D230" i="11"/>
  <c r="D237" i="11"/>
  <c r="D255" i="11"/>
  <c r="D195" i="11"/>
  <c r="D202" i="11"/>
  <c r="D216" i="11"/>
  <c r="D223" i="11"/>
  <c r="D259" i="11"/>
  <c r="D292" i="11"/>
  <c r="D322" i="11"/>
  <c r="D349" i="11"/>
  <c r="D376" i="11"/>
  <c r="D403" i="11"/>
  <c r="D410" i="11"/>
  <c r="D424" i="11"/>
  <c r="D462" i="11"/>
  <c r="D493" i="11"/>
  <c r="D497" i="11"/>
  <c r="D529" i="11"/>
  <c r="D533" i="11"/>
  <c r="D789" i="11"/>
  <c r="D48" i="11"/>
  <c r="D159" i="11"/>
  <c r="D166" i="11"/>
  <c r="D180" i="11"/>
  <c r="D208" i="11"/>
  <c r="D265" i="11"/>
  <c r="D42" i="11"/>
  <c r="D53" i="11"/>
  <c r="D79" i="11"/>
  <c r="D108" i="11"/>
  <c r="D115" i="11"/>
  <c r="D136" i="11"/>
  <c r="D17" i="11"/>
  <c r="D35" i="11"/>
  <c r="D68" i="11"/>
  <c r="D94" i="11"/>
  <c r="D122" i="11"/>
  <c r="D129" i="11"/>
  <c r="D143" i="11"/>
  <c r="D150" i="11"/>
  <c r="D157" i="11"/>
  <c r="D164" i="11"/>
  <c r="D171" i="11"/>
  <c r="D178" i="11"/>
  <c r="D233" i="11"/>
  <c r="D246" i="11"/>
  <c r="D256" i="11"/>
  <c r="D269" i="11"/>
  <c r="D279" i="11"/>
  <c r="D289" i="11"/>
  <c r="D299" i="11"/>
  <c r="D309" i="11"/>
  <c r="D339" i="11"/>
  <c r="D346" i="11"/>
  <c r="D356" i="11"/>
  <c r="D366" i="11"/>
  <c r="D393" i="11"/>
  <c r="D400" i="11"/>
  <c r="D417" i="11"/>
  <c r="D434" i="11"/>
  <c r="D441" i="11"/>
  <c r="D448" i="11"/>
  <c r="D476" i="11"/>
  <c r="D490" i="11"/>
  <c r="D501" i="11"/>
  <c r="D526" i="11"/>
  <c r="D598" i="11"/>
  <c r="D634" i="11"/>
  <c r="D670" i="11"/>
  <c r="D706" i="11"/>
  <c r="D742" i="11"/>
  <c r="D778" i="11"/>
  <c r="D192" i="11"/>
  <c r="D199" i="11"/>
  <c r="D220" i="11"/>
  <c r="D253" i="11"/>
  <c r="D286" i="11"/>
  <c r="D296" i="11"/>
  <c r="D316" i="11"/>
  <c r="D353" i="11"/>
  <c r="D363" i="11"/>
  <c r="D370" i="11"/>
  <c r="D390" i="11"/>
  <c r="D466" i="11"/>
  <c r="D512" i="11"/>
  <c r="D548" i="11"/>
  <c r="D562" i="11"/>
  <c r="D591" i="11"/>
  <c r="D627" i="11"/>
  <c r="D663" i="11"/>
  <c r="D699" i="11"/>
  <c r="D12" i="11"/>
  <c r="D100" i="11"/>
  <c r="D97" i="11"/>
  <c r="D139" i="11"/>
  <c r="D184" i="11"/>
  <c r="D6" i="11"/>
  <c r="D24" i="11"/>
  <c r="D3" i="11"/>
  <c r="D21" i="11"/>
  <c r="D61" i="11"/>
  <c r="D87" i="11"/>
  <c r="D126" i="11"/>
  <c r="D175" i="11"/>
  <c r="D14" i="11"/>
  <c r="D32" i="11"/>
  <c r="D50" i="11"/>
  <c r="D54" i="11"/>
  <c r="D65" i="11"/>
  <c r="D76" i="11"/>
  <c r="D102" i="11"/>
  <c r="D109" i="11"/>
  <c r="D119" i="11"/>
  <c r="D147" i="11"/>
  <c r="D154" i="11"/>
  <c r="D161" i="11"/>
  <c r="D168" i="11"/>
  <c r="D182" i="11"/>
  <c r="D196" i="11"/>
  <c r="D210" i="11"/>
  <c r="D217" i="11"/>
  <c r="D250" i="11"/>
  <c r="D263" i="11"/>
  <c r="D273" i="11"/>
  <c r="D313" i="11"/>
  <c r="D326" i="11"/>
  <c r="D333" i="11"/>
  <c r="D343" i="11"/>
  <c r="D350" i="11"/>
  <c r="D380" i="11"/>
  <c r="D387" i="11"/>
  <c r="D404" i="11"/>
  <c r="D421" i="11"/>
  <c r="D428" i="11"/>
  <c r="D438" i="11"/>
  <c r="D452" i="11"/>
  <c r="D487" i="11"/>
  <c r="D577" i="11"/>
  <c r="D613" i="11"/>
  <c r="D649" i="11"/>
  <c r="D685" i="11"/>
  <c r="D721" i="11"/>
  <c r="D757" i="11"/>
  <c r="D892" i="11"/>
  <c r="D896" i="11"/>
  <c r="D59" i="11"/>
  <c r="D74" i="11"/>
  <c r="D85" i="11"/>
  <c r="D187" i="11"/>
  <c r="D235" i="11"/>
  <c r="D27" i="11"/>
  <c r="D205" i="11"/>
  <c r="D229" i="11"/>
  <c r="D64" i="11"/>
  <c r="D39" i="11"/>
  <c r="D72" i="11"/>
  <c r="D83" i="11"/>
  <c r="D91" i="11"/>
  <c r="D112" i="11"/>
  <c r="D133" i="11"/>
  <c r="D18" i="11"/>
  <c r="D36" i="11"/>
  <c r="D95" i="11"/>
  <c r="D123" i="11"/>
  <c r="D130" i="11"/>
  <c r="D144" i="11"/>
  <c r="D151" i="11"/>
  <c r="D172" i="11"/>
  <c r="D247" i="11"/>
  <c r="D280" i="11"/>
  <c r="D310" i="11"/>
  <c r="D340" i="11"/>
  <c r="D367" i="11"/>
  <c r="D394" i="11"/>
  <c r="D418" i="11"/>
  <c r="D435" i="11"/>
  <c r="D442" i="11"/>
  <c r="D449" i="11"/>
  <c r="D502" i="11"/>
  <c r="D523" i="11"/>
  <c r="D538" i="11"/>
  <c r="D559" i="11"/>
  <c r="D829" i="11"/>
  <c r="D45" i="11"/>
  <c r="D156" i="11"/>
  <c r="D11" i="11"/>
  <c r="D73" i="11"/>
  <c r="D127" i="11"/>
  <c r="D186" i="11"/>
  <c r="D193" i="11"/>
  <c r="D207" i="11"/>
  <c r="D214" i="11"/>
  <c r="D244" i="11"/>
  <c r="D277" i="11"/>
  <c r="D364" i="11"/>
  <c r="D484" i="11"/>
  <c r="D588" i="11"/>
  <c r="D624" i="11"/>
  <c r="D660" i="11"/>
  <c r="D696" i="11"/>
  <c r="D732" i="11"/>
  <c r="D768" i="11"/>
  <c r="D30" i="11"/>
  <c r="D70" i="11"/>
  <c r="D89" i="11"/>
  <c r="D9" i="11"/>
  <c r="D88" i="11"/>
  <c r="D99" i="11"/>
  <c r="D106" i="11"/>
  <c r="D15" i="11"/>
  <c r="D22" i="11"/>
  <c r="D33" i="11"/>
  <c r="D40" i="11"/>
  <c r="D51" i="11"/>
  <c r="D55" i="11"/>
  <c r="D62" i="11"/>
  <c r="D66" i="11"/>
  <c r="D77" i="11"/>
  <c r="D92" i="11"/>
  <c r="D103" i="11"/>
  <c r="D113" i="11"/>
  <c r="D120" i="11"/>
  <c r="D134" i="11"/>
  <c r="D141" i="11"/>
  <c r="D148" i="11"/>
  <c r="D162" i="11"/>
  <c r="D169" i="11"/>
  <c r="D176" i="11"/>
  <c r="D200" i="11"/>
  <c r="D211" i="11"/>
  <c r="D221" i="11"/>
  <c r="D231" i="11"/>
  <c r="D241" i="11"/>
  <c r="D254" i="11"/>
  <c r="D267" i="11"/>
  <c r="D274" i="11"/>
  <c r="D287" i="11"/>
  <c r="D297" i="11"/>
  <c r="D307" i="11"/>
  <c r="D317" i="11"/>
  <c r="D327" i="11"/>
  <c r="D334" i="11"/>
  <c r="D354" i="11"/>
  <c r="D371" i="11"/>
  <c r="D381" i="11"/>
  <c r="D388" i="11"/>
  <c r="D408" i="11"/>
  <c r="D415" i="11"/>
  <c r="D422" i="11"/>
  <c r="D439" i="11"/>
  <c r="D453" i="11"/>
  <c r="D467" i="11"/>
  <c r="D513" i="11"/>
  <c r="D549" i="11"/>
  <c r="D567" i="11"/>
  <c r="D603" i="11"/>
  <c r="D639" i="11"/>
  <c r="D675" i="11"/>
  <c r="D711" i="11"/>
  <c r="D747" i="11"/>
  <c r="D795" i="11"/>
  <c r="D869" i="11"/>
  <c r="D873" i="11"/>
  <c r="D877" i="11"/>
  <c r="D881" i="11"/>
  <c r="D885" i="11"/>
  <c r="D29" i="11"/>
  <c r="D47" i="11"/>
  <c r="D58" i="11"/>
  <c r="D84" i="11"/>
  <c r="D4" i="11"/>
  <c r="D8" i="11"/>
  <c r="D26" i="11"/>
  <c r="D44" i="11"/>
  <c r="D96" i="11"/>
  <c r="D110" i="11"/>
  <c r="D124" i="11"/>
  <c r="D138" i="11"/>
  <c r="D145" i="11"/>
  <c r="D155" i="11"/>
  <c r="D183" i="11"/>
  <c r="D190" i="11"/>
  <c r="D197" i="11"/>
  <c r="D204" i="11"/>
  <c r="D218" i="11"/>
  <c r="D228" i="11"/>
  <c r="D238" i="11"/>
  <c r="D251" i="11"/>
  <c r="D264" i="11"/>
  <c r="D284" i="11"/>
  <c r="D304" i="11"/>
  <c r="D314" i="11"/>
  <c r="D344" i="11"/>
  <c r="D351" i="11"/>
  <c r="D361" i="11"/>
  <c r="D368" i="11"/>
  <c r="D398" i="11"/>
  <c r="D405" i="11"/>
  <c r="D412" i="11"/>
  <c r="D429" i="11"/>
  <c r="D436" i="11"/>
  <c r="D464" i="11"/>
  <c r="D474" i="11"/>
  <c r="D488" i="11"/>
  <c r="D385" i="11"/>
  <c r="D426" i="11"/>
  <c r="D457" i="11"/>
  <c r="D471" i="11"/>
  <c r="D478" i="11"/>
  <c r="D485" i="11"/>
  <c r="D503" i="11"/>
  <c r="D510" i="11"/>
  <c r="D539" i="11"/>
  <c r="D546" i="11"/>
  <c r="D564" i="11"/>
  <c r="D271" i="11"/>
  <c r="D301" i="11"/>
  <c r="D331" i="11"/>
  <c r="D358" i="11"/>
  <c r="D5" i="11"/>
  <c r="D23" i="11"/>
  <c r="D41" i="11"/>
  <c r="D52" i="11"/>
  <c r="D63" i="11"/>
  <c r="D67" i="11"/>
  <c r="D78" i="11"/>
  <c r="D107" i="11"/>
  <c r="D114" i="11"/>
  <c r="D121" i="11"/>
  <c r="D128" i="11"/>
  <c r="D135" i="11"/>
  <c r="D142" i="11"/>
  <c r="D163" i="11"/>
  <c r="D194" i="11"/>
  <c r="D201" i="11"/>
  <c r="D215" i="11"/>
  <c r="D222" i="11"/>
  <c r="D232" i="11"/>
  <c r="D245" i="11"/>
  <c r="D258" i="11"/>
  <c r="D268" i="11"/>
  <c r="D278" i="11"/>
  <c r="D291" i="11"/>
  <c r="D298" i="11"/>
  <c r="D321" i="11"/>
  <c r="D328" i="11"/>
  <c r="D338" i="11"/>
  <c r="D348" i="11"/>
  <c r="D375" i="11"/>
  <c r="D382" i="11"/>
  <c r="D392" i="11"/>
  <c r="D402" i="11"/>
  <c r="D423" i="11"/>
  <c r="D440" i="11"/>
  <c r="D454" i="11"/>
  <c r="D461" i="11"/>
  <c r="D514" i="11"/>
  <c r="D575" i="11"/>
  <c r="D611" i="11"/>
  <c r="D647" i="11"/>
  <c r="D683" i="11"/>
  <c r="D719" i="11"/>
  <c r="D755" i="11"/>
  <c r="D399" i="11"/>
  <c r="D406" i="11"/>
  <c r="D430" i="11"/>
  <c r="D475" i="11"/>
  <c r="D489" i="11"/>
  <c r="D525" i="11"/>
  <c r="D561" i="11"/>
  <c r="D808" i="11"/>
  <c r="D823" i="11"/>
  <c r="D827" i="11"/>
  <c r="D345" i="11"/>
  <c r="D352" i="11"/>
  <c r="D2" i="11"/>
  <c r="D20" i="11"/>
  <c r="D38" i="11"/>
  <c r="D60" i="11"/>
  <c r="D71" i="11"/>
  <c r="D82" i="11"/>
  <c r="D86" i="11"/>
  <c r="D90" i="11"/>
  <c r="D111" i="11"/>
  <c r="D118" i="11"/>
  <c r="D125" i="11"/>
  <c r="D132" i="11"/>
  <c r="D146" i="11"/>
  <c r="D160" i="11"/>
  <c r="D174" i="11"/>
  <c r="D181" i="11"/>
  <c r="D191" i="11"/>
  <c r="D198" i="11"/>
  <c r="D219" i="11"/>
  <c r="D226" i="11"/>
  <c r="D239" i="11"/>
  <c r="D252" i="11"/>
  <c r="D262" i="11"/>
  <c r="D285" i="11"/>
  <c r="D295" i="11"/>
  <c r="D305" i="11"/>
  <c r="D315" i="11"/>
  <c r="D325" i="11"/>
  <c r="D332" i="11"/>
  <c r="D362" i="11"/>
  <c r="D369" i="11"/>
  <c r="D379" i="11"/>
  <c r="D386" i="11"/>
  <c r="D413" i="11"/>
  <c r="D451" i="11"/>
  <c r="D458" i="11"/>
  <c r="D465" i="11"/>
  <c r="D590" i="11"/>
  <c r="D626" i="11"/>
  <c r="D662" i="11"/>
  <c r="D698" i="11"/>
  <c r="D734" i="11"/>
  <c r="D770" i="11"/>
  <c r="D446" i="11"/>
  <c r="D459" i="11"/>
  <c r="D482" i="11"/>
  <c r="D495" i="11"/>
  <c r="D518" i="11"/>
  <c r="D531" i="11"/>
  <c r="D554" i="11"/>
  <c r="D583" i="11"/>
  <c r="D596" i="11"/>
  <c r="D619" i="11"/>
  <c r="D632" i="11"/>
  <c r="D655" i="11"/>
  <c r="D668" i="11"/>
  <c r="D691" i="11"/>
  <c r="D704" i="11"/>
  <c r="D727" i="11"/>
  <c r="D740" i="11"/>
  <c r="D763" i="11"/>
  <c r="D776" i="11"/>
  <c r="D806" i="11"/>
  <c r="D825" i="11"/>
  <c r="D902" i="11"/>
  <c r="D914" i="11"/>
  <c r="D1095" i="11"/>
  <c r="D1080" i="11"/>
  <c r="D283" i="11"/>
  <c r="D319" i="11"/>
  <c r="D355" i="11"/>
  <c r="D391" i="11"/>
  <c r="D818" i="11"/>
  <c r="D837" i="11"/>
  <c r="D864" i="11"/>
  <c r="D926" i="11"/>
  <c r="D945" i="11"/>
  <c r="D597" i="11"/>
  <c r="D633" i="11"/>
  <c r="D669" i="11"/>
  <c r="D705" i="11"/>
  <c r="D741" i="11"/>
  <c r="D777" i="11"/>
  <c r="D930" i="11"/>
  <c r="D957" i="11"/>
  <c r="D555" i="11"/>
  <c r="D571" i="11"/>
  <c r="D584" i="11"/>
  <c r="D607" i="11"/>
  <c r="D620" i="11"/>
  <c r="D656" i="11"/>
  <c r="D679" i="11"/>
  <c r="D692" i="11"/>
  <c r="D715" i="11"/>
  <c r="D728" i="11"/>
  <c r="D751" i="11"/>
  <c r="D764" i="11"/>
  <c r="D792" i="11"/>
  <c r="D830" i="11"/>
  <c r="D849" i="11"/>
  <c r="D861" i="11"/>
  <c r="D981" i="11"/>
  <c r="D842" i="11"/>
  <c r="D938" i="11"/>
  <c r="D950" i="11"/>
  <c r="D993" i="11"/>
  <c r="D962" i="11"/>
  <c r="D1005" i="11"/>
  <c r="D1017" i="11"/>
  <c r="D585" i="11"/>
  <c r="D621" i="11"/>
  <c r="D657" i="11"/>
  <c r="D693" i="11"/>
  <c r="D729" i="11"/>
  <c r="D765" i="11"/>
  <c r="D854" i="11"/>
  <c r="D974" i="11"/>
  <c r="D986" i="11"/>
  <c r="D494" i="11"/>
  <c r="D507" i="11"/>
  <c r="D530" i="11"/>
  <c r="D572" i="11"/>
  <c r="D608" i="11"/>
  <c r="D631" i="11"/>
  <c r="D644" i="11"/>
  <c r="D667" i="11"/>
  <c r="D680" i="11"/>
  <c r="D716" i="11"/>
  <c r="D752" i="11"/>
  <c r="D775" i="11"/>
  <c r="D782" i="11"/>
  <c r="D801" i="11"/>
  <c r="D866" i="11"/>
  <c r="D998" i="11"/>
  <c r="D878" i="11"/>
  <c r="D897" i="11"/>
  <c r="D909" i="11"/>
  <c r="D951" i="11"/>
  <c r="D1010" i="11"/>
  <c r="D1022" i="11"/>
  <c r="D524" i="11"/>
  <c r="D537" i="11"/>
  <c r="D560" i="11"/>
  <c r="D566" i="11"/>
  <c r="D602" i="11"/>
  <c r="D638" i="11"/>
  <c r="D674" i="11"/>
  <c r="D697" i="11"/>
  <c r="D710" i="11"/>
  <c r="D746" i="11"/>
  <c r="D794" i="11"/>
  <c r="D573" i="11"/>
  <c r="D609" i="11"/>
  <c r="D645" i="11"/>
  <c r="D681" i="11"/>
  <c r="D717" i="11"/>
  <c r="D753" i="11"/>
  <c r="D890" i="11"/>
  <c r="D921" i="11"/>
  <c r="B1030" i="8"/>
  <c r="B934" i="8"/>
  <c r="B838" i="8"/>
  <c r="B742" i="8"/>
  <c r="B646" i="8"/>
  <c r="B562" i="8"/>
  <c r="B466" i="8"/>
  <c r="B346" i="8"/>
  <c r="B298" i="8"/>
  <c r="B226" i="8"/>
  <c r="B130" i="8"/>
  <c r="B22" i="8"/>
  <c r="B982" i="8"/>
  <c r="B874" i="8"/>
  <c r="B778" i="8"/>
  <c r="B694" i="8"/>
  <c r="B586" i="8"/>
  <c r="B418" i="8"/>
  <c r="B106" i="8"/>
  <c r="B560" i="8"/>
  <c r="B970" i="8"/>
  <c r="B862" i="8"/>
  <c r="B766" i="8"/>
  <c r="B670" i="8"/>
  <c r="B574" i="8"/>
  <c r="B478" i="8"/>
  <c r="B370" i="8"/>
  <c r="B238" i="8"/>
  <c r="B46" i="8"/>
  <c r="B910" i="8"/>
  <c r="B598" i="8"/>
  <c r="B490" i="8"/>
  <c r="B382" i="8"/>
  <c r="B286" i="8"/>
  <c r="B58" i="8"/>
  <c r="B1018" i="8"/>
  <c r="B922" i="8"/>
  <c r="B826" i="8"/>
  <c r="B718" i="8"/>
  <c r="B622" i="8"/>
  <c r="B526" i="8"/>
  <c r="B442" i="8"/>
  <c r="B322" i="8"/>
  <c r="B250" i="8"/>
  <c r="B202" i="8"/>
  <c r="B142" i="8"/>
  <c r="B34" i="8"/>
  <c r="B958" i="8"/>
  <c r="B850" i="8"/>
  <c r="B754" i="8"/>
  <c r="B658" i="8"/>
  <c r="B550" i="8"/>
  <c r="B454" i="8"/>
  <c r="B358" i="8"/>
  <c r="B274" i="8"/>
  <c r="B214" i="8"/>
  <c r="B166" i="8"/>
  <c r="B70" i="8"/>
  <c r="B1006" i="8"/>
  <c r="B898" i="8"/>
  <c r="B802" i="8"/>
  <c r="B682" i="8"/>
  <c r="B538" i="8"/>
  <c r="B394" i="8"/>
  <c r="B178" i="8"/>
  <c r="B3" i="8"/>
  <c r="B994" i="8"/>
  <c r="B886" i="8"/>
  <c r="B790" i="8"/>
  <c r="B706" i="8"/>
  <c r="B610" i="8"/>
  <c r="B502" i="8"/>
  <c r="B406" i="8"/>
  <c r="B310" i="8"/>
  <c r="B94" i="8"/>
  <c r="B946" i="8"/>
  <c r="B814" i="8"/>
  <c r="B730" i="8"/>
  <c r="B634" i="8"/>
  <c r="B514" i="8"/>
  <c r="B430" i="8"/>
  <c r="B334" i="8"/>
  <c r="B262" i="8"/>
  <c r="B190" i="8"/>
  <c r="B154" i="8"/>
  <c r="B118" i="8"/>
  <c r="B82" i="8"/>
  <c r="B10" i="8"/>
  <c r="B1005" i="8"/>
  <c r="B957" i="8"/>
  <c r="B909" i="8"/>
  <c r="B897" i="8"/>
  <c r="B885" i="8"/>
  <c r="B873" i="8"/>
  <c r="B1028" i="8"/>
  <c r="B1016" i="8"/>
  <c r="B1004" i="8"/>
  <c r="B992" i="8"/>
  <c r="B980" i="8"/>
  <c r="B968" i="8"/>
  <c r="B956" i="8"/>
  <c r="B944" i="8"/>
  <c r="B932" i="8"/>
  <c r="B1017" i="8"/>
  <c r="B945" i="8"/>
  <c r="B991" i="8"/>
  <c r="B943" i="8"/>
  <c r="B907" i="8"/>
  <c r="B871" i="8"/>
  <c r="B981" i="8"/>
  <c r="B933" i="8"/>
  <c r="B1015" i="8"/>
  <c r="B955" i="8"/>
  <c r="B895" i="8"/>
  <c r="B1026" i="8"/>
  <c r="B1014" i="8"/>
  <c r="B1002" i="8"/>
  <c r="B990" i="8"/>
  <c r="B978" i="8"/>
  <c r="B966" i="8"/>
  <c r="B954" i="8"/>
  <c r="B993" i="8"/>
  <c r="B921" i="8"/>
  <c r="B1003" i="8"/>
  <c r="B967" i="8"/>
  <c r="B931" i="8"/>
  <c r="B919" i="8"/>
  <c r="B883" i="8"/>
  <c r="B1025" i="8"/>
  <c r="B1013" i="8"/>
  <c r="B1001" i="8"/>
  <c r="B989" i="8"/>
  <c r="B977" i="8"/>
  <c r="B965" i="8"/>
  <c r="B953" i="8"/>
  <c r="B941" i="8"/>
  <c r="B929" i="8"/>
  <c r="B917" i="8"/>
  <c r="B905" i="8"/>
  <c r="B893" i="8"/>
  <c r="B881" i="8"/>
  <c r="B869" i="8"/>
  <c r="B857" i="8"/>
  <c r="B845" i="8"/>
  <c r="B833" i="8"/>
  <c r="B1029" i="8"/>
  <c r="B969" i="8"/>
  <c r="B1027" i="8"/>
  <c r="B979" i="8"/>
  <c r="B1024" i="8"/>
  <c r="B1012" i="8"/>
  <c r="B1000" i="8"/>
  <c r="B988" i="8"/>
  <c r="B976" i="8"/>
  <c r="B964" i="8"/>
  <c r="B952" i="8"/>
  <c r="B940" i="8"/>
  <c r="B928" i="8"/>
  <c r="B916" i="8"/>
  <c r="B904" i="8"/>
  <c r="B2" i="8"/>
  <c r="B1023" i="8"/>
  <c r="B1011" i="8"/>
  <c r="B999" i="8"/>
  <c r="B987" i="8"/>
  <c r="B975" i="8"/>
  <c r="B963" i="8"/>
  <c r="B951" i="8"/>
  <c r="B939" i="8"/>
  <c r="B927" i="8"/>
  <c r="B915" i="8"/>
  <c r="B1022" i="8"/>
  <c r="B974" i="8"/>
  <c r="B962" i="8"/>
  <c r="B950" i="8"/>
  <c r="B938" i="8"/>
  <c r="B926" i="8"/>
  <c r="B914" i="8"/>
  <c r="B902" i="8"/>
  <c r="B890" i="8"/>
  <c r="B12" i="5"/>
  <c r="B1034" i="8"/>
  <c r="B986" i="8"/>
  <c r="B1021" i="8"/>
  <c r="B1009" i="8"/>
  <c r="B997" i="8"/>
  <c r="B985" i="8"/>
  <c r="B973" i="8"/>
  <c r="B961" i="8"/>
  <c r="B949" i="8"/>
  <c r="B937" i="8"/>
  <c r="B925" i="8"/>
  <c r="B913" i="8"/>
  <c r="B998" i="8"/>
  <c r="B1032" i="8"/>
  <c r="B1020" i="8"/>
  <c r="B1008" i="8"/>
  <c r="B996" i="8"/>
  <c r="B984" i="8"/>
  <c r="B972" i="8"/>
  <c r="B960" i="8"/>
  <c r="B948" i="8"/>
  <c r="B936" i="8"/>
  <c r="B924" i="8"/>
  <c r="B1010" i="8"/>
  <c r="B1033" i="8"/>
  <c r="B1031" i="8"/>
  <c r="B1019" i="8"/>
  <c r="B1007" i="8"/>
  <c r="B995" i="8"/>
  <c r="B983" i="8"/>
  <c r="B971" i="8"/>
  <c r="B959" i="8"/>
  <c r="B947" i="8"/>
  <c r="B63" i="5"/>
  <c r="B51" i="5"/>
  <c r="B39" i="5"/>
  <c r="B27" i="5"/>
  <c r="B15" i="5"/>
  <c r="B3" i="5"/>
  <c r="B935" i="8"/>
  <c r="B923" i="8"/>
  <c r="B911" i="8"/>
  <c r="B899" i="8"/>
  <c r="B887" i="8"/>
  <c r="B875" i="8"/>
  <c r="B863" i="8"/>
  <c r="B851" i="8"/>
  <c r="B839" i="8"/>
  <c r="B827" i="8"/>
  <c r="B815" i="8"/>
  <c r="B803" i="8"/>
  <c r="B791" i="8"/>
  <c r="B779" i="8"/>
  <c r="B767" i="8"/>
  <c r="B755" i="8"/>
  <c r="B743" i="8"/>
  <c r="B731" i="8"/>
  <c r="B719" i="8"/>
  <c r="B707" i="8"/>
  <c r="B695" i="8"/>
  <c r="B683" i="8"/>
  <c r="B671" i="8"/>
  <c r="B659" i="8"/>
  <c r="B647" i="8"/>
  <c r="B635" i="8"/>
  <c r="B623" i="8"/>
  <c r="B611" i="8"/>
  <c r="B599" i="8"/>
  <c r="B587" i="8"/>
  <c r="B575" i="8"/>
  <c r="B563" i="8"/>
  <c r="B551" i="8"/>
  <c r="B539" i="8"/>
  <c r="B527" i="8"/>
  <c r="B515" i="8"/>
  <c r="B503" i="8"/>
  <c r="B491" i="8"/>
  <c r="B479" i="8"/>
  <c r="B467" i="8"/>
  <c r="B455" i="8"/>
  <c r="B443" i="8"/>
  <c r="B431" i="8"/>
  <c r="B419" i="8"/>
  <c r="B407" i="8"/>
  <c r="B395" i="8"/>
  <c r="B383" i="8"/>
  <c r="B371" i="8"/>
  <c r="B359" i="8"/>
  <c r="B347" i="8"/>
  <c r="B335" i="8"/>
  <c r="B323" i="8"/>
  <c r="B311" i="8"/>
  <c r="B299" i="8"/>
  <c r="B287" i="8"/>
  <c r="B275" i="8"/>
  <c r="B263" i="8"/>
  <c r="B251" i="8"/>
  <c r="B239" i="8"/>
  <c r="B227" i="8"/>
  <c r="B215" i="8"/>
  <c r="B203" i="8"/>
  <c r="B191" i="8"/>
  <c r="B179" i="8"/>
  <c r="B167" i="8"/>
  <c r="B155" i="8"/>
  <c r="B143" i="8"/>
  <c r="B131" i="8"/>
  <c r="B119" i="8"/>
  <c r="B107" i="8"/>
  <c r="B95" i="8"/>
  <c r="B83" i="8"/>
  <c r="B71" i="8"/>
  <c r="B59" i="8"/>
  <c r="B47" i="8"/>
  <c r="B35" i="8"/>
  <c r="B23" i="8"/>
  <c r="B11" i="8"/>
  <c r="B64" i="5"/>
  <c r="B52" i="5"/>
  <c r="B40" i="5"/>
  <c r="B28" i="5"/>
  <c r="B16" i="5"/>
  <c r="B4" i="5"/>
  <c r="B861" i="8"/>
  <c r="B849" i="8"/>
  <c r="B837" i="8"/>
  <c r="B825" i="8"/>
  <c r="B813" i="8"/>
  <c r="B801" i="8"/>
  <c r="B789" i="8"/>
  <c r="B777" i="8"/>
  <c r="B765" i="8"/>
  <c r="B753" i="8"/>
  <c r="B741" i="8"/>
  <c r="B729" i="8"/>
  <c r="B717" i="8"/>
  <c r="B705" i="8"/>
  <c r="B693" i="8"/>
  <c r="B681" i="8"/>
  <c r="B669" i="8"/>
  <c r="B657" i="8"/>
  <c r="B645" i="8"/>
  <c r="B633" i="8"/>
  <c r="B621" i="8"/>
  <c r="B609" i="8"/>
  <c r="B597" i="8"/>
  <c r="B585" i="8"/>
  <c r="B573" i="8"/>
  <c r="B561" i="8"/>
  <c r="B549" i="8"/>
  <c r="B537" i="8"/>
  <c r="B525" i="8"/>
  <c r="B513" i="8"/>
  <c r="B501" i="8"/>
  <c r="B489" i="8"/>
  <c r="B477" i="8"/>
  <c r="B465" i="8"/>
  <c r="B453" i="8"/>
  <c r="B441" i="8"/>
  <c r="B429" i="8"/>
  <c r="B417" i="8"/>
  <c r="B405" i="8"/>
  <c r="B393" i="8"/>
  <c r="B381" i="8"/>
  <c r="B369" i="8"/>
  <c r="B357" i="8"/>
  <c r="B345" i="8"/>
  <c r="B333" i="8"/>
  <c r="B321" i="8"/>
  <c r="B309" i="8"/>
  <c r="B297" i="8"/>
  <c r="B285" i="8"/>
  <c r="B273" i="8"/>
  <c r="B261" i="8"/>
  <c r="B249" i="8"/>
  <c r="B237" i="8"/>
  <c r="B225" i="8"/>
  <c r="B213" i="8"/>
  <c r="B201" i="8"/>
  <c r="B189" i="8"/>
  <c r="B177" i="8"/>
  <c r="B165" i="8"/>
  <c r="B153" i="8"/>
  <c r="B141" i="8"/>
  <c r="B129" i="8"/>
  <c r="B117" i="8"/>
  <c r="B105" i="8"/>
  <c r="B93" i="8"/>
  <c r="B81" i="8"/>
  <c r="B69" i="8"/>
  <c r="B57" i="8"/>
  <c r="B45" i="8"/>
  <c r="B33" i="8"/>
  <c r="B21" i="8"/>
  <c r="B9" i="8"/>
  <c r="B62" i="5"/>
  <c r="B920" i="8"/>
  <c r="B908" i="8"/>
  <c r="B896" i="8"/>
  <c r="B884" i="8"/>
  <c r="B872" i="8"/>
  <c r="B860" i="8"/>
  <c r="B848" i="8"/>
  <c r="B836" i="8"/>
  <c r="B824" i="8"/>
  <c r="B812" i="8"/>
  <c r="B800" i="8"/>
  <c r="B788" i="8"/>
  <c r="B776" i="8"/>
  <c r="B764" i="8"/>
  <c r="B752" i="8"/>
  <c r="B740" i="8"/>
  <c r="B728" i="8"/>
  <c r="B716" i="8"/>
  <c r="B704" i="8"/>
  <c r="B692" i="8"/>
  <c r="B680" i="8"/>
  <c r="B668" i="8"/>
  <c r="B656" i="8"/>
  <c r="B644" i="8"/>
  <c r="B632" i="8"/>
  <c r="B620" i="8"/>
  <c r="B608" i="8"/>
  <c r="B596" i="8"/>
  <c r="B584" i="8"/>
  <c r="B572" i="8"/>
  <c r="B548" i="8"/>
  <c r="B536" i="8"/>
  <c r="B524" i="8"/>
  <c r="B512" i="8"/>
  <c r="B500" i="8"/>
  <c r="B488" i="8"/>
  <c r="B476" i="8"/>
  <c r="B464" i="8"/>
  <c r="B452" i="8"/>
  <c r="B440" i="8"/>
  <c r="B428" i="8"/>
  <c r="B416" i="8"/>
  <c r="B404" i="8"/>
  <c r="B392" i="8"/>
  <c r="B380" i="8"/>
  <c r="B368" i="8"/>
  <c r="B356" i="8"/>
  <c r="B344" i="8"/>
  <c r="B332" i="8"/>
  <c r="B320" i="8"/>
  <c r="B308" i="8"/>
  <c r="B296" i="8"/>
  <c r="B284" i="8"/>
  <c r="B272" i="8"/>
  <c r="B260" i="8"/>
  <c r="B248" i="8"/>
  <c r="B236" i="8"/>
  <c r="B224" i="8"/>
  <c r="B212" i="8"/>
  <c r="B200" i="8"/>
  <c r="B188" i="8"/>
  <c r="B176" i="8"/>
  <c r="B164" i="8"/>
  <c r="B152" i="8"/>
  <c r="B140" i="8"/>
  <c r="B128" i="8"/>
  <c r="B116" i="8"/>
  <c r="B104" i="8"/>
  <c r="B92" i="8"/>
  <c r="B80" i="8"/>
  <c r="B68" i="8"/>
  <c r="B56" i="8"/>
  <c r="B44" i="8"/>
  <c r="B32" i="8"/>
  <c r="B20" i="8"/>
  <c r="B8" i="8"/>
  <c r="B61" i="5"/>
  <c r="B49" i="5"/>
  <c r="B37" i="5"/>
  <c r="B25" i="5"/>
  <c r="B13" i="5"/>
  <c r="B60" i="5"/>
  <c r="B859" i="8"/>
  <c r="B847" i="8"/>
  <c r="B835" i="8"/>
  <c r="B823" i="8"/>
  <c r="B811" i="8"/>
  <c r="B799" i="8"/>
  <c r="B787" i="8"/>
  <c r="B775" i="8"/>
  <c r="B763" i="8"/>
  <c r="B751" i="8"/>
  <c r="B739" i="8"/>
  <c r="B727" i="8"/>
  <c r="B715" i="8"/>
  <c r="B703" i="8"/>
  <c r="B691" i="8"/>
  <c r="B679" i="8"/>
  <c r="B667" i="8"/>
  <c r="B655" i="8"/>
  <c r="B643" i="8"/>
  <c r="B631" i="8"/>
  <c r="B619" i="8"/>
  <c r="B607" i="8"/>
  <c r="B595" i="8"/>
  <c r="B583" i="8"/>
  <c r="B571" i="8"/>
  <c r="B559" i="8"/>
  <c r="B547" i="8"/>
  <c r="B535" i="8"/>
  <c r="B523" i="8"/>
  <c r="B511" i="8"/>
  <c r="B499" i="8"/>
  <c r="B487" i="8"/>
  <c r="B475" i="8"/>
  <c r="B463" i="8"/>
  <c r="B451" i="8"/>
  <c r="B439" i="8"/>
  <c r="B427" i="8"/>
  <c r="B415" i="8"/>
  <c r="B403" i="8"/>
  <c r="B391" i="8"/>
  <c r="B379" i="8"/>
  <c r="B367" i="8"/>
  <c r="B355" i="8"/>
  <c r="B343" i="8"/>
  <c r="B331" i="8"/>
  <c r="B319" i="8"/>
  <c r="B307" i="8"/>
  <c r="B295" i="8"/>
  <c r="B283" i="8"/>
  <c r="B271" i="8"/>
  <c r="B259" i="8"/>
  <c r="B247" i="8"/>
  <c r="B235" i="8"/>
  <c r="B223" i="8"/>
  <c r="B211" i="8"/>
  <c r="B199" i="8"/>
  <c r="B187" i="8"/>
  <c r="B175" i="8"/>
  <c r="B163" i="8"/>
  <c r="B151" i="8"/>
  <c r="B139" i="8"/>
  <c r="B127" i="8"/>
  <c r="B115" i="8"/>
  <c r="B103" i="8"/>
  <c r="B91" i="8"/>
  <c r="B79" i="8"/>
  <c r="B67" i="8"/>
  <c r="B55" i="8"/>
  <c r="B43" i="8"/>
  <c r="B31" i="8"/>
  <c r="B19" i="8"/>
  <c r="B7" i="8"/>
  <c r="B50" i="5"/>
  <c r="B942" i="8"/>
  <c r="B930" i="8"/>
  <c r="B918" i="8"/>
  <c r="B906" i="8"/>
  <c r="B894" i="8"/>
  <c r="B882" i="8"/>
  <c r="B870" i="8"/>
  <c r="B858" i="8"/>
  <c r="B846" i="8"/>
  <c r="B834" i="8"/>
  <c r="B822" i="8"/>
  <c r="B810" i="8"/>
  <c r="B798" i="8"/>
  <c r="B786" i="8"/>
  <c r="B774" i="8"/>
  <c r="B762" i="8"/>
  <c r="B750" i="8"/>
  <c r="B738" i="8"/>
  <c r="B726" i="8"/>
  <c r="B714" i="8"/>
  <c r="B702" i="8"/>
  <c r="B690" i="8"/>
  <c r="B678" i="8"/>
  <c r="B666" i="8"/>
  <c r="B654" i="8"/>
  <c r="B642" i="8"/>
  <c r="B630" i="8"/>
  <c r="B618" i="8"/>
  <c r="B606" i="8"/>
  <c r="B594" i="8"/>
  <c r="B582" i="8"/>
  <c r="B570" i="8"/>
  <c r="B558" i="8"/>
  <c r="B546" i="8"/>
  <c r="B534" i="8"/>
  <c r="B522" i="8"/>
  <c r="B510" i="8"/>
  <c r="B498" i="8"/>
  <c r="B486" i="8"/>
  <c r="B474" i="8"/>
  <c r="B462" i="8"/>
  <c r="B450" i="8"/>
  <c r="B438" i="8"/>
  <c r="B426" i="8"/>
  <c r="B414" i="8"/>
  <c r="B402" i="8"/>
  <c r="B390" i="8"/>
  <c r="B378" i="8"/>
  <c r="B366" i="8"/>
  <c r="B354" i="8"/>
  <c r="B342" i="8"/>
  <c r="B330" i="8"/>
  <c r="B318" i="8"/>
  <c r="B306" i="8"/>
  <c r="B294" i="8"/>
  <c r="B282" i="8"/>
  <c r="B270" i="8"/>
  <c r="B258" i="8"/>
  <c r="B246" i="8"/>
  <c r="B234" i="8"/>
  <c r="B222" i="8"/>
  <c r="B210" i="8"/>
  <c r="B198" i="8"/>
  <c r="B186" i="8"/>
  <c r="B174" i="8"/>
  <c r="B162" i="8"/>
  <c r="B150" i="8"/>
  <c r="B138" i="8"/>
  <c r="B126" i="8"/>
  <c r="B114" i="8"/>
  <c r="B102" i="8"/>
  <c r="B90" i="8"/>
  <c r="B78" i="8"/>
  <c r="B66" i="8"/>
  <c r="B54" i="8"/>
  <c r="B42" i="8"/>
  <c r="B30" i="8"/>
  <c r="B18" i="8"/>
  <c r="B6" i="8"/>
  <c r="B59" i="5"/>
  <c r="B47" i="5"/>
  <c r="B35" i="5"/>
  <c r="B23" i="5"/>
  <c r="B11" i="5"/>
  <c r="B48" i="5"/>
  <c r="B821" i="8"/>
  <c r="B809" i="8"/>
  <c r="B797" i="8"/>
  <c r="B785" i="8"/>
  <c r="B773" i="8"/>
  <c r="B761" i="8"/>
  <c r="B749" i="8"/>
  <c r="B737" i="8"/>
  <c r="B725" i="8"/>
  <c r="B713" i="8"/>
  <c r="B701" i="8"/>
  <c r="B689" i="8"/>
  <c r="B677" i="8"/>
  <c r="B665" i="8"/>
  <c r="B653" i="8"/>
  <c r="B641" i="8"/>
  <c r="B629" i="8"/>
  <c r="B617" i="8"/>
  <c r="B605" i="8"/>
  <c r="B593" i="8"/>
  <c r="B581" i="8"/>
  <c r="B569" i="8"/>
  <c r="B557" i="8"/>
  <c r="B545" i="8"/>
  <c r="B533" i="8"/>
  <c r="B521" i="8"/>
  <c r="B509" i="8"/>
  <c r="B497" i="8"/>
  <c r="B485" i="8"/>
  <c r="B473" i="8"/>
  <c r="B461" i="8"/>
  <c r="B449" i="8"/>
  <c r="B437" i="8"/>
  <c r="B425" i="8"/>
  <c r="B413" i="8"/>
  <c r="B401" i="8"/>
  <c r="B389" i="8"/>
  <c r="B377" i="8"/>
  <c r="B365" i="8"/>
  <c r="B353" i="8"/>
  <c r="B341" i="8"/>
  <c r="B329" i="8"/>
  <c r="B317" i="8"/>
  <c r="B305" i="8"/>
  <c r="B293" i="8"/>
  <c r="B281" i="8"/>
  <c r="B269" i="8"/>
  <c r="B257" i="8"/>
  <c r="B245" i="8"/>
  <c r="B233" i="8"/>
  <c r="B221" i="8"/>
  <c r="B209" i="8"/>
  <c r="B197" i="8"/>
  <c r="B185" i="8"/>
  <c r="B173" i="8"/>
  <c r="B161" i="8"/>
  <c r="B149" i="8"/>
  <c r="B137" i="8"/>
  <c r="B125" i="8"/>
  <c r="B113" i="8"/>
  <c r="B101" i="8"/>
  <c r="B89" i="8"/>
  <c r="B77" i="8"/>
  <c r="B65" i="8"/>
  <c r="B53" i="8"/>
  <c r="B41" i="8"/>
  <c r="B29" i="8"/>
  <c r="B17" i="8"/>
  <c r="B5" i="8"/>
  <c r="B58" i="5"/>
  <c r="B46" i="5"/>
  <c r="B34" i="5"/>
  <c r="B22" i="5"/>
  <c r="B10" i="5"/>
  <c r="B38" i="5"/>
  <c r="B892" i="8"/>
  <c r="B880" i="8"/>
  <c r="B868" i="8"/>
  <c r="B856" i="8"/>
  <c r="B844" i="8"/>
  <c r="B832" i="8"/>
  <c r="B820" i="8"/>
  <c r="B808" i="8"/>
  <c r="B796" i="8"/>
  <c r="B784" i="8"/>
  <c r="B772" i="8"/>
  <c r="B760" i="8"/>
  <c r="B748" i="8"/>
  <c r="B736" i="8"/>
  <c r="B724" i="8"/>
  <c r="B712" i="8"/>
  <c r="B700" i="8"/>
  <c r="B688" i="8"/>
  <c r="B676" i="8"/>
  <c r="B664" i="8"/>
  <c r="B652" i="8"/>
  <c r="B640" i="8"/>
  <c r="B628" i="8"/>
  <c r="B616" i="8"/>
  <c r="B604" i="8"/>
  <c r="B592" i="8"/>
  <c r="B580" i="8"/>
  <c r="B568" i="8"/>
  <c r="B556" i="8"/>
  <c r="B544" i="8"/>
  <c r="B532" i="8"/>
  <c r="B520" i="8"/>
  <c r="B508" i="8"/>
  <c r="B496" i="8"/>
  <c r="B484" i="8"/>
  <c r="B472" i="8"/>
  <c r="B460" i="8"/>
  <c r="B448" i="8"/>
  <c r="B436" i="8"/>
  <c r="B424" i="8"/>
  <c r="B412" i="8"/>
  <c r="B400" i="8"/>
  <c r="B388" i="8"/>
  <c r="B376" i="8"/>
  <c r="B364" i="8"/>
  <c r="B352" i="8"/>
  <c r="B340" i="8"/>
  <c r="B328" i="8"/>
  <c r="B316" i="8"/>
  <c r="B304" i="8"/>
  <c r="B292" i="8"/>
  <c r="B280" i="8"/>
  <c r="B268" i="8"/>
  <c r="B256" i="8"/>
  <c r="B244" i="8"/>
  <c r="B232" i="8"/>
  <c r="B220" i="8"/>
  <c r="B208" i="8"/>
  <c r="B196" i="8"/>
  <c r="B184" i="8"/>
  <c r="B172" i="8"/>
  <c r="B160" i="8"/>
  <c r="B148" i="8"/>
  <c r="B136" i="8"/>
  <c r="B124" i="8"/>
  <c r="B112" i="8"/>
  <c r="B100" i="8"/>
  <c r="B88" i="8"/>
  <c r="B76" i="8"/>
  <c r="B64" i="8"/>
  <c r="B52" i="8"/>
  <c r="B40" i="8"/>
  <c r="B28" i="8"/>
  <c r="B16" i="8"/>
  <c r="B4" i="8"/>
  <c r="B57" i="5"/>
  <c r="B45" i="5"/>
  <c r="B33" i="5"/>
  <c r="B21" i="5"/>
  <c r="B9" i="5"/>
  <c r="B36" i="5"/>
  <c r="B903" i="8"/>
  <c r="B891" i="8"/>
  <c r="B879" i="8"/>
  <c r="B867" i="8"/>
  <c r="B855" i="8"/>
  <c r="B843" i="8"/>
  <c r="B831" i="8"/>
  <c r="B819" i="8"/>
  <c r="B807" i="8"/>
  <c r="B795" i="8"/>
  <c r="B783" i="8"/>
  <c r="B771" i="8"/>
  <c r="B759" i="8"/>
  <c r="B747" i="8"/>
  <c r="B735" i="8"/>
  <c r="B723" i="8"/>
  <c r="B711" i="8"/>
  <c r="B699" i="8"/>
  <c r="B687" i="8"/>
  <c r="B675" i="8"/>
  <c r="B663" i="8"/>
  <c r="B651" i="8"/>
  <c r="B639" i="8"/>
  <c r="B627" i="8"/>
  <c r="B615" i="8"/>
  <c r="B603" i="8"/>
  <c r="B591" i="8"/>
  <c r="B579" i="8"/>
  <c r="B567" i="8"/>
  <c r="B555" i="8"/>
  <c r="B543" i="8"/>
  <c r="B531" i="8"/>
  <c r="B519" i="8"/>
  <c r="B507" i="8"/>
  <c r="B495" i="8"/>
  <c r="B483" i="8"/>
  <c r="B471" i="8"/>
  <c r="B459" i="8"/>
  <c r="B447" i="8"/>
  <c r="B435" i="8"/>
  <c r="B423" i="8"/>
  <c r="B411" i="8"/>
  <c r="B399" i="8"/>
  <c r="B387" i="8"/>
  <c r="B375" i="8"/>
  <c r="B363" i="8"/>
  <c r="B351" i="8"/>
  <c r="B339" i="8"/>
  <c r="B327" i="8"/>
  <c r="B315" i="8"/>
  <c r="B303" i="8"/>
  <c r="B291" i="8"/>
  <c r="B279" i="8"/>
  <c r="B267" i="8"/>
  <c r="B255" i="8"/>
  <c r="B243" i="8"/>
  <c r="B231" i="8"/>
  <c r="B219" i="8"/>
  <c r="B207" i="8"/>
  <c r="B195" i="8"/>
  <c r="B183" i="8"/>
  <c r="B171" i="8"/>
  <c r="B159" i="8"/>
  <c r="B147" i="8"/>
  <c r="B135" i="8"/>
  <c r="B123" i="8"/>
  <c r="B111" i="8"/>
  <c r="B99" i="8"/>
  <c r="B87" i="8"/>
  <c r="B75" i="8"/>
  <c r="B63" i="8"/>
  <c r="B51" i="8"/>
  <c r="B39" i="8"/>
  <c r="B27" i="8"/>
  <c r="B15" i="8"/>
  <c r="B56" i="5"/>
  <c r="B44" i="5"/>
  <c r="B32" i="5"/>
  <c r="B20" i="5"/>
  <c r="B8" i="5"/>
  <c r="B26" i="5"/>
  <c r="B878" i="8"/>
  <c r="B866" i="8"/>
  <c r="B854" i="8"/>
  <c r="B842" i="8"/>
  <c r="B830" i="8"/>
  <c r="B818" i="8"/>
  <c r="B806" i="8"/>
  <c r="B794" i="8"/>
  <c r="B782" i="8"/>
  <c r="B770" i="8"/>
  <c r="B758" i="8"/>
  <c r="B746" i="8"/>
  <c r="B734" i="8"/>
  <c r="B722" i="8"/>
  <c r="B710" i="8"/>
  <c r="B698" i="8"/>
  <c r="B686" i="8"/>
  <c r="B674" i="8"/>
  <c r="B662" i="8"/>
  <c r="B650" i="8"/>
  <c r="B638" i="8"/>
  <c r="B626" i="8"/>
  <c r="B614" i="8"/>
  <c r="B602" i="8"/>
  <c r="B590" i="8"/>
  <c r="B578" i="8"/>
  <c r="B566" i="8"/>
  <c r="B554" i="8"/>
  <c r="B542" i="8"/>
  <c r="B530" i="8"/>
  <c r="B518" i="8"/>
  <c r="B506" i="8"/>
  <c r="B494" i="8"/>
  <c r="B482" i="8"/>
  <c r="B470" i="8"/>
  <c r="B458" i="8"/>
  <c r="B446" i="8"/>
  <c r="B434" i="8"/>
  <c r="B422" i="8"/>
  <c r="B410" i="8"/>
  <c r="B398" i="8"/>
  <c r="B386" i="8"/>
  <c r="B374" i="8"/>
  <c r="B362" i="8"/>
  <c r="B350" i="8"/>
  <c r="B338" i="8"/>
  <c r="B326" i="8"/>
  <c r="B314" i="8"/>
  <c r="B302" i="8"/>
  <c r="B290" i="8"/>
  <c r="B278" i="8"/>
  <c r="B266" i="8"/>
  <c r="B254" i="8"/>
  <c r="B242" i="8"/>
  <c r="B230" i="8"/>
  <c r="B218" i="8"/>
  <c r="B206" i="8"/>
  <c r="B194" i="8"/>
  <c r="B182" i="8"/>
  <c r="B170" i="8"/>
  <c r="B158" i="8"/>
  <c r="B146" i="8"/>
  <c r="B134" i="8"/>
  <c r="B122" i="8"/>
  <c r="B110" i="8"/>
  <c r="B98" i="8"/>
  <c r="B86" i="8"/>
  <c r="B74" i="8"/>
  <c r="B62" i="8"/>
  <c r="B50" i="8"/>
  <c r="B38" i="8"/>
  <c r="B26" i="8"/>
  <c r="B14" i="8"/>
  <c r="B2" i="5"/>
  <c r="B55" i="5"/>
  <c r="B43" i="5"/>
  <c r="B31" i="5"/>
  <c r="B19" i="5"/>
  <c r="B7" i="5"/>
  <c r="B24" i="5"/>
  <c r="B901" i="8"/>
  <c r="B889" i="8"/>
  <c r="B877" i="8"/>
  <c r="B865" i="8"/>
  <c r="B853" i="8"/>
  <c r="B841" i="8"/>
  <c r="B829" i="8"/>
  <c r="B817" i="8"/>
  <c r="B805" i="8"/>
  <c r="B793" i="8"/>
  <c r="B781" i="8"/>
  <c r="B769" i="8"/>
  <c r="B757" i="8"/>
  <c r="B745" i="8"/>
  <c r="B733" i="8"/>
  <c r="B721" i="8"/>
  <c r="B709" i="8"/>
  <c r="B697" i="8"/>
  <c r="B685" i="8"/>
  <c r="B673" i="8"/>
  <c r="B661" i="8"/>
  <c r="B649" i="8"/>
  <c r="B637" i="8"/>
  <c r="B625" i="8"/>
  <c r="B613" i="8"/>
  <c r="B601" i="8"/>
  <c r="B589" i="8"/>
  <c r="B577" i="8"/>
  <c r="B565" i="8"/>
  <c r="B553" i="8"/>
  <c r="B541" i="8"/>
  <c r="B529" i="8"/>
  <c r="B517" i="8"/>
  <c r="B505" i="8"/>
  <c r="B493" i="8"/>
  <c r="B481" i="8"/>
  <c r="B469" i="8"/>
  <c r="B457" i="8"/>
  <c r="B445" i="8"/>
  <c r="B433" i="8"/>
  <c r="B421" i="8"/>
  <c r="B409" i="8"/>
  <c r="B397" i="8"/>
  <c r="B385" i="8"/>
  <c r="B373" i="8"/>
  <c r="B361" i="8"/>
  <c r="B349" i="8"/>
  <c r="B337" i="8"/>
  <c r="B325" i="8"/>
  <c r="B313" i="8"/>
  <c r="B301" i="8"/>
  <c r="B289" i="8"/>
  <c r="B277" i="8"/>
  <c r="B265" i="8"/>
  <c r="B253" i="8"/>
  <c r="B241" i="8"/>
  <c r="B229" i="8"/>
  <c r="B217" i="8"/>
  <c r="B205" i="8"/>
  <c r="B193" i="8"/>
  <c r="B181" i="8"/>
  <c r="B169" i="8"/>
  <c r="B157" i="8"/>
  <c r="B145" i="8"/>
  <c r="B133" i="8"/>
  <c r="B121" i="8"/>
  <c r="B109" i="8"/>
  <c r="B97" i="8"/>
  <c r="B85" i="8"/>
  <c r="B73" i="8"/>
  <c r="B61" i="8"/>
  <c r="B49" i="8"/>
  <c r="B37" i="8"/>
  <c r="B25" i="8"/>
  <c r="B13" i="8"/>
  <c r="B66" i="5"/>
  <c r="B54" i="5"/>
  <c r="B42" i="5"/>
  <c r="B30" i="5"/>
  <c r="B18" i="5"/>
  <c r="B6" i="5"/>
  <c r="B14" i="5"/>
  <c r="B912" i="8"/>
  <c r="B900" i="8"/>
  <c r="B888" i="8"/>
  <c r="B876" i="8"/>
  <c r="B864" i="8"/>
  <c r="B852" i="8"/>
  <c r="B840" i="8"/>
  <c r="B828" i="8"/>
  <c r="B816" i="8"/>
  <c r="B804" i="8"/>
  <c r="B792" i="8"/>
  <c r="B780" i="8"/>
  <c r="B768" i="8"/>
  <c r="B756" i="8"/>
  <c r="B744" i="8"/>
  <c r="B732" i="8"/>
  <c r="B720" i="8"/>
  <c r="B708" i="8"/>
  <c r="B696" i="8"/>
  <c r="B684" i="8"/>
  <c r="B672" i="8"/>
  <c r="B660" i="8"/>
  <c r="B648" i="8"/>
  <c r="B636" i="8"/>
  <c r="B624" i="8"/>
  <c r="B612" i="8"/>
  <c r="B600" i="8"/>
  <c r="B588" i="8"/>
  <c r="B576" i="8"/>
  <c r="B564" i="8"/>
  <c r="B552" i="8"/>
  <c r="B540" i="8"/>
  <c r="B528" i="8"/>
  <c r="B516" i="8"/>
  <c r="B504" i="8"/>
  <c r="B492" i="8"/>
  <c r="B480" i="8"/>
  <c r="B468" i="8"/>
  <c r="B456" i="8"/>
  <c r="B444" i="8"/>
  <c r="B432" i="8"/>
  <c r="B420" i="8"/>
  <c r="B408" i="8"/>
  <c r="B396" i="8"/>
  <c r="B384" i="8"/>
  <c r="B372" i="8"/>
  <c r="B360" i="8"/>
  <c r="B348" i="8"/>
  <c r="B336" i="8"/>
  <c r="B324" i="8"/>
  <c r="B312" i="8"/>
  <c r="B300" i="8"/>
  <c r="B288" i="8"/>
  <c r="B276" i="8"/>
  <c r="B264" i="8"/>
  <c r="B252" i="8"/>
  <c r="B240" i="8"/>
  <c r="B228" i="8"/>
  <c r="B216" i="8"/>
  <c r="B204" i="8"/>
  <c r="B192" i="8"/>
  <c r="B180" i="8"/>
  <c r="B168" i="8"/>
  <c r="B156" i="8"/>
  <c r="B144" i="8"/>
  <c r="B132" i="8"/>
  <c r="B120" i="8"/>
  <c r="B108" i="8"/>
  <c r="B96" i="8"/>
  <c r="B84" i="8"/>
  <c r="B72" i="8"/>
  <c r="B60" i="8"/>
  <c r="B48" i="8"/>
  <c r="B36" i="8"/>
  <c r="B24" i="8"/>
  <c r="B12" i="8"/>
  <c r="B65" i="5"/>
  <c r="B53" i="5"/>
  <c r="B41" i="5"/>
  <c r="B29" i="5"/>
  <c r="B17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tc={33DA4FE4-8F32-4EA5-8D09-4505633E199E}</author>
    <author>tc={A2FEC82D-0F74-4F47-AE40-EDBBF05F59F9}</author>
  </authors>
  <commentList>
    <comment ref="H45" authorId="0" shapeId="0" xr:uid="{33DA4FE4-8F32-4EA5-8D09-4505633E199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Correggere a sistema refuso su "disponibile" mancava la lettera n</t>
      </text>
    </comment>
    <comment ref="F49" authorId="1" shapeId="0" xr:uid="{A2FEC82D-0F74-4F47-AE40-EDBBF05F59F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Allarme Duplicato con quello alla riga 47?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tc={95377B3A-7CE6-4961-92AA-4A55445F7875}</author>
    <author>tc={5AAFD8D1-2660-47DF-9F6B-09517DF22C3E}</author>
  </authors>
  <commentList>
    <comment ref="I1078" authorId="0" shapeId="0" xr:uid="{95377B3A-7CE6-4961-92AA-4A55445F787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Correggere a sistema refuso su "disponibile" mancava la lettera n</t>
      </text>
    </comment>
    <comment ref="G1082" authorId="1" shapeId="0" xr:uid="{5AAFD8D1-2660-47DF-9F6B-09517DF22C3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Allarme Duplicato con quello alla riga 47?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<sst xmlns="http://schemas.openxmlformats.org/spreadsheetml/2006/main" count="41209" uniqueCount="2987">
  <si>
    <t>nome+descrizione</t>
  </si>
  <si>
    <t>CHECK nome+descrizione</t>
  </si>
  <si>
    <t>check nome</t>
  </si>
  <si>
    <t>check descriz.</t>
  </si>
  <si>
    <t>CATEGORIA ALLARME</t>
  </si>
  <si>
    <t>CODICE ALLARME</t>
  </si>
  <si>
    <t>DESCRIZIONE ALLARME</t>
  </si>
  <si>
    <t>IMPIANTO</t>
  </si>
  <si>
    <t>DISPOSITIVO</t>
  </si>
  <si>
    <t>PRESENTE IN PROCEDURA</t>
  </si>
  <si>
    <t>CHI VISUALIZZA L'ALLARME</t>
  </si>
  <si>
    <t>ID ISTRUZIONE OPERATIVA ALLARMI</t>
  </si>
  <si>
    <t>PRIORITÀ ALLARME</t>
  </si>
  <si>
    <t>COLORE NOTIFICA ALLARME</t>
  </si>
  <si>
    <t>ALLARME SONORO RMT</t>
  </si>
  <si>
    <t>NOTE</t>
  </si>
  <si>
    <t>Impianto Rete dati-ANOMALIA</t>
  </si>
  <si>
    <t>ALL_PLC_RACK</t>
  </si>
  <si>
    <t>Allarme plc rack</t>
  </si>
  <si>
    <t>Impianto Rete dati</t>
  </si>
  <si>
    <t>Rack radio</t>
  </si>
  <si>
    <t>NO</t>
  </si>
  <si>
    <t>Impiantisti</t>
  </si>
  <si>
    <t>NA</t>
  </si>
  <si>
    <t>Bassa</t>
  </si>
  <si>
    <t>Blu</t>
  </si>
  <si>
    <t>Soccorso SOS</t>
  </si>
  <si>
    <t>ALLARME_DA_SOS</t>
  </si>
  <si>
    <t>Allarme SOS premuto</t>
  </si>
  <si>
    <t>Impianto SOS</t>
  </si>
  <si>
    <t>Colonnina Sos</t>
  </si>
  <si>
    <t>SI</t>
  </si>
  <si>
    <t>Sala operativa e Impiantisti</t>
  </si>
  <si>
    <t>Alta</t>
  </si>
  <si>
    <t>Rosso</t>
  </si>
  <si>
    <t>Antincendio-ANOMALIA</t>
  </si>
  <si>
    <t>ALLARME_GENERICO</t>
  </si>
  <si>
    <t>allarme generico</t>
  </si>
  <si>
    <t>Impianto Antincendio</t>
  </si>
  <si>
    <t>Pompa</t>
  </si>
  <si>
    <t>Incendio</t>
  </si>
  <si>
    <t>ALLARME_INCENDIO_CABINA</t>
  </si>
  <si>
    <t>Allarme incendio in cabina</t>
  </si>
  <si>
    <t>Impianto Rilevazione Incendio</t>
  </si>
  <si>
    <t>Centralina rilevazione incendio in cabina</t>
  </si>
  <si>
    <t>Altissima</t>
  </si>
  <si>
    <t>Viola</t>
  </si>
  <si>
    <t>Pre Allarme Incendio</t>
  </si>
  <si>
    <t>ALLARME_INCENDIO_DA_SENSORE</t>
  </si>
  <si>
    <t>Allarme incendio da sensori</t>
  </si>
  <si>
    <t>Impianto Ventilazione</t>
  </si>
  <si>
    <t>CO</t>
  </si>
  <si>
    <t>OP</t>
  </si>
  <si>
    <t>Impianto Elettrico-ANOMALIA</t>
  </si>
  <si>
    <t>ALR_1_GRUPPO_ELETTROGENO</t>
  </si>
  <si>
    <t>Allarme centralina gestione elettronica GE - alarm1</t>
  </si>
  <si>
    <t>Impianto Elettrico</t>
  </si>
  <si>
    <t>Gruppo elettrogeno</t>
  </si>
  <si>
    <t>ALR_113</t>
  </si>
  <si>
    <t>Allarme SOS pulsante 113</t>
  </si>
  <si>
    <t>ALR_115</t>
  </si>
  <si>
    <t>Allarme SOS pulsante 115</t>
  </si>
  <si>
    <t>ALR_118</t>
  </si>
  <si>
    <t>Allarme SOS pulsante 118</t>
  </si>
  <si>
    <t>ALR_2_GRUPPO_ELETTROGENO</t>
  </si>
  <si>
    <t>Allarme centralina gestione elettronica GE - alarm2</t>
  </si>
  <si>
    <t>ALR_800116</t>
  </si>
  <si>
    <t>Allarme SOS soccorso meccanico_800116</t>
  </si>
  <si>
    <t>ALR_803116</t>
  </si>
  <si>
    <t>Allarme SOS soccorso meccanico_803116</t>
  </si>
  <si>
    <t>Allagamento</t>
  </si>
  <si>
    <t>ALR_ALLAGAMENTO</t>
  </si>
  <si>
    <t>Allarme Allagamento</t>
  </si>
  <si>
    <t>Impianto Allagamento</t>
  </si>
  <si>
    <t>Sonda allagamento</t>
  </si>
  <si>
    <t>ALR_ALTERNATORE_IN_SOVRACCARICO_C</t>
  </si>
  <si>
    <t>Allarme alternatore in sovraccarico C</t>
  </si>
  <si>
    <t>ALR_ALTERNATORE_IN_SOVRACCARICO_L</t>
  </si>
  <si>
    <t>Allarme alternatore in sovraccarico L</t>
  </si>
  <si>
    <t>ALR_ALTERNATORE_NON_ECCITATO</t>
  </si>
  <si>
    <t>Allarme alternatore non eccitato</t>
  </si>
  <si>
    <t>ALR_ALTO_LIV_GASOLIO_SERB</t>
  </si>
  <si>
    <t>Allarme livello gasolio alto</t>
  </si>
  <si>
    <t>ALR_ALTO_LIVELLO_POMPA</t>
  </si>
  <si>
    <t>Allarme alto livello pompa</t>
  </si>
  <si>
    <t>Ventilazione-ANOMALIA</t>
  </si>
  <si>
    <t>ALR_ANEMOMETRO</t>
  </si>
  <si>
    <t>Allarme guasto anemometro</t>
  </si>
  <si>
    <t>Anemometro</t>
  </si>
  <si>
    <t>Impianto SOS-ANOMALIA</t>
  </si>
  <si>
    <t>ALR_ANTA_ESTINTORE_APERTA</t>
  </si>
  <si>
    <t>Allarme apertura anta estintore colonnina SOS</t>
  </si>
  <si>
    <t>ALR_ANTE_INFERIORI</t>
  </si>
  <si>
    <t>Allarme ante inferiori</t>
  </si>
  <si>
    <t>ALR_ANTE_SUPERIORI</t>
  </si>
  <si>
    <t>Allarme ante superiori</t>
  </si>
  <si>
    <t>ALR_APERTURA_IMMOTIVATA_GCB</t>
  </si>
  <si>
    <t>Allarme apertura immotivata contattore generatore</t>
  </si>
  <si>
    <t>ALR_APERTURA_IMMOTIVATA_MCB</t>
  </si>
  <si>
    <t>Allarme apertura immotivata contattore di rete</t>
  </si>
  <si>
    <t>ALR_ARRESTO_EMERGENZA</t>
  </si>
  <si>
    <t>Allarme arresto Gruppo Elettrogeno</t>
  </si>
  <si>
    <t>ALR_ASSENZA_RETE</t>
  </si>
  <si>
    <t>Allarme assenza rete</t>
  </si>
  <si>
    <t>UPS</t>
  </si>
  <si>
    <t>Impianto Rilevazione Incendio-ANOMALIA</t>
  </si>
  <si>
    <t>ALR_ASSENZA_TENSIONE</t>
  </si>
  <si>
    <t>Allarme assenza tensione dispositivo</t>
  </si>
  <si>
    <t>Centralina rilevazione incendio</t>
  </si>
  <si>
    <t>Canalizzazione-ANOMALIA</t>
  </si>
  <si>
    <t>ALR_ASSENZA_TENSIONE_2_IMP</t>
  </si>
  <si>
    <t>Impianto Canalizzazione</t>
  </si>
  <si>
    <t>Rotocartello</t>
  </si>
  <si>
    <t>Interruttore relè</t>
  </si>
  <si>
    <t>Quadro elettrico</t>
  </si>
  <si>
    <t>Illuminazione-ANOMALIA</t>
  </si>
  <si>
    <t>Impianto Illuminazione</t>
  </si>
  <si>
    <t>Guida led</t>
  </si>
  <si>
    <t>ALR_ASSIMETRIA_ALTERNATORE</t>
  </si>
  <si>
    <t>Allarme assimetria alternatore</t>
  </si>
  <si>
    <t>ALR_ASSIMETRIA_RETE</t>
  </si>
  <si>
    <t>Allarme assimetria rete</t>
  </si>
  <si>
    <t>ALR_ASSORBIMENTO</t>
  </si>
  <si>
    <t>Allarme assorbimento  ventilatore</t>
  </si>
  <si>
    <t>Ventilatore</t>
  </si>
  <si>
    <t>ALR_AVARIA_ALIMENTATORI</t>
  </si>
  <si>
    <t>Allarme avaria alimentatori</t>
  </si>
  <si>
    <t>PMV/Frecciacroce</t>
  </si>
  <si>
    <t>ALR_AVARIA_CENTRALINA_ANTINCENDIO</t>
  </si>
  <si>
    <t>Allarme avaria centralina incendio</t>
  </si>
  <si>
    <t>Centralina antincendio</t>
  </si>
  <si>
    <t>ALR_AVARIA_LED</t>
  </si>
  <si>
    <t>Allarme avaria LED</t>
  </si>
  <si>
    <t>ALR_AVARIA_LINEA_INTERNA</t>
  </si>
  <si>
    <t>Allarme avaria linea interna</t>
  </si>
  <si>
    <t>ALR_AVARIA_SERBATOIO</t>
  </si>
  <si>
    <t>Allarme serbatoio GE in avaria</t>
  </si>
  <si>
    <t>Gruppo elettrogeno (serbatoio)</t>
  </si>
  <si>
    <t>ALR_AVARIA_SERIALE_NE</t>
  </si>
  <si>
    <t>Allarme avaria seriale NE</t>
  </si>
  <si>
    <t>ALR_AVARIA_SERIALE_NW</t>
  </si>
  <si>
    <t>Allarme avaria seriale NW</t>
  </si>
  <si>
    <t>ALR_AVARIA_SERIALE_SE</t>
  </si>
  <si>
    <t>Allarme avaria seriale SE</t>
  </si>
  <si>
    <t>ALR_AVARIA_SERIALE_SW</t>
  </si>
  <si>
    <t>Allarme avaria seriale SW</t>
  </si>
  <si>
    <t>ALR_AVARIA_TEMPERATURE</t>
  </si>
  <si>
    <t>Allarme avaria temperatura</t>
  </si>
  <si>
    <t>ALR_BASSA_PRESSIONE</t>
  </si>
  <si>
    <t>Allarme bassa pressione Gruppo Elettrogeno</t>
  </si>
  <si>
    <t>ALR_BASSA_TENSIONE_RETE</t>
  </si>
  <si>
    <t>Allarme bassa tensione rete</t>
  </si>
  <si>
    <t>ALR_BASSISSIMO_LIV_GASOLIO_SERB</t>
  </si>
  <si>
    <t>Allarme livello gasolio bassissimo</t>
  </si>
  <si>
    <t>ALR_BASSO_LIV_GASOLIO_SERB</t>
  </si>
  <si>
    <t>Allarme livello serbatoio gasolio in esaurimento</t>
  </si>
  <si>
    <t>Serbatoio gasolio</t>
  </si>
  <si>
    <t>Media</t>
  </si>
  <si>
    <t>Arancione</t>
  </si>
  <si>
    <t>ALR_BATTERIA_ALTA</t>
  </si>
  <si>
    <t>Allarme batteria alta</t>
  </si>
  <si>
    <t>ALR_BATTERIA_BASSA</t>
  </si>
  <si>
    <t>Allarme batteria bassa</t>
  </si>
  <si>
    <t>ALR_BATTERIA_CENTRALINA</t>
  </si>
  <si>
    <t>Allarme batteria centralina</t>
  </si>
  <si>
    <t>ALR_BATTERIA_PROCESSORE</t>
  </si>
  <si>
    <t>Allarme batteria processore</t>
  </si>
  <si>
    <t>PLC</t>
  </si>
  <si>
    <t>ALR_BATTERIA_SCARICA</t>
  </si>
  <si>
    <t>Allarme batteria scarica</t>
  </si>
  <si>
    <t>ALR_CARBURANTE_ESAURITO</t>
  </si>
  <si>
    <t>Allarme carburante esaurito</t>
  </si>
  <si>
    <t>Motopompa</t>
  </si>
  <si>
    <t>ALR_CASSETTO_ESTRATTO</t>
  </si>
  <si>
    <t>Allarme cassetto comandi ventilatore estratto</t>
  </si>
  <si>
    <t>ALR_CB1_APERTURA_FALLITA</t>
  </si>
  <si>
    <t>Allarme CB1 apertura fallita</t>
  </si>
  <si>
    <t>Centralina scambio rete-gruppo</t>
  </si>
  <si>
    <t>ALR_CB1_CHIUSURA_FALLITA</t>
  </si>
  <si>
    <t>Allarme CB1 chiusura fallita</t>
  </si>
  <si>
    <t>ALR_CB1_ESTRATTO</t>
  </si>
  <si>
    <t>Allarme CB1 estratto</t>
  </si>
  <si>
    <t>ALR_CB1_INTERVENUTO</t>
  </si>
  <si>
    <t>Allarme CB1 interventuo</t>
  </si>
  <si>
    <t>ALR_CB2_APERTURA_FALLITA</t>
  </si>
  <si>
    <t>Allarme CB2 apertura fallita</t>
  </si>
  <si>
    <t>ALR_CB2_CHIUSURA_FALLITA</t>
  </si>
  <si>
    <t>Allarme CB2 chiusura fallita</t>
  </si>
  <si>
    <t>ALR_CB2_ESTRATTO</t>
  </si>
  <si>
    <t>Allarme CB2 estratto</t>
  </si>
  <si>
    <t>ALR_CB2_INTERVENUTO</t>
  </si>
  <si>
    <t>Allarme CB2 intervenuto</t>
  </si>
  <si>
    <t>ALR_CB3_APERTURA_FALLITA</t>
  </si>
  <si>
    <t>Allarme CB3 apertura fallita</t>
  </si>
  <si>
    <t>ALR_CB3_CHIUSURA_FALLITA</t>
  </si>
  <si>
    <t>Allarme CB3 chiusura fallita</t>
  </si>
  <si>
    <t>ALR_CENTRALINA</t>
  </si>
  <si>
    <t>Allarme centralina rilevazione incendio</t>
  </si>
  <si>
    <t>Videosorveglianza-ANOMALIA</t>
  </si>
  <si>
    <t>ALR_CENTRALINA_NON_PRONTA</t>
  </si>
  <si>
    <t>Allarme centralina non pronta</t>
  </si>
  <si>
    <t>Impianto Videosorveglianza</t>
  </si>
  <si>
    <t>Centralina Contamezzi</t>
  </si>
  <si>
    <t>ALR_CENTRALINA_SCAMBIO_RETE_GRUPPO</t>
  </si>
  <si>
    <t>Allarme centralina scambio rete gruppo</t>
  </si>
  <si>
    <t>Centralina scambio</t>
  </si>
  <si>
    <t>ALR_CENTRALINA_TRAFO</t>
  </si>
  <si>
    <t>Allarme centralina Trasformatore</t>
  </si>
  <si>
    <t>Trasformatore</t>
  </si>
  <si>
    <t>ALR_CHIUSURA_IMMOTIVATA_GCB</t>
  </si>
  <si>
    <t>Allarme chiusura immotivata contattore generatore</t>
  </si>
  <si>
    <t>ALR_CHIUSURA_IMMOTIVATA_MCB</t>
  </si>
  <si>
    <t>Allarme chiusura immotivata contattore di rete</t>
  </si>
  <si>
    <t>Inquinamento da Sensori CO-OP-AN-NO</t>
  </si>
  <si>
    <t>ALR_CO_DIR_NORD_CASO_A</t>
  </si>
  <si>
    <t>Allarme CO caso A dir. nord</t>
  </si>
  <si>
    <t>ALR_CO_DIR_NORD_CASO_B</t>
  </si>
  <si>
    <t>Allarme CO caso B dir. nord</t>
  </si>
  <si>
    <t>ALR_CO_DIR_NORD_CASO_C</t>
  </si>
  <si>
    <t>Allarme CO caso C dir. nord</t>
  </si>
  <si>
    <t>ALR_CO_DIR_SUD_CASO_A</t>
  </si>
  <si>
    <t>Allarme CO caso A dir. sud</t>
  </si>
  <si>
    <t>ALR_CO_DIR_SUD_CASO_B</t>
  </si>
  <si>
    <t>Allarme CO caso B dir. sud</t>
  </si>
  <si>
    <t>ALR_CO_DIR_SUD_CASO_C</t>
  </si>
  <si>
    <t>Allarme CO caso C dir. sud</t>
  </si>
  <si>
    <t>ALR_CO_OP_DIR_NORD_CASO_A</t>
  </si>
  <si>
    <t>Allarme CO-OP caso A dir. nord</t>
  </si>
  <si>
    <t>CO-OP</t>
  </si>
  <si>
    <t>ALR_CO_OP_DIR_NORD_CASO_B</t>
  </si>
  <si>
    <t>Allarme CO-OP caso B dir. nord</t>
  </si>
  <si>
    <t>ALR_CO_OP_DIR_NORD_CASO_C</t>
  </si>
  <si>
    <t>Allarme CO-OP caso C dir. nord</t>
  </si>
  <si>
    <t>ALR_CO_OP_DIR_SUD_CASO_A</t>
  </si>
  <si>
    <t>Allarme CO-OP caso A dir. sud</t>
  </si>
  <si>
    <t>ALR_CO_OP_DIR_SUD_CASO_B</t>
  </si>
  <si>
    <t>Allarme CO-OP caso B dir. sud</t>
  </si>
  <si>
    <t>ALR_CO_OP_DIR_SUD_CASO_C</t>
  </si>
  <si>
    <t>Allarme CO-OP caso C dir. sud</t>
  </si>
  <si>
    <t>ALR_COMMUTAZIONE_400V</t>
  </si>
  <si>
    <t>Allarme commutazione 400V</t>
  </si>
  <si>
    <t>ALR_COMMUTAZIONE_690V</t>
  </si>
  <si>
    <t>Allarme commutazione 690V</t>
  </si>
  <si>
    <t>ALR_COMMUTAZIONE_ILL</t>
  </si>
  <si>
    <t>Allarme commutazione illuminazione</t>
  </si>
  <si>
    <t>ALR_COMMUTAZIONE_RETE</t>
  </si>
  <si>
    <t>Allarme commutazione rete</t>
  </si>
  <si>
    <t>ALR_COMMUTAZIONE_VENT</t>
  </si>
  <si>
    <t>Allarme commutazione ventilazione</t>
  </si>
  <si>
    <t>Errore PLC</t>
  </si>
  <si>
    <t>ALR_COMUNICAZIONE</t>
  </si>
  <si>
    <t>Allarme comunicazione dispositivo</t>
  </si>
  <si>
    <t>ALR_COMUNICAZIONE_1_IMP</t>
  </si>
  <si>
    <t>ALR_COMUNICAZIONE_2_IMP</t>
  </si>
  <si>
    <t>Multimetro</t>
  </si>
  <si>
    <t>Sepam</t>
  </si>
  <si>
    <t>Regolatore di flusso</t>
  </si>
  <si>
    <t>Sonda di luminanza</t>
  </si>
  <si>
    <t>PLC Rio</t>
  </si>
  <si>
    <t>Switch SNMP</t>
  </si>
  <si>
    <t>Analizzatore video AID</t>
  </si>
  <si>
    <t>ALR_CONFIGURATA</t>
  </si>
  <si>
    <t>Allarme configurazione mancante</t>
  </si>
  <si>
    <t>Telecamera passiva</t>
  </si>
  <si>
    <t>ALR_CONGIUNTORE</t>
  </si>
  <si>
    <t>Allarme congiuntore</t>
  </si>
  <si>
    <t>Congiuntore</t>
  </si>
  <si>
    <t>ALR_CORRENTE_MAX</t>
  </si>
  <si>
    <t>Allarme corrente massima Gruppo Elettrogeno</t>
  </si>
  <si>
    <t>ALR_CORRENTE_MIN</t>
  </si>
  <si>
    <t>Allarme corrente minima</t>
  </si>
  <si>
    <t>Bypass</t>
  </si>
  <si>
    <t>ALR_CUMULATIVO</t>
  </si>
  <si>
    <t>Allarme cumulativo serranda</t>
  </si>
  <si>
    <t>Impianto Bypass</t>
  </si>
  <si>
    <t>Serranda</t>
  </si>
  <si>
    <t>ALR_CUMULATIVO_GE</t>
  </si>
  <si>
    <t>Allarme cumulativo GE</t>
  </si>
  <si>
    <t>ALR_CUMULATIVO_SOFT_START</t>
  </si>
  <si>
    <t>Allarme cumulativo soft star</t>
  </si>
  <si>
    <t>Ventilazione</t>
  </si>
  <si>
    <t>ALR_CUMULATIVO_VENTILATORE</t>
  </si>
  <si>
    <t>Allarme cumulativo ventilatore</t>
  </si>
  <si>
    <t>ALR_CUSCINETTO</t>
  </si>
  <si>
    <t>Allarme cuscinetto</t>
  </si>
  <si>
    <t>ALR_CUSCINETTO_2</t>
  </si>
  <si>
    <t>Allarme cuscinetto 2</t>
  </si>
  <si>
    <t>ALR_DIAGNOSTICA_IN_ERR</t>
  </si>
  <si>
    <t>Allarme diagnostica in errore</t>
  </si>
  <si>
    <t>ALR_DIFFERENZIALE</t>
  </si>
  <si>
    <t>Allarme differenziale</t>
  </si>
  <si>
    <t>Interruttore differenziale</t>
  </si>
  <si>
    <t>ALR_DIRETTI</t>
  </si>
  <si>
    <t>Allarmi diretti: Sala pompe</t>
  </si>
  <si>
    <t>ALR_DISCONNESSO</t>
  </si>
  <si>
    <t>Allarme sensore disconnesso</t>
  </si>
  <si>
    <t>ALR_DISTACCO_TRAFO</t>
  </si>
  <si>
    <t>Allarme distacco trafo</t>
  </si>
  <si>
    <t>Antincendio</t>
  </si>
  <si>
    <t>ALR_ELETTROPOMPA_AVVIATA</t>
  </si>
  <si>
    <t>Allarme elettropompa avviata</t>
  </si>
  <si>
    <t>Elettropompa</t>
  </si>
  <si>
    <t>ALR_ELETTROVALVOLA_APERTA</t>
  </si>
  <si>
    <t>Allarme elettrovalvola antincendio aperta</t>
  </si>
  <si>
    <t>Elettrovalvola</t>
  </si>
  <si>
    <t>ALR_ERRORE_COMUNICAZIONE</t>
  </si>
  <si>
    <t>Allarme errore comunicazione dispositivo</t>
  </si>
  <si>
    <t>ALR_ERRORE_ESECUZIONE_CMD</t>
  </si>
  <si>
    <t>Allarme esecuzione comandi</t>
  </si>
  <si>
    <t>ALR_ESCLUSIONE</t>
  </si>
  <si>
    <t>Allarme esclusione</t>
  </si>
  <si>
    <t>ALR_ESCLUSO_AUTO_MOTOPOMPA</t>
  </si>
  <si>
    <t>Allarme esclusione Motopompa</t>
  </si>
  <si>
    <t>ALR_ESTRAZIONE_ESTINTORE</t>
  </si>
  <si>
    <t>Allarme SOS estintore estratto</t>
  </si>
  <si>
    <t>ALR_ESTRAZIONE_ESTINTORE_2</t>
  </si>
  <si>
    <t>Allarme SOS estintore 2 estratto</t>
  </si>
  <si>
    <t>ALR_FILO_ISOLATO</t>
  </si>
  <si>
    <t>Allarme filo D+ isolato</t>
  </si>
  <si>
    <t>ALR_FILO_PRESSIONE_OLIO</t>
  </si>
  <si>
    <t>Allarme filo pressione olio</t>
  </si>
  <si>
    <t>ALR_FORZA_REMOTO</t>
  </si>
  <si>
    <t>Allarme forzatura remoto</t>
  </si>
  <si>
    <t>ALR_FREQUENZA_FUORI_SOGLIA</t>
  </si>
  <si>
    <t>Allarme frequenza fuori soglia</t>
  </si>
  <si>
    <t>ALR_FUSIBILE_ALIM_GATEWAY</t>
  </si>
  <si>
    <t xml:space="preserve">Allarme fusibile alim. gateway </t>
  </si>
  <si>
    <t>Fusibile</t>
  </si>
  <si>
    <t>ALR_FUSIBILE_CONVERTITORE_DC</t>
  </si>
  <si>
    <t>Allarme fusibile convertitore DC</t>
  </si>
  <si>
    <t>ALR_FUSIBILE_CORONA_LED_PALO</t>
  </si>
  <si>
    <t>Allarme fusibile corona LED palo</t>
  </si>
  <si>
    <t>ALR_FUSIBILE_PACCO_BATTERIE</t>
  </si>
  <si>
    <t>Allarme fusibile pacco batterie</t>
  </si>
  <si>
    <t>ALR_FUSIBILE_REMOTA_IO</t>
  </si>
  <si>
    <t>Allarme fusibile base remota I/O</t>
  </si>
  <si>
    <t>ALR_FUSIBILE_RESISTENZA_ANTICONDENSA</t>
  </si>
  <si>
    <t>Allarme fusibile resistenza anticondensa</t>
  </si>
  <si>
    <t>ALR_FUSIBILE_SWITCH</t>
  </si>
  <si>
    <t>Allarme fusibile switch</t>
  </si>
  <si>
    <t>ALR_FUSIBILE_TELECAMERA_SMART</t>
  </si>
  <si>
    <t>Allarme fusibile telecamere smart</t>
  </si>
  <si>
    <t>ALR_FUSIBILE_VENTOLA</t>
  </si>
  <si>
    <t>Allarme fusibile ventola</t>
  </si>
  <si>
    <t>ALR_GASOLIO_FINITO</t>
  </si>
  <si>
    <t>Allarme gasolio esaurito</t>
  </si>
  <si>
    <t>ALR_GENERALE_1_IMP</t>
  </si>
  <si>
    <t>Allarme generale dispositivo</t>
  </si>
  <si>
    <t>ALR_GENERALE_2_IMP</t>
  </si>
  <si>
    <t>ALR_GENERALE_POMPA</t>
  </si>
  <si>
    <t>Allarme generale pompa</t>
  </si>
  <si>
    <t>ALR_GENERATORE</t>
  </si>
  <si>
    <t>Allarme gruppo elettrogeno</t>
  </si>
  <si>
    <t>ALR_GENERICO</t>
  </si>
  <si>
    <t>Allarme dispositivo</t>
  </si>
  <si>
    <t>Interruttore</t>
  </si>
  <si>
    <t>ALR_GIRI_MOTORE_BASSI</t>
  </si>
  <si>
    <t>Allarme giri motori bassi</t>
  </si>
  <si>
    <t>ALR_GIROFARO_ATTIVO</t>
  </si>
  <si>
    <t>Allarme girofaro attivo</t>
  </si>
  <si>
    <t>Colonnina SOS</t>
  </si>
  <si>
    <t>ALR_GIROFARO_SIRENA</t>
  </si>
  <si>
    <t>Allarme girofaro e sirena attivi</t>
  </si>
  <si>
    <t>ALR_GRADIENTE</t>
  </si>
  <si>
    <t>Allarme gradiente sensore</t>
  </si>
  <si>
    <t>ALR_GRUPPO</t>
  </si>
  <si>
    <t>Allarme gruppo</t>
  </si>
  <si>
    <t>ALR_GRUPPO_EL_AVARIA</t>
  </si>
  <si>
    <t>Allarme avaria Gruppo Elettrogeno</t>
  </si>
  <si>
    <t>Gruppo elettrogeno avviato</t>
  </si>
  <si>
    <t>ALR_GRUPPO_ELETTROGENO_AVVIATO</t>
  </si>
  <si>
    <t>Allarme Gruppo Elettrogeno avviato</t>
  </si>
  <si>
    <t>ALR_GRUPPO_NON_PRONTO</t>
  </si>
  <si>
    <t>Allarme Gruppo Elettrogeno non pronto</t>
  </si>
  <si>
    <t>ALR_GUASTO_1_IMP</t>
  </si>
  <si>
    <t>Allarme guasto dispositivo</t>
  </si>
  <si>
    <t>Semaforo</t>
  </si>
  <si>
    <t>ALR_GUASTO_2_IMP</t>
  </si>
  <si>
    <t xml:space="preserve">Impianto canalizzazione </t>
  </si>
  <si>
    <t>Telecamera attiva (semaforo)</t>
  </si>
  <si>
    <t>Telecamera attiva</t>
  </si>
  <si>
    <t>Centralina sensori qualità aria (Stazione di misurazione)</t>
  </si>
  <si>
    <t>Cabina Elettrica-ANOMALIA</t>
  </si>
  <si>
    <t>ALR_GUASTO_CENTRALINA_INTRUSIONE</t>
  </si>
  <si>
    <t>Allarme guasto centralina intrusione in cabina</t>
  </si>
  <si>
    <t>Cabina Elettrica</t>
  </si>
  <si>
    <t>Centralina intrusione in cabina</t>
  </si>
  <si>
    <t>ALR_GUASTO_CRI</t>
  </si>
  <si>
    <r>
      <rPr>
        <b/>
        <strike/>
        <sz val="11"/>
        <rFont val="Calibri"/>
        <family val="2"/>
        <scheme val="minor"/>
      </rPr>
      <t>Allarme guasto dispositivo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Allarme guasto CRI</t>
    </r>
  </si>
  <si>
    <t>Allarme guasto CRI</t>
  </si>
  <si>
    <t>ALR_GUASTO_CRI_CABINA</t>
  </si>
  <si>
    <t>Allarme guasto CRI cabina</t>
  </si>
  <si>
    <t>ALR_GUASTO_FIBRA</t>
  </si>
  <si>
    <t>Allarme guasto fibra</t>
  </si>
  <si>
    <t>Centralina rilevazione incendio/fibrolaser</t>
  </si>
  <si>
    <t>ALR_GUASTO_GRAVE</t>
  </si>
  <si>
    <t>Allarme guasto grave</t>
  </si>
  <si>
    <t>Gateway Voip</t>
  </si>
  <si>
    <t>ALR_GUASTO_LIEVE</t>
  </si>
  <si>
    <t>Allarme guasto lieve</t>
  </si>
  <si>
    <t>ALR_GUASTO_LINEA</t>
  </si>
  <si>
    <t>Allarme guasto linea</t>
  </si>
  <si>
    <t>Rele</t>
  </si>
  <si>
    <t>ALR_GUASTO_LINEA_NORD</t>
  </si>
  <si>
    <t>Allarme guasto linea nord</t>
  </si>
  <si>
    <t>ALR_GUASTO_LINEA_SUD</t>
  </si>
  <si>
    <t>Allarme guasto linea sud</t>
  </si>
  <si>
    <t>ALR_GUASTO_NOTYFIRE</t>
  </si>
  <si>
    <t>Allarme guasto centralina antincendio</t>
  </si>
  <si>
    <t>ALR_GUASTO_QUADRO</t>
  </si>
  <si>
    <t>Allarme guasto quadro</t>
  </si>
  <si>
    <t>ALR_GUASTO_SONDA</t>
  </si>
  <si>
    <t>Allarme guasto sonda dispositivo</t>
  </si>
  <si>
    <t>ALR_GUASTO_SOS</t>
  </si>
  <si>
    <t>Allarme guasto SOS</t>
  </si>
  <si>
    <t>ALR_IDRANTE_APERTO</t>
  </si>
  <si>
    <t>ALR_ILLUMINAZIONE</t>
  </si>
  <si>
    <t>Allarme illuminazione</t>
  </si>
  <si>
    <t>Illuminazione di rinforzo (accensione non in orario)</t>
  </si>
  <si>
    <t>ALR_INCENDIO</t>
  </si>
  <si>
    <t>Allarme incendio in galleria</t>
  </si>
  <si>
    <t>ALR_INCENDIO_CANNA_NORD</t>
  </si>
  <si>
    <t>Allarme incendio in galleria canna nord</t>
  </si>
  <si>
    <t>ALR_INCENDIO_CANNA_SUD</t>
  </si>
  <si>
    <t>Allarme incendio in galleria canna sud</t>
  </si>
  <si>
    <t>ALR_INCENDIO_DI_CANNA_NORD</t>
  </si>
  <si>
    <t>ALR_INCENDIO_DI_CANNA_SUD</t>
  </si>
  <si>
    <t>ALR_INCENDIO_POMPA</t>
  </si>
  <si>
    <t>Allarme incendio pompa</t>
  </si>
  <si>
    <t>ALR_INCIDENTE_DA_SOS</t>
  </si>
  <si>
    <t>Allarme pulsante incidente</t>
  </si>
  <si>
    <t>Canalizzazione</t>
  </si>
  <si>
    <t>ALR_INCIDENTE_VEICOLO_MERCI_PERICOLOSE</t>
  </si>
  <si>
    <t>Allarme attivazione pannello merci pericolose</t>
  </si>
  <si>
    <t>Rotocartello (trittico)</t>
  </si>
  <si>
    <t>ALR_INCLINAZIONE_LAMPADE</t>
  </si>
  <si>
    <t>Allarme inclinazione lampade</t>
  </si>
  <si>
    <t>Punti luce</t>
  </si>
  <si>
    <t>ALR_INCONSISTENTE</t>
  </si>
  <si>
    <t>Allarme inconsistente</t>
  </si>
  <si>
    <t>ALR_INFILTRAZIONE</t>
  </si>
  <si>
    <t>Allarme infiltrazione</t>
  </si>
  <si>
    <t>Serbatoio Gasolio</t>
  </si>
  <si>
    <t>ALR_INQUINAMENTO_CANNA_NORD</t>
  </si>
  <si>
    <t>Allarme inquinamento canna nord</t>
  </si>
  <si>
    <t>Ventilazione generale</t>
  </si>
  <si>
    <t>ALR_INQUINAMENTO_CANNA_SUD</t>
  </si>
  <si>
    <t>Allarme inquinamento canna sud</t>
  </si>
  <si>
    <t>ALR_INQUINAMENTO_GALLERIA</t>
  </si>
  <si>
    <t>Allarme inquinamento galleria</t>
  </si>
  <si>
    <t>ALR_INT_APERTO</t>
  </si>
  <si>
    <t>Allarme interruttore aperto</t>
  </si>
  <si>
    <t>ALR_INT_FAULT</t>
  </si>
  <si>
    <t>Allarme interruttore in fault</t>
  </si>
  <si>
    <t>Interruttore generale scattato</t>
  </si>
  <si>
    <t>ALR_INT_GENERALE_SCATTATO</t>
  </si>
  <si>
    <t>Allarme interruttore generale scattato</t>
  </si>
  <si>
    <t>Interruttore generale (scattato)</t>
  </si>
  <si>
    <t>ALR_INT_SCATTATO_1_IMP</t>
  </si>
  <si>
    <t>Allarme interruttore scattato</t>
  </si>
  <si>
    <t>ALR_INT_SCATTATO_2_IMP</t>
  </si>
  <si>
    <t>Interruttore del semaforo</t>
  </si>
  <si>
    <t>Interruttore del ventilatore</t>
  </si>
  <si>
    <t>Sezionatore</t>
  </si>
  <si>
    <t>ALR_INTERRUTTORE</t>
  </si>
  <si>
    <t>Interruttore (scattato)</t>
  </si>
  <si>
    <t>ALR_INTERVENUTO_PROTEZIONE_TERMICO</t>
  </si>
  <si>
    <t>Allarme scatto protezione magnetotermica</t>
  </si>
  <si>
    <t>Cabina Elettrica-Intrusione</t>
  </si>
  <si>
    <t>ALR_INTRUSIONE</t>
  </si>
  <si>
    <t>Allarme intrusione in cabina</t>
  </si>
  <si>
    <t>Pedone</t>
  </si>
  <si>
    <t>ALR_INTRUSIONE_IN_GALLERIA</t>
  </si>
  <si>
    <t>Allarme intrusione in galleria</t>
  </si>
  <si>
    <t>ALR_LAMPEGGIANTE</t>
  </si>
  <si>
    <t>Allarme lampeggiante attivo</t>
  </si>
  <si>
    <t>ALR_LIV_BATTERIA_BASSO</t>
  </si>
  <si>
    <t>Allarme batteria in scarica</t>
  </si>
  <si>
    <t>ALR_LIV_VASCA_ANTINCENDIO</t>
  </si>
  <si>
    <t>Allarme livello serbatoio acqua in esaurimento</t>
  </si>
  <si>
    <t>Serbatoio acqua</t>
  </si>
  <si>
    <t>ALR_LIVELLO_ACQUA_BASSO</t>
  </si>
  <si>
    <t>ALR_LIVELLO_ACQUA_MEDIO</t>
  </si>
  <si>
    <t>Allarme livello acqua medio</t>
  </si>
  <si>
    <t>ALR_LIVELLO_MASSIMO_COMBUSTIBILE</t>
  </si>
  <si>
    <t>Allarme livello massimo combustibile</t>
  </si>
  <si>
    <t>ALR_LIVELLO_MINIMO_COMBUSTIBILE_1_IMP</t>
  </si>
  <si>
    <t>Allarme livello minimo combustibile</t>
  </si>
  <si>
    <t>ALR_LIVELLO_MINIMO_COMBUSTIBILE_2_IMP</t>
  </si>
  <si>
    <r>
      <rPr>
        <b/>
        <strike/>
        <sz val="11"/>
        <rFont val="Calibri"/>
        <family val="2"/>
        <scheme val="minor"/>
      </rPr>
      <t>Allarme livello serbatoio GE in esaurimento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Allarme livello serbatoio gasolio in esaurimento</t>
    </r>
  </si>
  <si>
    <t>Gruppo Elettrogeno (serbatoio)</t>
  </si>
  <si>
    <t>ALR_MANCANZA_POTENZA</t>
  </si>
  <si>
    <t>Allarme mancanza potenza</t>
  </si>
  <si>
    <t>ALR_MANCATA_APERTURA_GCB</t>
  </si>
  <si>
    <t>Allarme mancata apertura contattore generatore</t>
  </si>
  <si>
    <t>ALR_MANCATA_APERTURA_MCB</t>
  </si>
  <si>
    <t>Allarme mancata apertura contattore di rete</t>
  </si>
  <si>
    <t>ALR_MANCATA_CHIUSURA_GCB</t>
  </si>
  <si>
    <t>Allarme mancata chiusura contattore generatore</t>
  </si>
  <si>
    <t>ALR_MANCATA_CHIUSURA_MCB</t>
  </si>
  <si>
    <t>Allarme mancata chiusura contattore di rete</t>
  </si>
  <si>
    <t>ALR_MANCATO_ARRESTO</t>
  </si>
  <si>
    <t>Allarme mancato arresto ventilatore</t>
  </si>
  <si>
    <t>ALR_MANCATO_AVVIO</t>
  </si>
  <si>
    <t>Allarme mancato avvio Gruppo Elettrogeno</t>
  </si>
  <si>
    <t>ALR_MANCATO_AVVIO_VENTILATORE</t>
  </si>
  <si>
    <t>Allarme mancato avvio ventilatore</t>
  </si>
  <si>
    <t>ALR_MANOMISSIONE</t>
  </si>
  <si>
    <t>Centralina intrusione in cabina/Sensore movimento in cabina</t>
  </si>
  <si>
    <t>ALR_MANUTENZIONE_SCADUTA</t>
  </si>
  <si>
    <t>Allarme manutenzione scaduta</t>
  </si>
  <si>
    <t>ALR_MINIMO_LIV_CARBURANTE_MOTOPOMPA</t>
  </si>
  <si>
    <t>Allarme minimo livello carburante motopompa</t>
  </si>
  <si>
    <t>ALR_MONOSSIDO</t>
  </si>
  <si>
    <t>Allarme guasto sensore CO</t>
  </si>
  <si>
    <t>ALR_MOTOPOMPA_AVVIATA</t>
  </si>
  <si>
    <t>Allarme Motopompa avviata</t>
  </si>
  <si>
    <t>ALR_MOVIMENTO</t>
  </si>
  <si>
    <t>Allarme movimento in cabina</t>
  </si>
  <si>
    <t>ALR_MOVIMENTO_BYPASS</t>
  </si>
  <si>
    <t>Allarme movimento in bypass</t>
  </si>
  <si>
    <t>Telecamera passiva (bypass)</t>
  </si>
  <si>
    <t>ALR_MSG_NON_VISIBILE_PER_ANOMALIA</t>
  </si>
  <si>
    <t>Allarme messaggio non visibile per anomalia</t>
  </si>
  <si>
    <t xml:space="preserve">PMV/Frecciacroce </t>
  </si>
  <si>
    <t>ALR_NON_CONGRUENTE</t>
  </si>
  <si>
    <t>Allarme risparmio energetico illuminazione</t>
  </si>
  <si>
    <t>Risparmio Energetico</t>
  </si>
  <si>
    <t>Oggetto Disperso</t>
  </si>
  <si>
    <t>ALR_OGGETTO_DISPERSO</t>
  </si>
  <si>
    <t>Allarme oggetto disperso</t>
  </si>
  <si>
    <t>ALR_OGGETTO_DISPERSO_CORSIA_2</t>
  </si>
  <si>
    <t>Allarme oggetto disperso corsia di marcia</t>
  </si>
  <si>
    <t>Telecamera Attiva</t>
  </si>
  <si>
    <t>ALR_OGGETTO_DISPERSO_CORSIA_3</t>
  </si>
  <si>
    <t>Allarme oggetto disperso corsia di sorpasso</t>
  </si>
  <si>
    <t>ALR_OP_DIR_NORD_CASO_A</t>
  </si>
  <si>
    <t>Allarme OP caso A dir. nord</t>
  </si>
  <si>
    <t>ALR_OP_DIR_NORD_CASO_B</t>
  </si>
  <si>
    <t>Allarme OP caso B dir. nord</t>
  </si>
  <si>
    <t>ALR_OP_DIR_NORD_CASO_C</t>
  </si>
  <si>
    <t>Allarme OP caso C dir. nord</t>
  </si>
  <si>
    <t>ALR_OP_DIR_SUD_CASO_A</t>
  </si>
  <si>
    <t>Allarme OP caso A dir. sud</t>
  </si>
  <si>
    <t>ALR_OP_DIR_SUD_CASO_B</t>
  </si>
  <si>
    <t>Allarme OP caso B dir. sud</t>
  </si>
  <si>
    <t>ALR_OP_DIR_SUD_CASO_C</t>
  </si>
  <si>
    <t>Allarme OP caso C dir. sud</t>
  </si>
  <si>
    <t>ALR_OPACITA</t>
  </si>
  <si>
    <t>Allarme guasto sensore OP</t>
  </si>
  <si>
    <t>ALR_PERDITA_COMBUSTIBILE</t>
  </si>
  <si>
    <t>Allarme perdita serbatoio gasolio</t>
  </si>
  <si>
    <t>ALR_PERDITA_GASOLIO</t>
  </si>
  <si>
    <t>Allarme perdita cisterna gasolio</t>
  </si>
  <si>
    <t>ALR_PERDITA_VIDEO</t>
  </si>
  <si>
    <t>Allarme perdita video</t>
  </si>
  <si>
    <t>ALR_PERDITA_VIDEO_CORSIA_1</t>
  </si>
  <si>
    <t>Allarme perdita video corsia di emergenza</t>
  </si>
  <si>
    <t>ALR_PERDITA_VIDEO_CORSIA_2</t>
  </si>
  <si>
    <t>Allarme perdita video corsia di marcia</t>
  </si>
  <si>
    <t>ALR_PERDITA_VIDEO_CORSIA_3</t>
  </si>
  <si>
    <t>Allarme perdita video corsia veloce</t>
  </si>
  <si>
    <t>ALR_PLC_IN_STOP</t>
  </si>
  <si>
    <t>Allarme PLC RIO in stop</t>
  </si>
  <si>
    <t>ALR_POMPA_AVVIATA</t>
  </si>
  <si>
    <t>Allarme pompa avviata</t>
  </si>
  <si>
    <t>Pompa Jolly</t>
  </si>
  <si>
    <t>Pompa Ricircolo</t>
  </si>
  <si>
    <t>ALR_POMPA_GASOLIO</t>
  </si>
  <si>
    <t>Allarme pompa gasolio</t>
  </si>
  <si>
    <t>Pompa generica</t>
  </si>
  <si>
    <t>ALR_POMPA_PILOTA</t>
  </si>
  <si>
    <t>Allarme generico pompa pilota</t>
  </si>
  <si>
    <t>Pompa pilota</t>
  </si>
  <si>
    <t>ALR_POMPA_PILOTA_AVVIATA</t>
  </si>
  <si>
    <t>Allarme pompa pilota avviata</t>
  </si>
  <si>
    <t>Bypass-Apertura Porte o Serrande</t>
  </si>
  <si>
    <t>ALR_PORTA</t>
  </si>
  <si>
    <t>Allarme porta aperta bypass</t>
  </si>
  <si>
    <t>Porta bypass</t>
  </si>
  <si>
    <t>ALR_PORTA_ESTINTORI</t>
  </si>
  <si>
    <t>Allarme porta estintore aperta</t>
  </si>
  <si>
    <t>ALR_PORTA_IN_ERRORE</t>
  </si>
  <si>
    <t>Allarme porta in errore RACK</t>
  </si>
  <si>
    <t>PLC Rack</t>
  </si>
  <si>
    <t>ALR_PORTA_LOCALI</t>
  </si>
  <si>
    <t>Allarme porta aperta locali</t>
  </si>
  <si>
    <t>Porta locali tecnici</t>
  </si>
  <si>
    <t>ALR_PORTA_MANICHETTA</t>
  </si>
  <si>
    <t>Allarme porta manichetta aperta</t>
  </si>
  <si>
    <t>Porta manichetta</t>
  </si>
  <si>
    <t>ALR_PORTA_PLC</t>
  </si>
  <si>
    <t>Allarme porta PLC RIO aperta</t>
  </si>
  <si>
    <t>ALR_PORTA_TELEFONO</t>
  </si>
  <si>
    <t>Allarme porta telefono aperta</t>
  </si>
  <si>
    <t>ALR_POTENZA_INVERSA_ALTERNATORE</t>
  </si>
  <si>
    <t>Allarme potenza inversa alternatore</t>
  </si>
  <si>
    <t>ALR_PREALLARME_ALLAGAMENTO</t>
  </si>
  <si>
    <t>Preallarme allagamento</t>
  </si>
  <si>
    <t>Sensore allagamento</t>
  </si>
  <si>
    <t>ALR_PREALLARME_TRAFO</t>
  </si>
  <si>
    <t>Preallarme temperatura trafo</t>
  </si>
  <si>
    <t>ALR_PRESSIONE</t>
  </si>
  <si>
    <r>
      <rPr>
        <b/>
        <strike/>
        <sz val="11"/>
        <rFont val="Calibri"/>
        <family val="2"/>
        <scheme val="minor"/>
      </rPr>
      <t>Allarme alta pressione Gruppo Elettrogeno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Allarme pressione</t>
    </r>
  </si>
  <si>
    <t>ALR_PROGRAMMA_CENTRALINA</t>
  </si>
  <si>
    <t>Allarme programma centralina</t>
  </si>
  <si>
    <t>ALR_PROTEZIONE_COMANDO_AVANTI</t>
  </si>
  <si>
    <t>Allarme protezione comando avanti</t>
  </si>
  <si>
    <t>ALR_PROTEZIONE_COMANDO_INDIETRO</t>
  </si>
  <si>
    <t>Allarme protezione comando indietro</t>
  </si>
  <si>
    <t>ALR_PROTEZIONE_GALLERIA_CANNA_NORD</t>
  </si>
  <si>
    <t>Allarme protezione galleria canna Nord</t>
  </si>
  <si>
    <t>ALR_PROTEZIONE_GALLERIA_CANNA_SUD</t>
  </si>
  <si>
    <t>Allarme protezione galleria canna Sud</t>
  </si>
  <si>
    <t>ALR_PROTEZIONE_USCITA_CANNA_NORD</t>
  </si>
  <si>
    <t>Allarme protezione uscita canna Nord</t>
  </si>
  <si>
    <t>ALR_PROTEZIONE_USCITA_CANNA_SUD</t>
  </si>
  <si>
    <t>Allarme protezione uscita canna Sud</t>
  </si>
  <si>
    <t>ALR_REGOLATORE</t>
  </si>
  <si>
    <t>Allarme guasto regolatore</t>
  </si>
  <si>
    <t>ALR_REGOLATORE_GUASTO</t>
  </si>
  <si>
    <t>Allarme regolatore di flusso guasto</t>
  </si>
  <si>
    <t>ALR_RELE_SEQUENZA_FASI_LINEA</t>
  </si>
  <si>
    <t>Allarme sequenza fasi linea</t>
  </si>
  <si>
    <t>ALR_RELE_SEQUENZA_FASI_PREFERENZIALE</t>
  </si>
  <si>
    <t>Allarme sequenza fasi preferenziale</t>
  </si>
  <si>
    <t>ALR_RESET</t>
  </si>
  <si>
    <t>Allarme reset</t>
  </si>
  <si>
    <t>ALR_RICHIESTA_MANUTENZIONE</t>
  </si>
  <si>
    <t>Allarme richiesta manutenzione</t>
  </si>
  <si>
    <t>ALR_RICHIESTO_AVVIO_ELETTROPOMPA</t>
  </si>
  <si>
    <t>Allarme richiesto avviamento elettropompa</t>
  </si>
  <si>
    <t>ALR_RISERVA_GASOLIO_MOTOPOMPA</t>
  </si>
  <si>
    <t>Allarme riserva gasolio motopompa</t>
  </si>
  <si>
    <t>ALR_RISERVA_IDRICA_ELETTROPOMPA</t>
  </si>
  <si>
    <t>Allarme riserva idrica elettropompa</t>
  </si>
  <si>
    <t>ALR_ROTTURA_CAVO</t>
  </si>
  <si>
    <t>Allarme rottura cavo termosensibile</t>
  </si>
  <si>
    <t>ALR_SCARICATORI_SOVRATENSIONE</t>
  </si>
  <si>
    <t>Allarme scaricatori di sovratensione</t>
  </si>
  <si>
    <t>Interruttore scaricatore</t>
  </si>
  <si>
    <t>ALR_SENSO_CICLO_INVERSO</t>
  </si>
  <si>
    <t>Allarme senso ciclo inverso</t>
  </si>
  <si>
    <t>ALR_SERRANDA</t>
  </si>
  <si>
    <t>Allarme Serranda</t>
  </si>
  <si>
    <t>ALR_SERRANDA_APERTA</t>
  </si>
  <si>
    <t>Allarme serranda aperta</t>
  </si>
  <si>
    <t>ALR_SEZ_VUOTO</t>
  </si>
  <si>
    <t>Allarme sezionatore a vuoto</t>
  </si>
  <si>
    <t>ALR_SFILAMENTO</t>
  </si>
  <si>
    <t>Allarme sfilamento</t>
  </si>
  <si>
    <t>ALR_SGANCIO_TELEFONO</t>
  </si>
  <si>
    <t>Allarme sgancio telefono</t>
  </si>
  <si>
    <t>ALR_SIRENA</t>
  </si>
  <si>
    <t>Allarme sirena attiva</t>
  </si>
  <si>
    <t>ALR_SOCCORRITORE_BATTERIA_SCARICA</t>
  </si>
  <si>
    <t>Allarme soccorritore batteria scarica</t>
  </si>
  <si>
    <t>ALR_SOCCORRITORE_BYPASS</t>
  </si>
  <si>
    <t>Allarme soccorritore in bypass</t>
  </si>
  <si>
    <t>ALR_SOCCORRITORE_INVERTER_ON</t>
  </si>
  <si>
    <t>Allarme soccorritore in scarica</t>
  </si>
  <si>
    <t>ALR_SOFT_START</t>
  </si>
  <si>
    <t>Allarme ventilatore</t>
  </si>
  <si>
    <t>ALR_SOS_OFFLINE</t>
  </si>
  <si>
    <t>Allarme SOS offline</t>
  </si>
  <si>
    <t>ALR_SOVRAPOTENZA_ALTERNATORE</t>
  </si>
  <si>
    <t>Allarme sovrapotenza alternatore</t>
  </si>
  <si>
    <t>ALR_SOVRATEMPERATURA_UPS</t>
  </si>
  <si>
    <t>Allarme sovratemperatura interna</t>
  </si>
  <si>
    <t>ALR_SOVRATENSIONE_ALTERNATORE</t>
  </si>
  <si>
    <t>Allarme sovratensione alternatore</t>
  </si>
  <si>
    <t>ALR_SPENTO</t>
  </si>
  <si>
    <t>Allarme spento</t>
  </si>
  <si>
    <t>ALR_STACCO_VENTILATORE</t>
  </si>
  <si>
    <t>Allarme stacco ventilatore</t>
  </si>
  <si>
    <t>ALR_SWITCH_FAULT</t>
  </si>
  <si>
    <t>Allarme switch in fault</t>
  </si>
  <si>
    <t>ALR_TEMPERATURA_ALTA</t>
  </si>
  <si>
    <t>Allarme alta temperatura Gruppo elettrogeno</t>
  </si>
  <si>
    <t>ALR_TEMPERATURA_ALTA_OLIO</t>
  </si>
  <si>
    <t>Allarme temperatura alta olio</t>
  </si>
  <si>
    <t>ALR_TEMPERATURA_ALTA_QE</t>
  </si>
  <si>
    <t>Allarme temperatura locali quadri</t>
  </si>
  <si>
    <t>ALR_TEMPERATURA_ALTA_QMT</t>
  </si>
  <si>
    <t>Allarme temperatura locali MT</t>
  </si>
  <si>
    <t>ALR_TEMPERATURA_ALTA_QPLC</t>
  </si>
  <si>
    <t>Allarme temperatura locale automazione</t>
  </si>
  <si>
    <t>ALR_TEMPERATURA_ALTA_QUADRO</t>
  </si>
  <si>
    <t>Allarme alta temperatura quadro</t>
  </si>
  <si>
    <t>ALR_TEMPERATURA_ALTA_TRAFO</t>
  </si>
  <si>
    <t>Allarme alta temperatura trasformatore</t>
  </si>
  <si>
    <t>ALR_TEMPERATURA_BASSA</t>
  </si>
  <si>
    <t>Allarme temperatura bassa</t>
  </si>
  <si>
    <t>ALR_TEMPERATURA_BASSA_OLIO</t>
  </si>
  <si>
    <t>Allarme temperatura olio bassa</t>
  </si>
  <si>
    <t>ALR_TENSIONE_MAX</t>
  </si>
  <si>
    <t>Allarme tensione Gruppo Elettrogeno fuori limiti</t>
  </si>
  <si>
    <t>ALR_TIMEOUT_ACCENSIONE_PERMANENTI_DIR_NORD</t>
  </si>
  <si>
    <t>Allarme timeout accensione luci permanenti dir. Nord</t>
  </si>
  <si>
    <t>Luci permanenti</t>
  </si>
  <si>
    <t>ALR_TIMEOUT_ACCENSIONE_PERMANENTI_DIR_SUD</t>
  </si>
  <si>
    <t>Allarme timeout accensione luci permanenti dir. Sud</t>
  </si>
  <si>
    <t>ALR_TIMEOUT_ACCENSIONE_RINFORZI_DIR_NORD</t>
  </si>
  <si>
    <t>Allarme timeout accensione luci di rinforzo dir. Nord</t>
  </si>
  <si>
    <t>Luci rinforzo</t>
  </si>
  <si>
    <t>ALR_TIMEOUT_ACCENSIONE_RINFORZI_DIR_SUD</t>
  </si>
  <si>
    <t>Allarme timeout accensione luci di rinforzo dir. Sud</t>
  </si>
  <si>
    <t>ALR_TIMEOUT_CONNESSIONE</t>
  </si>
  <si>
    <t>Allarme timeout connessione</t>
  </si>
  <si>
    <t>ALR_TIMEOUT_DIR_NORD</t>
  </si>
  <si>
    <t>Allarme timeout dir. Nord</t>
  </si>
  <si>
    <t>ALR_TIMEOUT_DIR_SUD</t>
  </si>
  <si>
    <t>Allarme timeout dir. Sud</t>
  </si>
  <si>
    <t>ALR_TIMEOUT_ESCLUSIONE_PICCHETTI_LUMINOSI</t>
  </si>
  <si>
    <t>Allarme timeout esclusione picchetti luminosi</t>
  </si>
  <si>
    <t>Picchetti luminosi</t>
  </si>
  <si>
    <t>ALR_TIMEOUT_FORZATURA_PICCHETTI_LUMINOSI</t>
  </si>
  <si>
    <t>Allarme timeout forzatura picchetti luminosi</t>
  </si>
  <si>
    <t>ALR_TIMEOUT_GIROFARO</t>
  </si>
  <si>
    <t>Allarme timeout girofaro</t>
  </si>
  <si>
    <t>ALR_TIMEOUT_LUCE_GIALLA</t>
  </si>
  <si>
    <t>Allarme timeout semaforo luce gialla</t>
  </si>
  <si>
    <t>ALR_TIMEOUT_LUCE_ROSSA</t>
  </si>
  <si>
    <t>Allarme timeout semaforo luce rossa</t>
  </si>
  <si>
    <t>ALR_TIMEOUT_LUCE_VERDE</t>
  </si>
  <si>
    <t>Allarme timeout semaforo luce verde</t>
  </si>
  <si>
    <t>ALR_TIMEOUT_SIRENA</t>
  </si>
  <si>
    <t>Allarme timeout sirena</t>
  </si>
  <si>
    <t>ALR_TIMEOUT_SPEGNIMENTO_PERMANENTI_DIR_NORD</t>
  </si>
  <si>
    <t>Allarme timeout spegnimento luci permanenti dir. Nord</t>
  </si>
  <si>
    <t>ALR_TIMEOUT_SPEGNIMENTO_PERMANENTI_DIR_SUD</t>
  </si>
  <si>
    <t>Allarme timeout spegnimento luci permanenti dir. Sud</t>
  </si>
  <si>
    <t>ALR_TIMEOUT_SPEGNIMENTO_RINFORZI_DIR_NORD</t>
  </si>
  <si>
    <t>Allarme timeout spegnimento luci di rinforzo dir. Nord</t>
  </si>
  <si>
    <t>ALR_TIMEOUT_SPEGNIMENTO_RINFORZI_DIR_SUD</t>
  </si>
  <si>
    <t>Allarme timeout spegnimento luci di rinforzo dir. Sud</t>
  </si>
  <si>
    <t>ALR_TIPO_A_ATTIVO</t>
  </si>
  <si>
    <t>Allarme tipo A (secondo Uni EN 12845)</t>
  </si>
  <si>
    <t>ALR_TIPO_B_ATTIVO</t>
  </si>
  <si>
    <t>Allarme tipo B (secondo Uni EN 12845)</t>
  </si>
  <si>
    <t>ALR_TIPO_GCB</t>
  </si>
  <si>
    <t>Allarme tipo contattore generatore</t>
  </si>
  <si>
    <t>ALR_TIPO_MCB</t>
  </si>
  <si>
    <t>Allarme tipo contattore di rete</t>
  </si>
  <si>
    <t>ALR_TRIP_PROTEZIONE_10_1</t>
  </si>
  <si>
    <t>Allarme trip Protezione 10 1</t>
  </si>
  <si>
    <t>ALR_TRIP_PROTEZIONE_10_2</t>
  </si>
  <si>
    <t>Allarme trip Protezione 10 2</t>
  </si>
  <si>
    <t>ALR_TRIP_PROTEZIONE_27</t>
  </si>
  <si>
    <t>Allarme trip Protezione 27</t>
  </si>
  <si>
    <t>ALR_TRIP_PROTEZIONE_67N_S1</t>
  </si>
  <si>
    <t>Allarme trip Protezione 67N S1</t>
  </si>
  <si>
    <t>ALR_TRIP_PROTEZIONE_67N_S2</t>
  </si>
  <si>
    <r>
      <rPr>
        <b/>
        <strike/>
        <sz val="11"/>
        <rFont val="Calibri"/>
        <family val="2"/>
        <scheme val="minor"/>
      </rPr>
      <t>Allarme trip Protezione 67N S1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Allarme trip Protezione 67N S2</t>
    </r>
  </si>
  <si>
    <t>ALR_UPS_ANOMALIA_BYPASS</t>
  </si>
  <si>
    <t>Allarme ups anomalia bypass</t>
  </si>
  <si>
    <t>ALR_UPS_ANOMALIA_GRUPPO_STATICO_CONTINUITA</t>
  </si>
  <si>
    <t>Allarme anomalia UPS</t>
  </si>
  <si>
    <t>ALR_UPS_BACKUP</t>
  </si>
  <si>
    <t>Allarme ups backup</t>
  </si>
  <si>
    <t>ALR_UPS_BATTERIA_GUASTA</t>
  </si>
  <si>
    <t>Allarme batteria guasta</t>
  </si>
  <si>
    <t>ALR_UPS_GENERICO</t>
  </si>
  <si>
    <t>Allarme generico UPS</t>
  </si>
  <si>
    <t>ALR_UPS_IN_RISERVA</t>
  </si>
  <si>
    <t>Allarme UPS carico in riserva</t>
  </si>
  <si>
    <t>ALR_UPS_IN_SCARICA</t>
  </si>
  <si>
    <t>ALR_UPS_INVERTER_GUASTO</t>
  </si>
  <si>
    <t>Allarme UPS Inverter guasto</t>
  </si>
  <si>
    <t>ALR_UPS_NON_ALIMENTATO</t>
  </si>
  <si>
    <t>Allarme ups non alimentato</t>
  </si>
  <si>
    <t>ALR_UPS_SCARICO</t>
  </si>
  <si>
    <t>ALR_UPS_SOVRA-CARICO</t>
  </si>
  <si>
    <t>Allarme UPS Inverter sovra carico</t>
  </si>
  <si>
    <t>ALR_UPS_SU_BYPASS</t>
  </si>
  <si>
    <t>Allarme UPS su bypass</t>
  </si>
  <si>
    <t>ALR_VENTILATORE_NON_PRONTO</t>
  </si>
  <si>
    <t>Allarme Ventilatore non pronto</t>
  </si>
  <si>
    <t>ALR_VIBRAZIONE</t>
  </si>
  <si>
    <t>Allarme vibrazione</t>
  </si>
  <si>
    <t>ALR_VIBRAZIONE_2</t>
  </si>
  <si>
    <t>ALR_VIBRAZIONE_CUSCINETTO_2</t>
  </si>
  <si>
    <t>Allarme vibrazione cuscinetto 2</t>
  </si>
  <si>
    <t>ALT_TERMICO_POMPA</t>
  </si>
  <si>
    <t>Allarme termico pompa</t>
  </si>
  <si>
    <t>AN_GUASTO</t>
  </si>
  <si>
    <t>Allarme guasto sensore AN</t>
  </si>
  <si>
    <t>AN</t>
  </si>
  <si>
    <t>ANOMALIA_DISPOSITIVO</t>
  </si>
  <si>
    <t>Allarme dispositivo in errore</t>
  </si>
  <si>
    <t>ANOMALIA_UPS_QUADRO_ALIMENTAZIONE</t>
  </si>
  <si>
    <t>Allarme anomalia ups quadro alimentazione</t>
  </si>
  <si>
    <t>APERTA</t>
  </si>
  <si>
    <t>Allarme porta aperta</t>
  </si>
  <si>
    <t>Porta</t>
  </si>
  <si>
    <t>AVARIA</t>
  </si>
  <si>
    <t>Allarme avaria</t>
  </si>
  <si>
    <t>SVR</t>
  </si>
  <si>
    <t>CAMERA_FAULT</t>
  </si>
  <si>
    <t>Allarme camera KO</t>
  </si>
  <si>
    <t>CENTRALINA_FAULT</t>
  </si>
  <si>
    <t>Allarme centralina termometrica trasformatore</t>
  </si>
  <si>
    <t>CENTRALINA_FAULT_CANNA_NORD</t>
  </si>
  <si>
    <t>Guasto centralina rilevazione incendio canna nord</t>
  </si>
  <si>
    <t>CENTRALINA_FAULT_CANNA_SUD</t>
  </si>
  <si>
    <t>Guasto centralina rilevazione incendio canna sud</t>
  </si>
  <si>
    <t>CO_GUASTO</t>
  </si>
  <si>
    <t>Coda</t>
  </si>
  <si>
    <t>CODA</t>
  </si>
  <si>
    <t>Allarme coda in galleria</t>
  </si>
  <si>
    <t>CODA_CORSIA_2</t>
  </si>
  <si>
    <t>Allarme coda in corsia di marcia</t>
  </si>
  <si>
    <t>CODA_CORSIA_3</t>
  </si>
  <si>
    <t>Allarme coda in corsia di sorpasso</t>
  </si>
  <si>
    <t>CODA_DIR_NORD</t>
  </si>
  <si>
    <t>Allarme coda direzione Nord</t>
  </si>
  <si>
    <t>CODA_DIR_SUD</t>
  </si>
  <si>
    <t>Allarme coda direzione Sud</t>
  </si>
  <si>
    <t>CUMULATIVO_CAMERA</t>
  </si>
  <si>
    <t>Allarme cumulativo camera</t>
  </si>
  <si>
    <t>FAULT_LETT_PORTATA</t>
  </si>
  <si>
    <t>Allarme lettura portata non riuscita</t>
  </si>
  <si>
    <t>Rallentamento</t>
  </si>
  <si>
    <t>FORTE_RALLENTAMENTO</t>
  </si>
  <si>
    <t>Allarme forte rallentamento</t>
  </si>
  <si>
    <t>Telecamere passiva</t>
  </si>
  <si>
    <t>FORTE_RALLENTAMENTO_CORSIA_1</t>
  </si>
  <si>
    <t>Allarme forte rallentamento corsia di emergenza</t>
  </si>
  <si>
    <t>FORTE_RALLENTAMENTO_CORSIA_2</t>
  </si>
  <si>
    <t>Allarme forte rallentamento corsia di marcia</t>
  </si>
  <si>
    <t>FORTE_RALLENTAMENTO_CORSIA_3</t>
  </si>
  <si>
    <t>Allarme forte rallentamento corsia veloce</t>
  </si>
  <si>
    <t>FORTE_RALLENTAMENTO_DIR_NORD</t>
  </si>
  <si>
    <t>Allarme forte rallentamento direzione Nord</t>
  </si>
  <si>
    <t>FORTE_RALLENTAMENTO_DIR_SUD</t>
  </si>
  <si>
    <t>Allarme forte rallentamento direzione Sud</t>
  </si>
  <si>
    <t>Fumo</t>
  </si>
  <si>
    <t>FUMO</t>
  </si>
  <si>
    <t>Allarme fumo</t>
  </si>
  <si>
    <t>FUMO_CORSIA_1</t>
  </si>
  <si>
    <t>Allarme fumo corsia di emergenza</t>
  </si>
  <si>
    <t>FUMO_CORSIA_2</t>
  </si>
  <si>
    <t>Allarme fumo corsia di marcia</t>
  </si>
  <si>
    <t>FUMO_CORSIA_3</t>
  </si>
  <si>
    <t>Allarme fumo corsia veloce</t>
  </si>
  <si>
    <t>FUSIBILE</t>
  </si>
  <si>
    <t>Allarme fusibile</t>
  </si>
  <si>
    <t>Idrometrico</t>
  </si>
  <si>
    <t>HYDROMETRIC_STATION_ALARM_HIGH</t>
  </si>
  <si>
    <t>Stazione in Allarme High</t>
  </si>
  <si>
    <t>Dispositivo stazione di misura</t>
  </si>
  <si>
    <t>HYDROMETRIC_STATION_ALARM_LOW</t>
  </si>
  <si>
    <t>Stazione in Allarme Low</t>
  </si>
  <si>
    <t>HYDROMETRIC_STATION_ALARM_MEDIUM</t>
  </si>
  <si>
    <t>Stazione in Allarme Medium</t>
  </si>
  <si>
    <t>INCENDIO_IN_GALLERIA</t>
  </si>
  <si>
    <t>Rilevatore incendio (presente in galleria - zone)</t>
  </si>
  <si>
    <t>Centralina rilevazione incendio (presente in cabina)</t>
  </si>
  <si>
    <t>INCIDENTE</t>
  </si>
  <si>
    <t>Allarme attivazione pannello incidente</t>
  </si>
  <si>
    <t>INTERRUTTORE_GENERALE</t>
  </si>
  <si>
    <t>Allarme interruttore generale</t>
  </si>
  <si>
    <t>Interruttore generale</t>
  </si>
  <si>
    <t>Bypass-ANOMALIA</t>
  </si>
  <si>
    <t>MANCATA_APERTURA</t>
  </si>
  <si>
    <t>Allarme mancata apertura serranda</t>
  </si>
  <si>
    <t>MANCATA_CHIUSURA</t>
  </si>
  <si>
    <t>Allarme mancata chiusura serranda</t>
  </si>
  <si>
    <t>MANCATO_AVVIO_ELETTROPOMPA</t>
  </si>
  <si>
    <t>Allarme mancato avvio elettropompa</t>
  </si>
  <si>
    <t>MANCATO_AVVIO_MOTOPOMPA</t>
  </si>
  <si>
    <t>Allarme mancato avvio motopompa</t>
  </si>
  <si>
    <t>MANOMISSIONE</t>
  </si>
  <si>
    <t>Allarme manomissione</t>
  </si>
  <si>
    <t>MISURA_FAULT</t>
  </si>
  <si>
    <t>Allarme misurazione fallita</t>
  </si>
  <si>
    <t>MISURA_FUORI_SOGLIA</t>
  </si>
  <si>
    <t>Misura fuori soglia</t>
  </si>
  <si>
    <t>Soglia Sensori CO-OP-AN-NO</t>
  </si>
  <si>
    <t>MISURA_FUORI_SOGLIA_AN_INFERIORE_SUPERATA</t>
  </si>
  <si>
    <t>Misura fuori soglia AN inferiore superata</t>
  </si>
  <si>
    <t>MISURA_FUORI_SOGLIA_AN_SUPERIORE_SUPERATA</t>
  </si>
  <si>
    <t>Misura fuori soglia AN superiore superata</t>
  </si>
  <si>
    <t>MISURA_FUORI_SOGLIA_CO_INFERIORE_SUPERATA</t>
  </si>
  <si>
    <t>Misura fuori soglia CO inferiore superata</t>
  </si>
  <si>
    <t>MISURA_FUORI_SOGLIA_CO_SUPERIORE_SUPERATA</t>
  </si>
  <si>
    <t>Misura fuori soglia CO superiore superata</t>
  </si>
  <si>
    <t>MISURA_FUORI_SOGLIA_CORRENTE_INFERIORE_SUPERATA</t>
  </si>
  <si>
    <t>Misura fuori soglia corrente inferiore superata</t>
  </si>
  <si>
    <t>MISURA_FUORI_SOGLIA_CORRENTE_SUPERIORE_SUPERATA</t>
  </si>
  <si>
    <t>Misura fuori soglia corrente superiore superata</t>
  </si>
  <si>
    <t>MISURA_FUORI_SOGLIA_INFERIORE</t>
  </si>
  <si>
    <t>Misura fuori soglia inferiore</t>
  </si>
  <si>
    <t>MISURA_FUORI_SOGLIA_INFERIORE_SUPERATA</t>
  </si>
  <si>
    <t>MISURA_FUORI_SOGLIA_METRICA_SUPERIORE_NORD</t>
  </si>
  <si>
    <t>Misura soglia metrica superiore superata nord</t>
  </si>
  <si>
    <t>MISURA_FUORI_SOGLIA_METRICA_SUPERIORE_SUD</t>
  </si>
  <si>
    <t>Misura soglia metrica superiore superata sud</t>
  </si>
  <si>
    <t>MISURA_FUORI_SOGLIA_NO_INFERIORE_SUPERATA</t>
  </si>
  <si>
    <t>Misura fuori soglia NO inferiore superata</t>
  </si>
  <si>
    <t>MISURA_FUORI_SOGLIA_NO_SUPERIORE_SUPERATA</t>
  </si>
  <si>
    <t>Misura fuori soglia NO superiore superata</t>
  </si>
  <si>
    <t>MISURA_FUORI_SOGLIA_OP_INFERIORE_SUPERATA</t>
  </si>
  <si>
    <t>Misura fuori soglia OP inferiore superata</t>
  </si>
  <si>
    <t>MISURA_FUORI_SOGLIA_OP_SUPERIORE_SUPERATA</t>
  </si>
  <si>
    <t>Misura fuori soglia OP superiore superata</t>
  </si>
  <si>
    <t>MISURA_FUORI_SOGLIA_PRESSIONE_INFERIORE_SUPERATA</t>
  </si>
  <si>
    <t>Misura fuori soglia pressione inferiore superata</t>
  </si>
  <si>
    <t>MISURA_FUORI_SOGLIA_PRESSIONE_SUPERIORE_SUPERATA</t>
  </si>
  <si>
    <t>Misura fuori soglia pressione superiore superata</t>
  </si>
  <si>
    <t>MISURA_FUORI_SOGLIA_SERBATOIO_ACQUA_INFERIORE_SUPERATA</t>
  </si>
  <si>
    <t>Misura fuori soglia serbatoio acqua inferiore superata</t>
  </si>
  <si>
    <t>MISURA_FUORI_SOGLIA_SERBATOIO_ACQUA_SUPERIORE_SUPERATA</t>
  </si>
  <si>
    <t>Misura fuori soglia serbatoio acqua superiore superata</t>
  </si>
  <si>
    <t>MISURA_FUORI_SOGLIA_SUPERIORE</t>
  </si>
  <si>
    <t>Misura fuori soglia superiore</t>
  </si>
  <si>
    <t>MISURA_FUORI_SOGLIA_T_INFERIORE_SUPERATA</t>
  </si>
  <si>
    <t>Misura fuori soglia T inferiore superata</t>
  </si>
  <si>
    <t>Sensore temperatura</t>
  </si>
  <si>
    <t>MISURA_FUORI_SOGLIA_T_SUPERIORE_SUPERATA</t>
  </si>
  <si>
    <t>Misura fuori soglia T superiore superata</t>
  </si>
  <si>
    <t>MISURA_FUORI_SOGLIA_VIBRAZIONE_INFERIORE_SUPERATA</t>
  </si>
  <si>
    <t>Misura fuori soglia vibrazione inferiore superata</t>
  </si>
  <si>
    <t>MISURA_FUORI_SOGLIA_VIBRAZIONE_SUPERIORE_SUPERATA</t>
  </si>
  <si>
    <t>Misura fuori soglia vibrazione superiore superata</t>
  </si>
  <si>
    <t>OP_GUASTO</t>
  </si>
  <si>
    <t>PEDONE</t>
  </si>
  <si>
    <t>Allarme pedone</t>
  </si>
  <si>
    <t>PEDONE_CORSIA_1</t>
  </si>
  <si>
    <t>Allarme pedone corsia di emergenza</t>
  </si>
  <si>
    <t>PEDONE_CORSIA_2</t>
  </si>
  <si>
    <t>Allarme pedone corsia di marcia</t>
  </si>
  <si>
    <t>PEDONE_CORSIA_3</t>
  </si>
  <si>
    <t>Allarme pedone corsia veloce</t>
  </si>
  <si>
    <t>PORTA_QUADRO_ALIMENTAZIONE</t>
  </si>
  <si>
    <t>Allarme porta quadro alimentazione</t>
  </si>
  <si>
    <t>PRE_ALLARME</t>
  </si>
  <si>
    <t>Preallarme</t>
  </si>
  <si>
    <t>PRE_ALLARME_GRADIENTE</t>
  </si>
  <si>
    <t>Preallarme gradiente termico</t>
  </si>
  <si>
    <t>PRESSOSTATO</t>
  </si>
  <si>
    <t>Allarme pressostato</t>
  </si>
  <si>
    <t>Pressostato</t>
  </si>
  <si>
    <t>RELE_MINIMA_TENSIONE</t>
  </si>
  <si>
    <t>Allarme rele minima tensione</t>
  </si>
  <si>
    <t>SCATTO_PROTEZIONE</t>
  </si>
  <si>
    <t>SCATTO_TERMICO_SCT_SALVA_MOTORE</t>
  </si>
  <si>
    <t>Allarme scatto termico salva motore</t>
  </si>
  <si>
    <t>SERRANDA_IN_APERTURA</t>
  </si>
  <si>
    <t>Allarme serranda in apertura</t>
  </si>
  <si>
    <t>SERRANDA_IN_CHIUSURA</t>
  </si>
  <si>
    <t>Allarme serranda in chiusura</t>
  </si>
  <si>
    <t>SEZIONATORE</t>
  </si>
  <si>
    <t>Allarme sezionatore</t>
  </si>
  <si>
    <t>Allagamento-ANOMALIA</t>
  </si>
  <si>
    <t>SGANCIO</t>
  </si>
  <si>
    <t>Allarme pulsante di sgancio</t>
  </si>
  <si>
    <t>Impianto prime acque</t>
  </si>
  <si>
    <t>Ups</t>
  </si>
  <si>
    <t>SGANCIO_PREMUTO</t>
  </si>
  <si>
    <t>Allarme pulsante di sgancio premuto</t>
  </si>
  <si>
    <t>Pulsante di sgancio</t>
  </si>
  <si>
    <t>Veicolo Veloce</t>
  </si>
  <si>
    <t>SMARTROAD_AID_FAST_VEHICLE</t>
  </si>
  <si>
    <t>Veicolo veloce</t>
  </si>
  <si>
    <t>Smart Road</t>
  </si>
  <si>
    <t>Telecamera Smart</t>
  </si>
  <si>
    <t>Algoritmo AID Non Attivo</t>
  </si>
  <si>
    <t>Cambio Corsia</t>
  </si>
  <si>
    <t>SMARTROAD_AID_LANE_CHANGE</t>
  </si>
  <si>
    <t>Cambio di corsia</t>
  </si>
  <si>
    <t>Oggetto disperso</t>
  </si>
  <si>
    <t>SMARTROAD_AID_LOST_OBJECT</t>
  </si>
  <si>
    <t>Perdita carico</t>
  </si>
  <si>
    <t>SMARTROAD_AID_LOW_VISIBILITY</t>
  </si>
  <si>
    <t>Nebbia o fumo</t>
  </si>
  <si>
    <t>SMARTROAD_AID_PEDESTRIAN</t>
  </si>
  <si>
    <t>Presenza pedone</t>
  </si>
  <si>
    <t>SMARTROAD_AID_QUEUE</t>
  </si>
  <si>
    <t>Veicolo Lento</t>
  </si>
  <si>
    <t>SMARTROAD_AID_SLOW_VEHICLE</t>
  </si>
  <si>
    <t>Veicolo lento</t>
  </si>
  <si>
    <t>SMARTROAD_AID_SLOWDOWN</t>
  </si>
  <si>
    <t>Veicolo Fermo</t>
  </si>
  <si>
    <t>SMARTROAD_AID_STATIONARY_VEHICLE</t>
  </si>
  <si>
    <t>Veicolo fermo</t>
  </si>
  <si>
    <t>SMARTROAD_AID_SUDDEN_SLOWDOWN</t>
  </si>
  <si>
    <t>Rallentamento improvviso</t>
  </si>
  <si>
    <t>Veicolo Contromano</t>
  </si>
  <si>
    <t>SMARTROAD_AID_WRONG_DIRECTION</t>
  </si>
  <si>
    <t>Contromano</t>
  </si>
  <si>
    <t>Cantieri IoT-ANOMALIA</t>
  </si>
  <si>
    <t>SMARTROAD_BUILDING_BATTERY_PERCENTAGE</t>
  </si>
  <si>
    <t>Batteria del dispositivo sotto il 30%</t>
  </si>
  <si>
    <t>Cantieri IoT</t>
  </si>
  <si>
    <t>Cantiere</t>
  </si>
  <si>
    <t>SMARTROAD_BUILDING_OVERTURN</t>
  </si>
  <si>
    <t>Dispositivo ribaltato</t>
  </si>
  <si>
    <t>SMARTROAD_BUILDING_SHIFT</t>
  </si>
  <si>
    <t>Dispositivo spostato</t>
  </si>
  <si>
    <t>SMARTROAD_BUILDING_SHOCK</t>
  </si>
  <si>
    <t>Dispositivo urtato</t>
  </si>
  <si>
    <t>Meteo</t>
  </si>
  <si>
    <t>SMARTROAD_WEATHER_FALLINGSNOW</t>
  </si>
  <si>
    <t>Neve</t>
  </si>
  <si>
    <t>SMARTROAD_WEATHER_LAST_DATA</t>
  </si>
  <si>
    <t>Connessione perduta</t>
  </si>
  <si>
    <t>SMARTROAD_WEATHER_RAIN</t>
  </si>
  <si>
    <t>Pioggia</t>
  </si>
  <si>
    <t>SMARTROAD_WEATHER_SNOWY_ROAD</t>
  </si>
  <si>
    <t>Presenza di neve sulla strada</t>
  </si>
  <si>
    <t>SMARTROAD_WEATHER_TEMPERATURE</t>
  </si>
  <si>
    <t>Bassa temperatura</t>
  </si>
  <si>
    <t>SMARTROAD_WEATHER_TOTAL_RAIN</t>
  </si>
  <si>
    <t>Precipitazioni intense [mm]</t>
  </si>
  <si>
    <t>SMARTROAD_WEATHER_VISIBILITY</t>
  </si>
  <si>
    <t>Bassa visibilità</t>
  </si>
  <si>
    <t>Telecamera Spostata</t>
  </si>
  <si>
    <t>TELECAMERA_SPOSTATA_CORSIA_1</t>
  </si>
  <si>
    <t>Allarme telecamera spostata corsia di emergenza</t>
  </si>
  <si>
    <t>TELECAMERA_SPOSTATA_CORSIA_2</t>
  </si>
  <si>
    <t>Allarme telecamera spostata corsia di marcia</t>
  </si>
  <si>
    <t>TELECAMERA_SPOSTATA_CORSIA_3</t>
  </si>
  <si>
    <t>Allarme telecamera spostata corsia veloce</t>
  </si>
  <si>
    <t>TEMPERATURA</t>
  </si>
  <si>
    <t>Allarme temperatura</t>
  </si>
  <si>
    <t>TRAFFICO_RALLENTATO</t>
  </si>
  <si>
    <t>Allarme traffico rallentato</t>
  </si>
  <si>
    <t>VEICOLO_CONTROMANO</t>
  </si>
  <si>
    <t>Allarme veicolo contromano</t>
  </si>
  <si>
    <t>VEICOLO_CONTROMANO_CORSIA_1</t>
  </si>
  <si>
    <t>Allarme veicolo contromano corsia di emergenza</t>
  </si>
  <si>
    <t>VEICOLO_CONTROMANO_CORSIA_2</t>
  </si>
  <si>
    <t>Allarme veicolo contromano corsia di marcia</t>
  </si>
  <si>
    <t>VEICOLO_CONTROMANO_CORSIA_3</t>
  </si>
  <si>
    <t>Allarme veicolo contromano corsia veloce</t>
  </si>
  <si>
    <t>VEICOLO_FERMO</t>
  </si>
  <si>
    <t>Allarme veicolo fermo</t>
  </si>
  <si>
    <t>VEICOLO_FERMO_CORSIA_1</t>
  </si>
  <si>
    <t>Allarme veicolo fermo corsia di emergenza</t>
  </si>
  <si>
    <t>VEICOLO_FERMO_CORSIA_2</t>
  </si>
  <si>
    <t>Allarme veicolo fermo corsia di marcia</t>
  </si>
  <si>
    <t>VEICOLO_FERMO_CORSIA_3</t>
  </si>
  <si>
    <t>Allarme veicolo fermo corsia veloce</t>
  </si>
  <si>
    <t>VEICOLO_FERMO_PIAZZOLA</t>
  </si>
  <si>
    <t>Allarme veicolo fermo in piazzola</t>
  </si>
  <si>
    <t>VEICOLO_INVERSIONE_CORSIA_1</t>
  </si>
  <si>
    <t>Allarme inversione in corsia emergenza</t>
  </si>
  <si>
    <t>VEICOLO_INVERSIONE_CORSIA_2</t>
  </si>
  <si>
    <t>Allarme inversione in corsia marcia</t>
  </si>
  <si>
    <t>VEICOLO_INVERSIONE_CORSIA_3</t>
  </si>
  <si>
    <t>Allarme inversione in corsia sorpasso</t>
  </si>
  <si>
    <t>VEICOLO_LENTO_CORSIA_1</t>
  </si>
  <si>
    <t>Allarme veicolo lento corsia di emergenza</t>
  </si>
  <si>
    <t>VEICOLO_LENTO_CORSIA_2</t>
  </si>
  <si>
    <t>Allarme veicolo lento corsia di marcia</t>
  </si>
  <si>
    <t>VEICOLO_LENTO_CORSIA_3</t>
  </si>
  <si>
    <t>Allarme veicolo lento corsia veloce</t>
  </si>
  <si>
    <t>VENTILATORE_IN_ANOMALIA</t>
  </si>
  <si>
    <t>ALR_TIMEOUT</t>
  </si>
  <si>
    <t>Allarme timeout</t>
  </si>
  <si>
    <t>PRE_ALLARME_INCENDIO</t>
  </si>
  <si>
    <t>Preallarme incendio da sensori</t>
  </si>
  <si>
    <t>CO-Termine</t>
  </si>
  <si>
    <t>OP-Termine</t>
  </si>
  <si>
    <t>ALLARME_DA_SOS_DIR_NORD</t>
  </si>
  <si>
    <t>Allarme SOS premuto dir. nord</t>
  </si>
  <si>
    <t>SOS generale</t>
  </si>
  <si>
    <t>ALLARME_DA_SOS_DIR_SUD</t>
  </si>
  <si>
    <t>Allarme SOS premuto dir. sud</t>
  </si>
  <si>
    <t>ALLARME_PRESSIONE_POMPA</t>
  </si>
  <si>
    <t>Allarme pressione pompa</t>
  </si>
  <si>
    <t>ALR_113_DIR_NORD</t>
  </si>
  <si>
    <t>Allarme SOS pulsante 113 dir. nord</t>
  </si>
  <si>
    <t>ALR_113_DIR_SUD</t>
  </si>
  <si>
    <t>Allarme SOS pulsante 113 dir. sud</t>
  </si>
  <si>
    <t>ALR_115_DIR_NORD</t>
  </si>
  <si>
    <t>Allarme SOS pulsante 115 dir. nord</t>
  </si>
  <si>
    <t>ALR_115_DIR_SUD</t>
  </si>
  <si>
    <t>Allarme SOS pulsante 115 dir. sud</t>
  </si>
  <si>
    <t>ALR_118_DIR_NORD</t>
  </si>
  <si>
    <t>Allarme SOS pulsante 118 dir. nord</t>
  </si>
  <si>
    <t>ALR_118_DIR_SUD</t>
  </si>
  <si>
    <t>Allarme SOS pulsante 118 dir. sud</t>
  </si>
  <si>
    <t>ALR_803116_DIR_NORD</t>
  </si>
  <si>
    <t>Allarme SOS soccorso meccanico dir. Nord</t>
  </si>
  <si>
    <t>ALR_803116_DIR_SUD</t>
  </si>
  <si>
    <t>Allarme SOS soccorso meccanico dir. Sud</t>
  </si>
  <si>
    <t>SR-Pozzetto-ANOMALIA</t>
  </si>
  <si>
    <t>ALR_ALIMENTAZIONE_DA_BATTERIA</t>
  </si>
  <si>
    <t>Allarme alimentazione da batteria</t>
  </si>
  <si>
    <t>Palo tecnologico</t>
  </si>
  <si>
    <t>ALR_ALLINEAMENTO</t>
  </si>
  <si>
    <t>Allarme allineamento ventilatore</t>
  </si>
  <si>
    <t>ALR_ANOMALIA_COMANDO_DIR_DX</t>
  </si>
  <si>
    <t>Allarme anomalia mancato comando dx</t>
  </si>
  <si>
    <t>ALR_ANOMALIA_COMANDO_DIR_SX</t>
  </si>
  <si>
    <t>Allarme anomalia mancato comando sx</t>
  </si>
  <si>
    <t>ALR_ANOMALIA_DA_QUADRO</t>
  </si>
  <si>
    <t>Allarme anomalia da quadro</t>
  </si>
  <si>
    <t>FC</t>
  </si>
  <si>
    <t>ALR_ANTA_SOS</t>
  </si>
  <si>
    <t>Allarme apertura anta colonnina SOS</t>
  </si>
  <si>
    <t>Impianto sos</t>
  </si>
  <si>
    <t>ALR_ASSENZA_ALIMENTAZIONE</t>
  </si>
  <si>
    <t>Allarme assenza alimentazione</t>
  </si>
  <si>
    <t>Impianto elettrico</t>
  </si>
  <si>
    <t>Centrale scambio rete-ups</t>
  </si>
  <si>
    <t>Impianto Radio-ANOMALIA</t>
  </si>
  <si>
    <t>Impianto Radio</t>
  </si>
  <si>
    <t>Route radio</t>
  </si>
  <si>
    <t>ALR_ASSENZA_TENSIONE_24V</t>
  </si>
  <si>
    <t>Allarme assenza tensione 24V</t>
  </si>
  <si>
    <t>Smart road</t>
  </si>
  <si>
    <t>ALR_ASSENZA_TENSIONE_400V</t>
  </si>
  <si>
    <t>Allarme assenza tensione 400V</t>
  </si>
  <si>
    <t>ALR_ASSENZA_TENSIONE_48V</t>
  </si>
  <si>
    <t>Allarme assenza tensione 48V</t>
  </si>
  <si>
    <t>ALR_ASSENZA_TENSIONE_690V</t>
  </si>
  <si>
    <t>Allarme assenza tensione 690V</t>
  </si>
  <si>
    <t>ALR_ASSENZA_TENSIONE_ALIM_PALI</t>
  </si>
  <si>
    <t>Allarme assenza tensione dispositivo alimentazione pali</t>
  </si>
  <si>
    <t>Cabina elettrica</t>
  </si>
  <si>
    <t>ALR_ASSENZA_TENSIONE_ALIM_TORRI</t>
  </si>
  <si>
    <t>Allarme assenza tensione dispositivo alimentazione torri</t>
  </si>
  <si>
    <t>ALR_ASSENZA_TENSIONE_AUX</t>
  </si>
  <si>
    <t>Allarme assenza tensione aux</t>
  </si>
  <si>
    <t>ALR_ASSENZA_TENSIONE_FASE_L1</t>
  </si>
  <si>
    <t>Allarme assenza tensione dispositivo fase L1</t>
  </si>
  <si>
    <t>ALR_ASSENZA_TENSIONE_FASE_L2</t>
  </si>
  <si>
    <t>Allarme assenza tensione dispositivo fase L2</t>
  </si>
  <si>
    <t>ALR_ASSENZA_TENSIONE_FASE_L3</t>
  </si>
  <si>
    <t>Allarme assenza tensione dispositivo fase L3</t>
  </si>
  <si>
    <t>ALR_ASSENZA_TENSIONE_LINEA_GE</t>
  </si>
  <si>
    <t>Allarme assenza tensione dispositivo linea GE</t>
  </si>
  <si>
    <t>Interruttore rete-GE</t>
  </si>
  <si>
    <t>ALR_ASSENZA_TENSIONE_LINEA_RETE</t>
  </si>
  <si>
    <t>Allarme assenza tensione dispositivo linea rete</t>
  </si>
  <si>
    <t>ALR_ASSENZA_TENSIONE_LINEA_UTENZE</t>
  </si>
  <si>
    <t>Allarme assenza tensione dispositivo linea utenze</t>
  </si>
  <si>
    <t>ALR_ASSENZA_TENSIONE_RAMO1</t>
  </si>
  <si>
    <t>Allarme assenza tensione ramo 1</t>
  </si>
  <si>
    <t>Impianto illuminazione</t>
  </si>
  <si>
    <t>ALR_ASSENZA_TENSIONE_RAMO2</t>
  </si>
  <si>
    <t>Allarme assenza tensione ramo 2</t>
  </si>
  <si>
    <t>ALR_ASSENZA_TENSIONE_VERSO_CE_NORD</t>
  </si>
  <si>
    <t>Allarme assenza tensione dispositivo verso cabina nord</t>
  </si>
  <si>
    <t>PLC bypass</t>
  </si>
  <si>
    <t>ALR_ASSENZA_TENSIONE_VERSO_CE_SUD</t>
  </si>
  <si>
    <t>Allarme assenza tensione dispositivo verso cabina sud</t>
  </si>
  <si>
    <t>ALR_AVARIA_GRAVE</t>
  </si>
  <si>
    <t>Allarme avaria grave</t>
  </si>
  <si>
    <t>Illuminazione punto-punto</t>
  </si>
  <si>
    <t>Centralina/Luce</t>
  </si>
  <si>
    <t>ALR_BATTERIA_ALIMENTATORI_SCARICA</t>
  </si>
  <si>
    <t>Allarme batteria alimentatori scarica</t>
  </si>
  <si>
    <t>Impianto rete dati</t>
  </si>
  <si>
    <t>PLC primario/di cabina</t>
  </si>
  <si>
    <t>ALR_BYPASS_NORD_1</t>
  </si>
  <si>
    <t>Allarme bypass 1 dir. nord</t>
  </si>
  <si>
    <t>Bypass generale/quadro elettrico</t>
  </si>
  <si>
    <t>ALR_BYPASS_NORD_2</t>
  </si>
  <si>
    <t>Allarme bypass 2 dir. nord</t>
  </si>
  <si>
    <t>ALR_BYPASS_NORD_3</t>
  </si>
  <si>
    <t>Allarme bypass 3 dir. nord</t>
  </si>
  <si>
    <t>ALR_BYPASS_SUD_1</t>
  </si>
  <si>
    <t>Allarme bypass 1 dir. sud</t>
  </si>
  <si>
    <t>ALR_BYPASS_SUD_2</t>
  </si>
  <si>
    <t>Allarme bypass 2 dir. sud</t>
  </si>
  <si>
    <t>ALR_BYPASS_SUD_3</t>
  </si>
  <si>
    <t>Allarme bypass 3 dir. sud</t>
  </si>
  <si>
    <t>ALR_CANALE</t>
  </si>
  <si>
    <t>Allarme canale</t>
  </si>
  <si>
    <t>Sensori CO/OP</t>
  </si>
  <si>
    <t>Pressostato/Pressione differenziale</t>
  </si>
  <si>
    <t>impianto Radio</t>
  </si>
  <si>
    <t>ALR_CANALE_1</t>
  </si>
  <si>
    <t>Allarme canale 1</t>
  </si>
  <si>
    <t>ALR_CANALE_2</t>
  </si>
  <si>
    <t>Allarme canale 2</t>
  </si>
  <si>
    <t>ALR_CANALE_3</t>
  </si>
  <si>
    <t>Allarme canale 3</t>
  </si>
  <si>
    <t>ALR_CANALE_4</t>
  </si>
  <si>
    <t>Allarme canale 4</t>
  </si>
  <si>
    <t>ALR_CANALE_5</t>
  </si>
  <si>
    <t>Allarme canale 5</t>
  </si>
  <si>
    <t>Impianto radio</t>
  </si>
  <si>
    <t>ALR_CAVO_ROTTO</t>
  </si>
  <si>
    <t>Allarme Cavo Rotto</t>
  </si>
  <si>
    <t>Sensori qualità aria CO/OP/NO/AN</t>
  </si>
  <si>
    <t>ALR_CAVO_SCOLLEGATO</t>
  </si>
  <si>
    <t>Allarme cavo scollegato</t>
  </si>
  <si>
    <t>ALR_CENTRALE_INCENDIO_1_IN_STOP</t>
  </si>
  <si>
    <t>Allarme centrale incendio 1 in stop</t>
  </si>
  <si>
    <t>ALR_CHIAMATA_ATTIVATA</t>
  </si>
  <si>
    <t>Allarme chiamata attivata</t>
  </si>
  <si>
    <t>ALR_CHIUSURA_TENSIONE_DC_ALTA</t>
  </si>
  <si>
    <t>Allarme tensione DC alta</t>
  </si>
  <si>
    <t>Centrale scambio rete-gruppo</t>
  </si>
  <si>
    <t>ALR_CHIUSURA_TENSIONE_DC_BASSA</t>
  </si>
  <si>
    <t>Allarme tensione DC bassa</t>
  </si>
  <si>
    <t>SR-Regolatori-ANOMALIA</t>
  </si>
  <si>
    <t>ALR_CIRCUITO_APERTO</t>
  </si>
  <si>
    <t>Allarme circuito aperto</t>
  </si>
  <si>
    <t>Regolatore</t>
  </si>
  <si>
    <t>ALR_CIRCUITO_INTERROTTO</t>
  </si>
  <si>
    <t>Allarme circuito interrotto</t>
  </si>
  <si>
    <t>ALR_COMPRESSORE_ARIA_GE</t>
  </si>
  <si>
    <t>Allarme compressore aria gruppo elettrogeno</t>
  </si>
  <si>
    <t>ALR_COMUNICAZIONE_DIAGNOSTICA</t>
  </si>
  <si>
    <t>Allarme comunicazione diagnostica</t>
  </si>
  <si>
    <t>PLC di cabina</t>
  </si>
  <si>
    <t>PLC SOS</t>
  </si>
  <si>
    <t>Switch</t>
  </si>
  <si>
    <t>ALR_COMUNICAZIONE_DIR_NORD</t>
  </si>
  <si>
    <t>Allarme comunicazione dispositivo dir. nord</t>
  </si>
  <si>
    <t>Illuminazione generale</t>
  </si>
  <si>
    <t>ALR_COMUNICAZIONE_DIR_SUD</t>
  </si>
  <si>
    <t>Allarme comunicazione dispositivo dir. sud</t>
  </si>
  <si>
    <t>ALR_COMUNICAZIONE_DOPPIA</t>
  </si>
  <si>
    <t>Allarme comunicazione doppia</t>
  </si>
  <si>
    <t>ALR_COMUNICAZIONE_I_O</t>
  </si>
  <si>
    <t>Allarme comunicazione I/O</t>
  </si>
  <si>
    <t>ALR_COMUNICAZIONE_INCENDIO_1</t>
  </si>
  <si>
    <t>Allarme comunicazione incendio 1</t>
  </si>
  <si>
    <t>ALR_COMUNICAZIONE_INCENDIO_2</t>
  </si>
  <si>
    <t>Allarme comunicazione incendio 2</t>
  </si>
  <si>
    <t>ALR_COMUNICAZIONE_SEMPLICE</t>
  </si>
  <si>
    <t>Allarme comunicazione semplice</t>
  </si>
  <si>
    <t>ALR_COMUNICAZIONE_SISTEMA</t>
  </si>
  <si>
    <t>Allarme comunicazione sistema</t>
  </si>
  <si>
    <t>ALR_COMUNICAZIONE_VERSO_CE_NORD</t>
  </si>
  <si>
    <t>Allarme comunicazione dispositivo verso cabina nord</t>
  </si>
  <si>
    <t>ALR_COMUNICAZIONE_VERSO_CE_SUD</t>
  </si>
  <si>
    <t>Allarme comunicazione dispositivo verso cabina sud</t>
  </si>
  <si>
    <t>ALR_CONFLITTO_IP</t>
  </si>
  <si>
    <t>Allarme allarme conflitto IP</t>
  </si>
  <si>
    <t>Contattore</t>
  </si>
  <si>
    <t>ALR_CUMULATIVO_CONTATTORE</t>
  </si>
  <si>
    <t>Allarme cumulativo contattore</t>
  </si>
  <si>
    <t>ALR_CUMULATIVO_ELETTROVALVOLA</t>
  </si>
  <si>
    <t>Allarme cumulativo elettrovalvola</t>
  </si>
  <si>
    <t>Valvola antincendio</t>
  </si>
  <si>
    <t>ALR_CUMULATIVO_EMERGENZA_DIR_NORD_1</t>
  </si>
  <si>
    <t>Allarme emergenza bypass 1 dir. nord</t>
  </si>
  <si>
    <t>Lampeggiante</t>
  </si>
  <si>
    <t>ALR_CUMULATIVO_EMERGENZA_DIR_NORD_2</t>
  </si>
  <si>
    <t>Allarme emergenza bypass 2 dir. nord</t>
  </si>
  <si>
    <t>ALR_CUMULATIVO_EMERGENZA_DIR_NORD_3</t>
  </si>
  <si>
    <t>Allarme emergenza bypass 3 dir. nord</t>
  </si>
  <si>
    <t>ALR_CUMULATIVO_EMERGENZA_DIR_SUD_1</t>
  </si>
  <si>
    <t>Allarme emergenza bypass 1 dir. sud</t>
  </si>
  <si>
    <t>ALR_CUMULATIVO_EMERGENZA_DIR_SUD_2</t>
  </si>
  <si>
    <t>Allarme emergenza bypass 2 dir. sud</t>
  </si>
  <si>
    <t>ALR_CUMULATIVO_EMERGENZA_DIR_SUD_3</t>
  </si>
  <si>
    <t>Allarme emergenza bypass 3 dir. sud</t>
  </si>
  <si>
    <t>ALR_CUMULATIVO_INCENDIO</t>
  </si>
  <si>
    <t>Allarme cumulativo incendio</t>
  </si>
  <si>
    <t>Centralina ril. Incendio bypass</t>
  </si>
  <si>
    <t>ALR_CUMULATIVO_INCENDIO_CABINA_CANNA_NORD</t>
  </si>
  <si>
    <t>Allarme cumulativo incendio cabina canna nord</t>
  </si>
  <si>
    <t>ALR_CUMULATIVO_INCENDIO_CABINA_CANNA_SUD</t>
  </si>
  <si>
    <t>Allarme cumulativo incendio cabina canna sud</t>
  </si>
  <si>
    <t>ALR_CUMULATIVO_INCENDIO_CANNA_NORD</t>
  </si>
  <si>
    <t>Allarme cumulativo incendio canna nord</t>
  </si>
  <si>
    <t>ALR_CUMULATIVO_INCENDIO_CANNA_SUD</t>
  </si>
  <si>
    <t>Allarme cumulativo incendio canna sud</t>
  </si>
  <si>
    <t>ALR_CUMULATIVO_INTERRUTTORE</t>
  </si>
  <si>
    <t>Allarme cumulativo interruttore</t>
  </si>
  <si>
    <t>ALR_DIFFERENZIALE_SCATTATO</t>
  </si>
  <si>
    <t>Allarme differenziale scattato</t>
  </si>
  <si>
    <t>ALR_DIREZIONE_AN_SOPRA_SOGLIA</t>
  </si>
  <si>
    <t>Allarme direzione AN sopra soglia</t>
  </si>
  <si>
    <t>ALR_DIREZIONE_AN_SOTTO_SOGLIA</t>
  </si>
  <si>
    <t>Allarme direzione AN sotto soglia</t>
  </si>
  <si>
    <t>ALR_DOSSENA_1</t>
  </si>
  <si>
    <t>Allarme Dossena 1</t>
  </si>
  <si>
    <t>ALR_DOSSENA_2</t>
  </si>
  <si>
    <t>Allarme Dossena 2</t>
  </si>
  <si>
    <t>ALR_ELETTROVALVOLA_CHIUSA</t>
  </si>
  <si>
    <t>Allarme elettrovalvola antincendio chiusa</t>
  </si>
  <si>
    <t>ALR_ERRORE_ACCESSO</t>
  </si>
  <si>
    <t>Allarme errore accesso</t>
  </si>
  <si>
    <t>ventilatore</t>
  </si>
  <si>
    <t>ALR_ERRORE_COMUNICAZIONE_PERMANENTE</t>
  </si>
  <si>
    <t>Allarme Comunicazione Reverberi Permanente</t>
  </si>
  <si>
    <t>Centralina illuminazione</t>
  </si>
  <si>
    <t>ALR_ERRORE_COMUNICAZIONE_RINFORZO</t>
  </si>
  <si>
    <t>Allarme Comunicazione Reverberi Rinforzo</t>
  </si>
  <si>
    <t>ALR_ERRORE_ESTERNO</t>
  </si>
  <si>
    <t>Allarme errore esterno</t>
  </si>
  <si>
    <t>ALR_ERRORE_LOGICO</t>
  </si>
  <si>
    <t>Allarme errore logico</t>
  </si>
  <si>
    <t>Ventilatore bypass</t>
  </si>
  <si>
    <t>Serranda bypass</t>
  </si>
  <si>
    <t>ALR_ERRORE_MARCIA</t>
  </si>
  <si>
    <t>Allarme errore marcia ventilatore</t>
  </si>
  <si>
    <t>ALR_ESTERNO_02</t>
  </si>
  <si>
    <t xml:space="preserve">Allarme Esterno 02 </t>
  </si>
  <si>
    <t>ALR_FATTIBILITA_CMD_DA_CAMPO</t>
  </si>
  <si>
    <t>Allarme fattibilità comandi da campo</t>
  </si>
  <si>
    <t>ALR_FATTIBILITA_CMD_DA_SUPERVISIONE</t>
  </si>
  <si>
    <t>Allarme fattibilità comandi da supervisione</t>
  </si>
  <si>
    <t>ALR_FC</t>
  </si>
  <si>
    <t>Allarme freccia-croce</t>
  </si>
  <si>
    <t>ALR_FINECORSA_STACCO</t>
  </si>
  <si>
    <t>Allarme finecorsa stacco</t>
  </si>
  <si>
    <t>ALR_FLUSSOSTATO</t>
  </si>
  <si>
    <t>Allarme flussostato</t>
  </si>
  <si>
    <t>Flussostato</t>
  </si>
  <si>
    <t>ALR_FREQUENZA_IN_USCITA</t>
  </si>
  <si>
    <t>Allarme frequenza in uscita</t>
  </si>
  <si>
    <t>ALR_FUSIBILE_DA_QE</t>
  </si>
  <si>
    <t>Allarme fusibile da QE</t>
  </si>
  <si>
    <t>ALR_FUSIBILE_DA_TR</t>
  </si>
  <si>
    <t>Allarme fusibile da TR</t>
  </si>
  <si>
    <t>Quadro elettrico/Fusibile</t>
  </si>
  <si>
    <t>ALR_GE_SOVRACCARICO</t>
  </si>
  <si>
    <t>Allarme GE sovraccarico</t>
  </si>
  <si>
    <t>Impianto ventilazione</t>
  </si>
  <si>
    <t>Centrale VOIP</t>
  </si>
  <si>
    <t>Telecamera</t>
  </si>
  <si>
    <t>ALR_GENERALE_UPS_QCA</t>
  </si>
  <si>
    <t>Allarme generale UPS da QCA</t>
  </si>
  <si>
    <t>ALR_GUASTO_CENTRALINA_SENSORI</t>
  </si>
  <si>
    <t>Allarme guasto centralina sensori</t>
  </si>
  <si>
    <t>Centralina sensori qualità aria/AIR</t>
  </si>
  <si>
    <t>ALR_GUASTO_DRIVER</t>
  </si>
  <si>
    <t>Allarme guasto driver</t>
  </si>
  <si>
    <t>ALR_GUASTO_LAMPADE</t>
  </si>
  <si>
    <t>Allarme guasto lampade</t>
  </si>
  <si>
    <t>Impianto bypass</t>
  </si>
  <si>
    <t xml:space="preserve">Lampeggiante </t>
  </si>
  <si>
    <t>ALR_GUASTO_SIRENA</t>
  </si>
  <si>
    <t>Allarme guasto sirena</t>
  </si>
  <si>
    <t>ALR_GUASTO_TVCC</t>
  </si>
  <si>
    <t>Allarme guasto telecamera</t>
  </si>
  <si>
    <t>Impianto videosorveglianza</t>
  </si>
  <si>
    <t>TVCC generale</t>
  </si>
  <si>
    <t>ALR_GUASTO_VERSO_CE_NORD</t>
  </si>
  <si>
    <t>Allarme guasto dispositivo verso cabina nord</t>
  </si>
  <si>
    <t>ALR_GUASTO_VERSO_CE_SUD</t>
  </si>
  <si>
    <t>Allarme guasto dispositivo verso cabina sud</t>
  </si>
  <si>
    <t>ALR_INCENDIO_ALTRA_CANNA</t>
  </si>
  <si>
    <t>Allarme incendio altra canna</t>
  </si>
  <si>
    <t>ALR_INCENDIO_DA_FORZATURA</t>
  </si>
  <si>
    <t>Allarme incendio in galleria da forzatura</t>
  </si>
  <si>
    <t>Zona incendio</t>
  </si>
  <si>
    <t>ALR_INCENDIO_VENTILATORE</t>
  </si>
  <si>
    <t>Allarme incendio ventilatore</t>
  </si>
  <si>
    <t>ALR_INCIDENTE_CORSIA_NORD</t>
  </si>
  <si>
    <t xml:space="preserve">Allarme incidente corsia Nord </t>
  </si>
  <si>
    <t>ALR_INCIDENTE_CORSIA_SUD</t>
  </si>
  <si>
    <t xml:space="preserve">Allarme incidente corsia Sud </t>
  </si>
  <si>
    <t>ALR_INCIDENTE_DX</t>
  </si>
  <si>
    <t>Allarme incidente lato destro</t>
  </si>
  <si>
    <t>ALR_INCIDENTE_DX_QUADRI</t>
  </si>
  <si>
    <t>Allarme incidente lato destro quadri</t>
  </si>
  <si>
    <t>ALR_INCIDENTE_SX</t>
  </si>
  <si>
    <t>Allarme incidente lato sinistro</t>
  </si>
  <si>
    <t>ALR_INCIDENTE_SX_QUADRI</t>
  </si>
  <si>
    <t>Allarme incidente lato sinistro quadri</t>
  </si>
  <si>
    <t>ALR_INGR_ANALOGICO</t>
  </si>
  <si>
    <t>Allarme ingresso analogico</t>
  </si>
  <si>
    <t>ALR_INSERIMENTO_UNITA</t>
  </si>
  <si>
    <t>Allarme inserimento unità</t>
  </si>
  <si>
    <t>ALR_INT</t>
  </si>
  <si>
    <t xml:space="preserve">Allarme Interruttore </t>
  </si>
  <si>
    <t>ALR_INVERTER_GUASTO</t>
  </si>
  <si>
    <t>Allarme Inverter guasto</t>
  </si>
  <si>
    <t>ALR_LAVAGGIO_CASO_1_NORD</t>
  </si>
  <si>
    <t>Allarme lavaggio caso 1 Nord</t>
  </si>
  <si>
    <t>ALR_LAVAGGIO_CASO_1_SUD</t>
  </si>
  <si>
    <t>Allarme lavaggio caso 1 Sud</t>
  </si>
  <si>
    <t>ALR_LAVAGGIO_CASO_2_NORD</t>
  </si>
  <si>
    <t>Allarme lavaggio caso 2 Nord</t>
  </si>
  <si>
    <t>ALR_LAVAGGIO_CASO_2_SUD</t>
  </si>
  <si>
    <t>Allarme lavaggio caso 2 Sud</t>
  </si>
  <si>
    <t>ALR_LAVAGGIO_CASO_3_NORD</t>
  </si>
  <si>
    <t>Allarme lavaggio caso 3 Nord</t>
  </si>
  <si>
    <t>ALR_LAVAGGIO_CASO_3_SUD</t>
  </si>
  <si>
    <t>Allarme lavaggio caso 3 Sud</t>
  </si>
  <si>
    <t>ALR_LIVELLO_ACQUA_MINIMO</t>
  </si>
  <si>
    <t>Allarme livello acqua minimo</t>
  </si>
  <si>
    <t>ALR_LIVELLO_ACQUA_PIENO</t>
  </si>
  <si>
    <t>Allarme livello acqua pieno</t>
  </si>
  <si>
    <t>ALR_LOGICA_BLOCCATA</t>
  </si>
  <si>
    <t>Allarme logica bloccata</t>
  </si>
  <si>
    <t>ALR_MANCANZA_SEGNALE_VIDEO</t>
  </si>
  <si>
    <t>Allarme mancanza segnale video</t>
  </si>
  <si>
    <t>DVR</t>
  </si>
  <si>
    <t>Videosorveglianza generale</t>
  </si>
  <si>
    <t>ALR_MANCATA_APERTURA_INTERRUTTORE</t>
  </si>
  <si>
    <t>Allarme mancata apertura interruttore</t>
  </si>
  <si>
    <t>ALR_MANCATA_ATTIVAZIONE</t>
  </si>
  <si>
    <t>Allarme mancata attivazione</t>
  </si>
  <si>
    <t>Cavo scaldante</t>
  </si>
  <si>
    <t>Resistenza serbatoio</t>
  </si>
  <si>
    <t>ALR_MANCATA_ATTIVAZIONE_CE1</t>
  </si>
  <si>
    <t>Allarme mancata attivazione CE1</t>
  </si>
  <si>
    <t>ALR_MANCATA_ATTIVAZIONE_CE2</t>
  </si>
  <si>
    <t>Allarme mancata attivazione CE2</t>
  </si>
  <si>
    <t>ALR_MANCATA_CHIUSURA_INTERRUTTORE</t>
  </si>
  <si>
    <t>Allarme mancata interruttore</t>
  </si>
  <si>
    <t>ALR_MANCATA_DISATTIVAZIONE</t>
  </si>
  <si>
    <t>Allarme mancata disattivazione</t>
  </si>
  <si>
    <t>ALR_MANCATA_DISATTIVAZIONE_CE1</t>
  </si>
  <si>
    <t>Allarme mancata disattivazione CE1</t>
  </si>
  <si>
    <t>ALR_MANCATA_DISATTIVAZIONE_CE2</t>
  </si>
  <si>
    <t>Allarme mancata disattivazione CE2</t>
  </si>
  <si>
    <t>ALR_MANCATO_COMANDO_ACCENSIONE</t>
  </si>
  <si>
    <t>Allarme mancato comando accensione</t>
  </si>
  <si>
    <t>Crepuscolare</t>
  </si>
  <si>
    <t>Illuminazione permanente</t>
  </si>
  <si>
    <t>ALR_MANCATO_COMANDO_DIR_DX</t>
  </si>
  <si>
    <t>Allarme mancato comando dx</t>
  </si>
  <si>
    <t>ALR_MANCATO_COMANDO_DIR_SX</t>
  </si>
  <si>
    <t>Allarme mancato comando sx</t>
  </si>
  <si>
    <t>ALR_MANCATO_COMANDO_SPEGNIMENTO</t>
  </si>
  <si>
    <t>Allarme mancato comando spegnimento</t>
  </si>
  <si>
    <t>ALR_MANCATO_PRERISCALDO_GE</t>
  </si>
  <si>
    <t>Allarme mancato preriscaldo gruppo elettrogeno</t>
  </si>
  <si>
    <t>ALR_MASSIMA_CORRENTE</t>
  </si>
  <si>
    <t>Allarme corrente massima</t>
  </si>
  <si>
    <t>ALR_MAX_TENSIONE</t>
  </si>
  <si>
    <t>Allarme massima tensione</t>
  </si>
  <si>
    <t>ALR_MEMORIA</t>
  </si>
  <si>
    <t>Allarme memoria</t>
  </si>
  <si>
    <t>ALR_MEMORIA_113</t>
  </si>
  <si>
    <t>Allarme memoria 113</t>
  </si>
  <si>
    <t>ALR_MEMORIA_115</t>
  </si>
  <si>
    <t>Allarme memoria 115</t>
  </si>
  <si>
    <t>ALR_MEMORIA_118</t>
  </si>
  <si>
    <t>Allarme memoria 118</t>
  </si>
  <si>
    <t>ALR_MEMORIA_803116</t>
  </si>
  <si>
    <t>Allarme memoria SOS soccorso meccanico</t>
  </si>
  <si>
    <t>ALR_MEMORIA_CO</t>
  </si>
  <si>
    <t>Allarme memoria CO</t>
  </si>
  <si>
    <t>Sensore CO</t>
  </si>
  <si>
    <t>ALR_MEMORIA_ESTINTORE_2_ESTRATTO</t>
  </si>
  <si>
    <t>Allarme memoria estintore 2 estratto</t>
  </si>
  <si>
    <t>ALR_MEMORIA_ESTINTORE_ESTRATTO</t>
  </si>
  <si>
    <t>Allarme memoria estintore estratto</t>
  </si>
  <si>
    <t>ALR_MEMORIA_OP</t>
  </si>
  <si>
    <t>Allarme memoria OP</t>
  </si>
  <si>
    <t>Sensore OP</t>
  </si>
  <si>
    <t>ALR_MEMORIA_PORTA_MANICHETTA</t>
  </si>
  <si>
    <t>Allarme memoria porta manichetta aperta</t>
  </si>
  <si>
    <t>ALR_MEMORIA_PULSANTE_CHIAMATA_SOS</t>
  </si>
  <si>
    <t>Allarme memoria pulsante chiamata sos</t>
  </si>
  <si>
    <t>ALR_MEZZI_PESANTI_DX</t>
  </si>
  <si>
    <t>Allarme mezzi pesanti lato destro quadri</t>
  </si>
  <si>
    <t>ALR_MEZZI_PESANTI_DX_QUADRI</t>
  </si>
  <si>
    <t>Allarme mezzi pesanti lato destro</t>
  </si>
  <si>
    <t>ALR_MEZZI_PESANTI_SX</t>
  </si>
  <si>
    <t>Allarme mezzi pesanti lato sinistro quadri</t>
  </si>
  <si>
    <t>ALR_MEZZI_PESANTI_SX_QUADRI</t>
  </si>
  <si>
    <t>Allarme mezzi pesanti lato sinistro</t>
  </si>
  <si>
    <t>ALR_MINIMO_LIVELLO_ASPIRAZIONE</t>
  </si>
  <si>
    <t>Allarme Minimo Livello Aspirazione</t>
  </si>
  <si>
    <t>ALR_MISURA_METRICA</t>
  </si>
  <si>
    <t>Allarme Guasto Misura Metrica</t>
  </si>
  <si>
    <t>ALR_MOLLE_SCARICHE</t>
  </si>
  <si>
    <t>Allarme molle scariche</t>
  </si>
  <si>
    <t>ALR_NO</t>
  </si>
  <si>
    <t>Allarme guasto sensore NO</t>
  </si>
  <si>
    <t>Sensore CO/ventilazione generale</t>
  </si>
  <si>
    <t>ALR_NON_PRONTO</t>
  </si>
  <si>
    <t>Allarme dispositivo non pronto</t>
  </si>
  <si>
    <t>ALR_NON_RAGGIUNGIBILE</t>
  </si>
  <si>
    <t>Dispositivo non raggiungibile</t>
  </si>
  <si>
    <t>ALR_NUM_VENTILATORI_INSUFFICIENTI</t>
  </si>
  <si>
    <t>Allarme numero ventilatori insufficienti da avviare</t>
  </si>
  <si>
    <t>ALR_OGGETTO_DISPERSO_CORSIA_1</t>
  </si>
  <si>
    <t>Allarme oggetto disperso corsia di emergenza</t>
  </si>
  <si>
    <t>ALR_OGGETTO_DISPERSO_DIR_NORD</t>
  </si>
  <si>
    <t>Allarme oggetto disperso dir. nord</t>
  </si>
  <si>
    <t>ALR_OGGETTO_DISPERSO_DIR_SUD</t>
  </si>
  <si>
    <t>Allarme oggetto disperso dir. sud</t>
  </si>
  <si>
    <t>ALR_PEDONE_IN_PIAZZOLA_NORD</t>
  </si>
  <si>
    <t>Allarme pedone in piazzola nord</t>
  </si>
  <si>
    <t>ALR_PEDONE_IN_PIAZZOLA_SUD</t>
  </si>
  <si>
    <t>Allarme pedone in piazzola sud</t>
  </si>
  <si>
    <t>ALR_PERDITA_VIDEO_CORSIA_LENTA</t>
  </si>
  <si>
    <t>Allarme perdita video corsia lenta</t>
  </si>
  <si>
    <t>ALR_PICCHETTI</t>
  </si>
  <si>
    <t>Allarme picchetti</t>
  </si>
  <si>
    <t>ALR_PITTO</t>
  </si>
  <si>
    <t>Allarme pittogramma PMV</t>
  </si>
  <si>
    <t>Impianto PMV e FC</t>
  </si>
  <si>
    <t>PMV</t>
  </si>
  <si>
    <t>ALR_PMV</t>
  </si>
  <si>
    <t>Allarme pannello messaggio variabile</t>
  </si>
  <si>
    <t>Impianto canalizzazione</t>
  </si>
  <si>
    <t>PMV generale</t>
  </si>
  <si>
    <t>ALR_PORTA_APERTA_DX</t>
  </si>
  <si>
    <t>Allarme porta aperta dx</t>
  </si>
  <si>
    <t>ALR_PORTA_APERTA_SX</t>
  </si>
  <si>
    <t>Allarme porta aperta sx</t>
  </si>
  <si>
    <t>ALR_POSIZIONE_INCENDIO_SOPRA_SOGLIA</t>
  </si>
  <si>
    <t>Allarme posizione incendio sopra soglia</t>
  </si>
  <si>
    <t>ALR_POSIZIONE_INCENDIO_SOTTO_SOGLIA</t>
  </si>
  <si>
    <t>Allarme posizione incendio sotto soglia</t>
  </si>
  <si>
    <t>ALR_PREALLARME_VIBRAZIONe</t>
  </si>
  <si>
    <t>Preallarme vibrazione</t>
  </si>
  <si>
    <t>Allarme pressione</t>
  </si>
  <si>
    <t>ALR_PRESSURIZZAZIONE</t>
  </si>
  <si>
    <t>Allarme pressurizzazione</t>
  </si>
  <si>
    <t>ALR_PRIORITA_MICROFONO_ATTIVA</t>
  </si>
  <si>
    <t>Allarme priorità microfono attiva</t>
  </si>
  <si>
    <t>Centrale sonora</t>
  </si>
  <si>
    <t>ALR_PROTEZIONE_INTERVENUTA_POMPA</t>
  </si>
  <si>
    <t>Allarme protezione intervenuta pompa</t>
  </si>
  <si>
    <t>ALR_PULSANTE_ARRESTO</t>
  </si>
  <si>
    <t xml:space="preserve">Allarme Pulsante D'arresto </t>
  </si>
  <si>
    <t>ALR_QIG_SCATTATO_INT</t>
  </si>
  <si>
    <t>Allarme interruttore</t>
  </si>
  <si>
    <t>ALR_RICHIESTA_AVVIAMENTO_POMPE</t>
  </si>
  <si>
    <t>Allarme richiesta avviamento pompe</t>
  </si>
  <si>
    <t>PompaMotopompa</t>
  </si>
  <si>
    <t>ALR_RICHIESTA_SOCCORSO_DIR_NORD</t>
  </si>
  <si>
    <t>Allarme richiesta soccorso dir. nord</t>
  </si>
  <si>
    <t>ALR_RICHIESTA_SOCCORSO_DIR_NORD_1</t>
  </si>
  <si>
    <t>Allarme richiesta soccorso dir. nord bypass 1</t>
  </si>
  <si>
    <t>SOS bypass</t>
  </si>
  <si>
    <t>ALR_RICHIESTA_SOCCORSO_DIR_NORD_2</t>
  </si>
  <si>
    <t>Allarme richiesta soccorso dir. nord bypass 2</t>
  </si>
  <si>
    <t>ALR_RICHIESTA_SOCCORSO_DIR_NORD_3</t>
  </si>
  <si>
    <t>Allarme richiesta soccorso dir. nord bypass 3</t>
  </si>
  <si>
    <t>ALR_RICHIESTA_SOCCORSO_DIR_SUD</t>
  </si>
  <si>
    <t>Allarme richiesta soccorso dir. sud</t>
  </si>
  <si>
    <t>ALR_RICHIESTA_SOCCORSO_DIR_SUD_1</t>
  </si>
  <si>
    <t>Allarme richiesta soccorso dir. sud bypass 1</t>
  </si>
  <si>
    <t>ALR_RICHIESTA_SOCCORSO_DIR_SUD_2</t>
  </si>
  <si>
    <t>Allarme richiesta soccorso dir. sud bypass 2</t>
  </si>
  <si>
    <t>ALR_RICHIESTA_SOCCORSO_DIR_SUD_3</t>
  </si>
  <si>
    <t>Allarme richiesta soccorso dir. sud bypass 3</t>
  </si>
  <si>
    <t>ALR_RICHIESTO_AVVIO_POMPA_SOS</t>
  </si>
  <si>
    <t>Allarme richiesto avvio pompa SOS</t>
  </si>
  <si>
    <t>ALR_RIFASAMENTO_QUADRO</t>
  </si>
  <si>
    <t>Allarme rifasamento quadro</t>
  </si>
  <si>
    <t>GI-Elettrico-ANOMALIA</t>
  </si>
  <si>
    <t>GI -Quadro elettrico</t>
  </si>
  <si>
    <t>ALR_RILEVATORE</t>
  </si>
  <si>
    <t>Allarme rilevatore</t>
  </si>
  <si>
    <t>Centrale antintrusione</t>
  </si>
  <si>
    <t>ALR_RILEVATORE_2_IMP</t>
  </si>
  <si>
    <t>ALR_RISERVA_GRUPPO_ELETTROGENO</t>
  </si>
  <si>
    <t>Allarme Gruppo Elettrogeno in riserva</t>
  </si>
  <si>
    <t>ALR_RISERVA_IDRICA_POMPA_SOS</t>
  </si>
  <si>
    <t>Allarme riserva idrica pompa SOS</t>
  </si>
  <si>
    <t>ALR_SCALDIGLIA_MOTORE</t>
  </si>
  <si>
    <t>Allarme scaldiglia motore</t>
  </si>
  <si>
    <t>ALR_SCARICATORI_TENSIONE</t>
  </si>
  <si>
    <t>Scaricatori quadro</t>
  </si>
  <si>
    <t>ALR_SCARSA_VISIB_FUMO</t>
  </si>
  <si>
    <t>Allarme scarsa visibilità/fumo</t>
  </si>
  <si>
    <t>Telecamera bypass</t>
  </si>
  <si>
    <t>ALR_SEMAFORO_GIALLO_GUASTO</t>
  </si>
  <si>
    <t>Allarme semaforo giallo guasto</t>
  </si>
  <si>
    <t>ALR_SEMAFORO_ROSSO_GUASTO</t>
  </si>
  <si>
    <t>Allarme semaforo rosso guasto</t>
  </si>
  <si>
    <t>ALR_SEMAFORO_VERDE_GUASTO</t>
  </si>
  <si>
    <t>Allarme semaforo verde guasto</t>
  </si>
  <si>
    <t>ALR_SENSORE_RADAR</t>
  </si>
  <si>
    <t>Allarme sensore Radar</t>
  </si>
  <si>
    <t>Sensore radar</t>
  </si>
  <si>
    <t>ALR_SENSORE_SCOLLEGATO</t>
  </si>
  <si>
    <t>Allarme sensore scollegato</t>
  </si>
  <si>
    <t>Sonda luminanza</t>
  </si>
  <si>
    <t>ALR_SEQUENZA_FASE_ERRATA</t>
  </si>
  <si>
    <t>Allarme sequenza fase errata</t>
  </si>
  <si>
    <t>ALR_SERBATOIO_ACQUA_VUOTO</t>
  </si>
  <si>
    <t>Allarme serbatoio acqua vuoto</t>
  </si>
  <si>
    <t>ALR_SHUTDOWN_IMMINENTE</t>
  </si>
  <si>
    <t>Allarme shutdown imminente</t>
  </si>
  <si>
    <t>ALR_SHUTDOWN_IN_ATTESA</t>
  </si>
  <si>
    <t>Allarme shutdown in attesa</t>
  </si>
  <si>
    <t>ALR_SIMULATO_1</t>
  </si>
  <si>
    <t>Allarme simulato 1</t>
  </si>
  <si>
    <t>ALR_SIMULATO_2</t>
  </si>
  <si>
    <t>Allarme simulato 2</t>
  </si>
  <si>
    <t>ALR_SIMULATO_3</t>
  </si>
  <si>
    <t>Allarme simulato 3</t>
  </si>
  <si>
    <t>ALR_SIMULAZIONE</t>
  </si>
  <si>
    <t>Allarme simulazione</t>
  </si>
  <si>
    <t>ALR_SINCRONIZZAZIONE_PLC</t>
  </si>
  <si>
    <t>Allarme sincronizzazione PLC</t>
  </si>
  <si>
    <t>ALR_SOCCORRITORE</t>
  </si>
  <si>
    <t>Allarme soccorritore</t>
  </si>
  <si>
    <t>Gruppo soccorritore/UPS</t>
  </si>
  <si>
    <t>ALR_SONDA_ASSORBIMENTO</t>
  </si>
  <si>
    <t>Allarme sonda assorbimento</t>
  </si>
  <si>
    <t>ALR_SONDA_VIBRAZIONE</t>
  </si>
  <si>
    <t>Allarme sonda vibrazione</t>
  </si>
  <si>
    <t>ALR_SOSTITUZIONE_BATTERIA</t>
  </si>
  <si>
    <t>Allarme sostituzione batteria</t>
  </si>
  <si>
    <t>ALR_SOVRAPOTENZA_IN_INGRESSO</t>
  </si>
  <si>
    <t>Allarme sovrapotenza In Ingresso</t>
  </si>
  <si>
    <t>ALR_SOVRAVELOCITA_GE</t>
  </si>
  <si>
    <t>Allarme sovravelocità gruppo elettrogeno</t>
  </si>
  <si>
    <t>ALR_SPEGNIMENTO</t>
  </si>
  <si>
    <t>Allarme spegnimento</t>
  </si>
  <si>
    <t>ALR_SUPERAMENTO_SOGLIA_1</t>
  </si>
  <si>
    <t>Allarme superamento soglia 1</t>
  </si>
  <si>
    <t>ALR_SUPERAMENTO_SOGLIA_2</t>
  </si>
  <si>
    <t>Allarme superamento soglia 2</t>
  </si>
  <si>
    <t>ALR_SUPERAMENTO_SOGLIA_3</t>
  </si>
  <si>
    <t>Allarme superamento soglia 3</t>
  </si>
  <si>
    <t>ALR_SUPERAMENTO_SOGLIA_4</t>
  </si>
  <si>
    <t>Allarme superamento soglia 4</t>
  </si>
  <si>
    <t>ALR_SUPERAMENTO_SOGLIA_5</t>
  </si>
  <si>
    <t>Allarme superamento soglia 5</t>
  </si>
  <si>
    <t>ALR_SUPERAMENTO_SOGLIA_6</t>
  </si>
  <si>
    <t>Allarme superamento soglia 6</t>
  </si>
  <si>
    <t>Sensore NO/ventilazione generale</t>
  </si>
  <si>
    <t>ALR_SWITCH_PRIMARIO</t>
  </si>
  <si>
    <t>Allarme switch su primario</t>
  </si>
  <si>
    <t>ALR_TEMPERATURA_ALTA_REATTORE_PRINCIPALE</t>
  </si>
  <si>
    <t>Allarme alta temperatura reattore principale</t>
  </si>
  <si>
    <t>ALR_TEMPERATURA_ALTA_REATTORE_SERIE</t>
  </si>
  <si>
    <t>Allarme alta temperatura reattore serie</t>
  </si>
  <si>
    <t>ALR_TEMPERATURA_ALTA_SENSORE_TEMPERATURA</t>
  </si>
  <si>
    <t>Allarme alta temperatura Sensore di temperatura</t>
  </si>
  <si>
    <t>Sentore temperatura</t>
  </si>
  <si>
    <t>ALR_TEMPERATURA_PIASTRA</t>
  </si>
  <si>
    <t>Allarme sovratemperatura piastra</t>
  </si>
  <si>
    <t>ALR_TENSIONE_IN_INGRESSO</t>
  </si>
  <si>
    <t>Allarme stabilizzatore di tensione in ingresso</t>
  </si>
  <si>
    <t>ALR_TENSIONE_IN_USCITA</t>
  </si>
  <si>
    <t>Allarme stabilizzatore di tensione in uscita</t>
  </si>
  <si>
    <t>ALR_TERMICA</t>
  </si>
  <si>
    <t>Allarme termica</t>
  </si>
  <si>
    <t>ALR_TERMICO_VENTILATORE</t>
  </si>
  <si>
    <t>Allarme termico ventilatore</t>
  </si>
  <si>
    <t>ALR_TEST_FALLITO</t>
  </si>
  <si>
    <t>Allarme test fallito</t>
  </si>
  <si>
    <t>ALR_TIME_OUT_ASPIRAZIONE</t>
  </si>
  <si>
    <t>Allarme time-out aspirazione</t>
  </si>
  <si>
    <t>Centrale aspirazione</t>
  </si>
  <si>
    <t>ALR_TIME_OUT_IMMISSIONE</t>
  </si>
  <si>
    <t>Allarme time-out immissione</t>
  </si>
  <si>
    <t>ALR_TIMEOUT_INT_LINEA_2</t>
  </si>
  <si>
    <t>Allarme interruttore linea 2 aperto</t>
  </si>
  <si>
    <t>ALR_TIMEOUT_INT_LINEA-1</t>
  </si>
  <si>
    <t>Allarme interruttore linea 1 aperto</t>
  </si>
  <si>
    <t>ALR_TLC_CONTESTO</t>
  </si>
  <si>
    <t>Allarme telecamera di contesto</t>
  </si>
  <si>
    <t>Rilevatore contromano</t>
  </si>
  <si>
    <t>ALR_TLC_TERMICA</t>
  </si>
  <si>
    <t>Allarme telecamera Termica</t>
  </si>
  <si>
    <t>Telecamera termica</t>
  </si>
  <si>
    <t>ALR_TRIP_I</t>
  </si>
  <si>
    <t>Allarme Corrente</t>
  </si>
  <si>
    <t>ALR_TRIP_IE</t>
  </si>
  <si>
    <t>Allarme Corrente Nominale</t>
  </si>
  <si>
    <t>ALR_UPS_BLOCCATO</t>
  </si>
  <si>
    <t>Allarme ups bloccato</t>
  </si>
  <si>
    <t>ALR_UPS_IN_BATTERIA</t>
  </si>
  <si>
    <t>Allarme UPS in batteria</t>
  </si>
  <si>
    <t>ALR_UPS_IN_BYPASS</t>
  </si>
  <si>
    <t>Allarme UPS in bypass</t>
  </si>
  <si>
    <t>ALR_UPS_INVERTER_ATTIVO</t>
  </si>
  <si>
    <t>Allarme inverter Attivo</t>
  </si>
  <si>
    <t>ALR_UPS_SOVRA-CARICO_IN_INGRESSO</t>
  </si>
  <si>
    <t>Allarme UPS Inverter sovra carico in ingresso</t>
  </si>
  <si>
    <t>ALR_VENTILATORI_IN_AUMENTO</t>
  </si>
  <si>
    <t>Allarme ventilatori in aumento</t>
  </si>
  <si>
    <t>ALR_VENTILATORI_IN_DIMINIZIONE</t>
  </si>
  <si>
    <t>Allarme ventilatori in diminuzione</t>
  </si>
  <si>
    <t>ALR_VENTILATORI_STABILI</t>
  </si>
  <si>
    <t>Allarme ventilatori stabili</t>
  </si>
  <si>
    <t>ALR_VIBRA_BASAMENTO</t>
  </si>
  <si>
    <t>Allarme vibrazioni basamento</t>
  </si>
  <si>
    <t>ALR_VIBRA_CARCASSA</t>
  </si>
  <si>
    <t>Allarme vibrazioni carcassa</t>
  </si>
  <si>
    <t>ALR_VIBRAZIONE_CUSCINETTO</t>
  </si>
  <si>
    <t>Allarme vibrazione cuscinetto</t>
  </si>
  <si>
    <t>ALR-CUM-VENT-NORD</t>
  </si>
  <si>
    <t>Allarme cumulativo ventilatore Nord</t>
  </si>
  <si>
    <t>ALR-CUM-VENT-SUD</t>
  </si>
  <si>
    <t>Allarme cumulativo ventilatore Sud</t>
  </si>
  <si>
    <t>ANOMALIA_DISPOSITIVO_CE1</t>
  </si>
  <si>
    <t>Allarme dispositivo in errore CE1</t>
  </si>
  <si>
    <t>ANOMALIA_DISPOSITIVO_CE2</t>
  </si>
  <si>
    <t>Allarme dispositivo in errore CE2</t>
  </si>
  <si>
    <t>ANOMALIA_ILLUMINAZIONE_DIR_NORD</t>
  </si>
  <si>
    <t>Allarme anomalia illuminazione dir. nord</t>
  </si>
  <si>
    <t>Illuminazione bypass generale/emergenza</t>
  </si>
  <si>
    <t>ANOMALIA_ILLUMINAZIONE_DIR_NORD_1</t>
  </si>
  <si>
    <t>Allarme anomalia illuminazione dir. nord bypass 1</t>
  </si>
  <si>
    <t>ANOMALIA_ILLUMINAZIONE_DIR_NORD_2</t>
  </si>
  <si>
    <t>Allarme anomalia illuminazione dir. nord bypass 2</t>
  </si>
  <si>
    <t>ANOMALIA_ILLUMINAZIONE_DIR_NORD_3</t>
  </si>
  <si>
    <t>Allarme anomalia illuminazione dir. nord bypass 3</t>
  </si>
  <si>
    <t>ANOMALIA_ILLUMINAZIONE_DIR_SUD</t>
  </si>
  <si>
    <t>Allarme anomalia illuminazione dir. sud</t>
  </si>
  <si>
    <t>ANOMALIA_ILLUMINAZIONE_DIR_SUD_1</t>
  </si>
  <si>
    <t>Allarme anomalia illuminazione dir. sud bypass 1</t>
  </si>
  <si>
    <t>ANOMALIA_ILLUMINAZIONE_DIR_SUD_2</t>
  </si>
  <si>
    <t>Allarme anomalia illuminazione dir. sud bypass 2</t>
  </si>
  <si>
    <t>ANOMALIA_ILLUMINAZIONE_DIR_SUD_3</t>
  </si>
  <si>
    <t>Allarme anomalia illuminazione dir. sud bypass 3</t>
  </si>
  <si>
    <t>ANOMALIA_PLC</t>
  </si>
  <si>
    <t>Anomalia plc</t>
  </si>
  <si>
    <t>CAMERA_FAULT_DIR_NORD</t>
  </si>
  <si>
    <t>Allarme camera KO dir. nord</t>
  </si>
  <si>
    <t>CAMERA_FAULT_DIR_SUD</t>
  </si>
  <si>
    <t>Allarme camera KO dir. sud</t>
  </si>
  <si>
    <t>CODA_CORSIA_1</t>
  </si>
  <si>
    <t>Allarme coda in corsia di emergenza</t>
  </si>
  <si>
    <t>CODA_CORSIA_LENTA</t>
  </si>
  <si>
    <t>Allarme coda in corsia lenta</t>
  </si>
  <si>
    <t>CODA_CORSIA_MARCIA_NORD</t>
  </si>
  <si>
    <t>Allarme coda in corsia di marcia dir. nord</t>
  </si>
  <si>
    <t>CODA_CORSIA_MARCIA_SUD</t>
  </si>
  <si>
    <t>Allarme coda in corsia di marcia dir. sud</t>
  </si>
  <si>
    <t>CODA_CORSIA_SORPASSO_NORD</t>
  </si>
  <si>
    <t>Allarme coda in corsia di sorpasso dir. nord</t>
  </si>
  <si>
    <t>CODA_CORSIA_SORPASSO_SUD</t>
  </si>
  <si>
    <t>Allarme coda in corsia di sorpasso dir. sud</t>
  </si>
  <si>
    <t>FORTE_RALLENTAMENTO_CORSIA_LENTA</t>
  </si>
  <si>
    <t>Allarme forte rallentamento corsia lenta</t>
  </si>
  <si>
    <t>FORTE_RALLENTAMENTO_CORSIA_MARCIA_NORD</t>
  </si>
  <si>
    <t>Allarme forte rallentamento corsia di marcia nord</t>
  </si>
  <si>
    <t>FORTE_RALLENTAMENTO_CORSIA_MARCIA_SUD</t>
  </si>
  <si>
    <t>Allarme forte rallentamento corsia di marcia sud</t>
  </si>
  <si>
    <t>FUMO_CORSIA_LENTA</t>
  </si>
  <si>
    <t>Allarme fumo corsia lenta</t>
  </si>
  <si>
    <t>FUMO_DIR_NORD</t>
  </si>
  <si>
    <t>Allarme fumo dir. nord</t>
  </si>
  <si>
    <t>FUMO_DIR_SUD</t>
  </si>
  <si>
    <t>Allarme fumo dir. sud</t>
  </si>
  <si>
    <t>INCENDIO_CORSIA_1</t>
  </si>
  <si>
    <t>Allarme incendio corsia di emergenza</t>
  </si>
  <si>
    <t>INCENDIO_CORSIA_2</t>
  </si>
  <si>
    <t>Allarme incendio corsia di marcia</t>
  </si>
  <si>
    <t>INCENDIO_CORSIA_3</t>
  </si>
  <si>
    <t>Allarme incendio corsia veloce</t>
  </si>
  <si>
    <t>LIVELLO_ACQUA_TROPPO_PIENO</t>
  </si>
  <si>
    <t>Allarme livello acqua troppo pieno</t>
  </si>
  <si>
    <t>Serbatoio acqua/Vasca antincendio</t>
  </si>
  <si>
    <t>MANCATO_AVVIO_POMPA</t>
  </si>
  <si>
    <t>Allarme Mancato Avviamento pompa pilota</t>
  </si>
  <si>
    <t>MANCATO_AVVIO_POMPA_SOS</t>
  </si>
  <si>
    <t>Allarme mancato avvio pompa SOS</t>
  </si>
  <si>
    <t>MANOMISSIONE_DIR_NORD</t>
  </si>
  <si>
    <t>Allarme manomissione dir. nord</t>
  </si>
  <si>
    <t>MANOMISSIONE_DIR_SUD</t>
  </si>
  <si>
    <t>Allarme manomissione dir. sud</t>
  </si>
  <si>
    <t>MISURA_DIR_FAULT</t>
  </si>
  <si>
    <t>Allarme misurazione direzione fallita</t>
  </si>
  <si>
    <t>MISURA_FUORI_SOGLIA_CO_INFERIORE_SUPERATA_TRAFFICO_CONGESTIONATO_NORD</t>
  </si>
  <si>
    <t>Misura fuori soglia CO inferiore superata traffico congestionato Nord</t>
  </si>
  <si>
    <t>MISURA_FUORI_SOGLIA_CO_INFERIORE_SUPERATA_TRAFFICO_CONGESTIONATO_SUD</t>
  </si>
  <si>
    <t>Misura fuori soglia CO inferiore superata traffico congestionato Sud</t>
  </si>
  <si>
    <t>MISURA_FUORI_SOGLIA_CO_INFERIORE_SUPERATA_TRAFFICO_FLUIDO_NORD</t>
  </si>
  <si>
    <t>Misura fuori soglia CO inferiore superata traffico fluido Nord</t>
  </si>
  <si>
    <t>MISURA_FUORI_SOGLIA_CO_INFERIORE_SUPERATA_TRAFFICO_FLUIDO_SUD</t>
  </si>
  <si>
    <t>Misura fuori soglia CO inferiore superata traffico fluido Sud</t>
  </si>
  <si>
    <t>MISURA_FUORI_SOGLIA_NO_INFERIORE_SUPERATA_TRAFFICO_CONGESTIONATO_NORD</t>
  </si>
  <si>
    <t>Misura fuori soglia NO inferiore superata traffico congestionato Nord</t>
  </si>
  <si>
    <t>MISURA_FUORI_SOGLIA_NO_INFERIORE_SUPERATA_TRAFFICO_CONGESTIONATO_SUD</t>
  </si>
  <si>
    <t>Misura fuori soglia NO inferiore superata traffico congestionato Sud</t>
  </si>
  <si>
    <t>MISURA_FUORI_SOGLIA_NO_INFERIORE_SUPERATA_TRAFFICO_FLUIDO_NORD</t>
  </si>
  <si>
    <t>Misura fuori soglia NO inferiore superata traffico fluido Nord</t>
  </si>
  <si>
    <t>MISURA_FUORI_SOGLIA_OP_INFERIORE_SUPERATA_TRAFFICO_CONGESTIONATO_NORD</t>
  </si>
  <si>
    <t>Misura fuori soglia OP inferiore superata traffico congestionato Nord</t>
  </si>
  <si>
    <t>Sensore OP/ventilazione generale</t>
  </si>
  <si>
    <t>MISURA_FUORI_SOGLIA_OP_INFERIORE_SUPERATA_TRAFFICO_CONGESTIONATO_SUD</t>
  </si>
  <si>
    <t>Misura fuori soglia OP inferiore superata traffico congestionato Sud</t>
  </si>
  <si>
    <t>MISURA_FUORI_SOGLIA_OP_INFERIORE_SUPERATA_TRAFFICO_FLUIDO_NORD</t>
  </si>
  <si>
    <t>Misura fuori soglia OP inferiore superata traffico fluido Nord</t>
  </si>
  <si>
    <t>MISURA_FUORI_SOGLIA_OP_INFERIORE_SUPERATA_TRAFFICO_FLUIDO_SUD</t>
  </si>
  <si>
    <t>Misura fuori soglia OP inferiore superata traffico fluido Sud</t>
  </si>
  <si>
    <t>PEDONE_CORSIA_LENTA</t>
  </si>
  <si>
    <t>Allarme pedone corsia lenta</t>
  </si>
  <si>
    <t>PEDONE_CORSIA_MARCIA_NORD</t>
  </si>
  <si>
    <t>Allarme pedone corsia di marcia nord</t>
  </si>
  <si>
    <t>PEDONE_CORSIA_MARCIA_SUD</t>
  </si>
  <si>
    <t>Allarme pedone corsia di marcia sud</t>
  </si>
  <si>
    <t>PEDONE_DIR_NORD</t>
  </si>
  <si>
    <t>Allarme presenza pedone direzione Nord</t>
  </si>
  <si>
    <t>PEDONE_DIR_SUD</t>
  </si>
  <si>
    <t>Allarme presenza pedone direzione Sud</t>
  </si>
  <si>
    <t>PRE_ALLARME_INCENDIO_NORD</t>
  </si>
  <si>
    <t>Preallarme incendio direzione nord</t>
  </si>
  <si>
    <t>PRE_ALLARME_INCENDIO_SUD</t>
  </si>
  <si>
    <t>Preallarme incendio direzione sud</t>
  </si>
  <si>
    <t>PRE_ALR_CENTRALINA</t>
  </si>
  <si>
    <t>Preallarme centralina</t>
  </si>
  <si>
    <t>PREALLARME_CENTRALINA_FAULT</t>
  </si>
  <si>
    <t>Preallarme centralina termometrica trasformatore</t>
  </si>
  <si>
    <t>PREALLARME_VIBRA_BASAMENTO</t>
  </si>
  <si>
    <t>Preallarme vibrazioni basamento</t>
  </si>
  <si>
    <t>PREALLARME_VIBRA_CARCASSA</t>
  </si>
  <si>
    <t>Preallarme vibrazioni carcassa</t>
  </si>
  <si>
    <t>SCATTO_TERMICO_SCT</t>
  </si>
  <si>
    <t>QVVF</t>
  </si>
  <si>
    <t>SERRANDA_IN_APERTURA_MEDIA</t>
  </si>
  <si>
    <t>Allarme serranda in apertura media</t>
  </si>
  <si>
    <t>TELECAMERA_SPOSTATA</t>
  </si>
  <si>
    <t>Allarme telecamera spostata</t>
  </si>
  <si>
    <t>TELECAMERA_SPOSTATA_DIR_NORD</t>
  </si>
  <si>
    <t>Allarme telecamera spostata dir. Nord</t>
  </si>
  <si>
    <t>TELECAMERA_SPOSTATA_DIR_SUD</t>
  </si>
  <si>
    <t>Allarme telecamera spostata dir. Sud</t>
  </si>
  <si>
    <t>TRAFFICO_BLOCCATO_DIR_NORD</t>
  </si>
  <si>
    <t>Allarme traffico bloccato direzione Nord</t>
  </si>
  <si>
    <t>ventilazione generale/parametrizzazione soglie sensori</t>
  </si>
  <si>
    <t>TRAFFICO_BLOCCATO_DIR_SUD</t>
  </si>
  <si>
    <t>Allarme traffico bloccato direzione Sud</t>
  </si>
  <si>
    <t>VEICOLO_CONTROMANO_CORSIA_LENTA</t>
  </si>
  <si>
    <t>Allarme veicolo contromano corsia lenta</t>
  </si>
  <si>
    <t>VEICOLO_CONTROMANO_CORSIA_MARCIA_NORD</t>
  </si>
  <si>
    <t>Allarme veicolo contromano corsia di marcia nord</t>
  </si>
  <si>
    <t>VEICOLO_CONTROMANO_CORSIA_MARCIA_SUD</t>
  </si>
  <si>
    <t>Allarme veicolo contromano corsia di marcia sud</t>
  </si>
  <si>
    <t>VEICOLO_FERMO_CORSIA_LENTA</t>
  </si>
  <si>
    <t>Allarme veicolo fermo corsia lenta</t>
  </si>
  <si>
    <t>VEICOLO_FERMO_CORSIA_MARCIA_NORD</t>
  </si>
  <si>
    <t>Allarme veicolo fermo corsia di marcia nord</t>
  </si>
  <si>
    <t>VEICOLO_FERMO_CORSIA_MARCIA_SUD</t>
  </si>
  <si>
    <t>Allarme veicolo fermo corsia di marcia sud</t>
  </si>
  <si>
    <t>VEICOLO_FERMO_DIR_NORD</t>
  </si>
  <si>
    <t>Allarme Veicolo Fermo direzione Nord</t>
  </si>
  <si>
    <t>VEICOLO_FERMO_DIR_SUD</t>
  </si>
  <si>
    <t>Allarme Veicolo Fermo direzione Sud</t>
  </si>
  <si>
    <t>VEICOLO_LENTO</t>
  </si>
  <si>
    <t>Allarme veicolo lento</t>
  </si>
  <si>
    <t>VEICOLO_LENTO_CORSIA_MARCIA_NORD</t>
  </si>
  <si>
    <t>Allarme veicolo lento corsia di marcia nord</t>
  </si>
  <si>
    <t>VEICOLO_LENTO_CORSIA_MARCIA_SUD</t>
  </si>
  <si>
    <t>Allarme veicolo lento corsia di marcia sud</t>
  </si>
  <si>
    <t>AGR</t>
  </si>
  <si>
    <t>GALLERIA</t>
  </si>
  <si>
    <t>STRADA</t>
  </si>
  <si>
    <t>NOTE Sinelec al 09/08/2024</t>
  </si>
  <si>
    <t>NOTE Sinelec al 08/10/2024</t>
  </si>
  <si>
    <t>NOTE Sinelec al 21/10/2024</t>
  </si>
  <si>
    <t>Campania</t>
  </si>
  <si>
    <t>STARZE</t>
  </si>
  <si>
    <t>SS 18 VAR CILENTANA</t>
  </si>
  <si>
    <t>ALR_AVARIA_INGRESSI_DIGITALI_PLC</t>
  </si>
  <si>
    <t>Allarme avaria Scheda Ingressi Digitali PLC</t>
  </si>
  <si>
    <t>Nuovo inserimento classe allarme</t>
  </si>
  <si>
    <t>ALR_AVARIA_USCITE_DIGITALI_PLC</t>
  </si>
  <si>
    <t>Allarme avaria Scheda Uscite Digitali PLC</t>
  </si>
  <si>
    <t>Piemonte</t>
  </si>
  <si>
    <t>VERTA</t>
  </si>
  <si>
    <t>SS 229 DEL LAGO D'ORTA</t>
  </si>
  <si>
    <t>Nuova associazione classe-dispositivo</t>
  </si>
  <si>
    <t>ALR_AVVIAMENTO_IN_CORSO</t>
  </si>
  <si>
    <t>Allarme avviamento in corso</t>
  </si>
  <si>
    <t>ALR_ARRESTO_IN_CORSO</t>
  </si>
  <si>
    <t>Allarme arresto in corso</t>
  </si>
  <si>
    <t>ALR_FAULT_MODULO_1</t>
  </si>
  <si>
    <t>Allarme fault modulo 1</t>
  </si>
  <si>
    <t>ALR_FAULT_MODULO_2</t>
  </si>
  <si>
    <t>Allarme fault modulo 2</t>
  </si>
  <si>
    <t>ALR_FAULT_MODULO_3</t>
  </si>
  <si>
    <t>Allarme fault modulo 3</t>
  </si>
  <si>
    <t>ALR_FAULT_MODULO_4</t>
  </si>
  <si>
    <t>Allarme fault modulo 4</t>
  </si>
  <si>
    <t>ALR_FAULT_MODULO_5</t>
  </si>
  <si>
    <t>Allarme fault modulo 5</t>
  </si>
  <si>
    <t>ALR_FAULT_MODULO_6</t>
  </si>
  <si>
    <t>Allarme fault modulo 6</t>
  </si>
  <si>
    <t>ALR_FAULT_MODULO_7</t>
  </si>
  <si>
    <t>Allarme fault modulo 7</t>
  </si>
  <si>
    <t>ALR_FAULT_MODULO_8</t>
  </si>
  <si>
    <t>Allarme fault modulo 8</t>
  </si>
  <si>
    <t>ALR_FAULT_MODULO_9</t>
  </si>
  <si>
    <t>Allarme fault modulo 9</t>
  </si>
  <si>
    <t>ALR_CPU</t>
  </si>
  <si>
    <t>Allarme CPU</t>
  </si>
  <si>
    <t>ALR_SEZ_SCATTATO</t>
  </si>
  <si>
    <t>Allarme sezionatore scattato</t>
  </si>
  <si>
    <t>ALR-MULTI-FAULT</t>
  </si>
  <si>
    <t>Allarme multimetro fault</t>
  </si>
  <si>
    <t>CENTRALINA_TRIP_I</t>
  </si>
  <si>
    <t>Centralina trip</t>
  </si>
  <si>
    <t>CENTRALINA_TRIP</t>
  </si>
  <si>
    <t>CENTRALINA_TRIP_GRUPPO</t>
  </si>
  <si>
    <t>Centralina trip Gruppo</t>
  </si>
  <si>
    <t>A2</t>
  </si>
  <si>
    <t>SERRA SPIGA</t>
  </si>
  <si>
    <t>ALR_SURRISCALDAMENTO</t>
  </si>
  <si>
    <t>Allarme surriscaldamento</t>
  </si>
  <si>
    <t>ALR_FAULT_CORSIA_3</t>
  </si>
  <si>
    <t>Allarme fault corsia veloce</t>
  </si>
  <si>
    <t>ALR_FAULT_CORSIA_1</t>
  </si>
  <si>
    <t>Allarme fault corsia di emergenza</t>
  </si>
  <si>
    <t>ALR_FAULT_CORSIA_2</t>
  </si>
  <si>
    <t>Allarme fault corsia di marcia</t>
  </si>
  <si>
    <t>ALR_KO_CORSIA_1</t>
  </si>
  <si>
    <t>Allarme non attiva corsia di emergenza</t>
  </si>
  <si>
    <t>ALR_KO_CORSIA_2</t>
  </si>
  <si>
    <t>Allarme non attiva corsia di marcia</t>
  </si>
  <si>
    <t>ALR_KO_CORSIA_3</t>
  </si>
  <si>
    <t>Allarme non attiva corsia veloce</t>
  </si>
  <si>
    <t>ALR-SLOT-1</t>
  </si>
  <si>
    <t>Allarme Slot 1</t>
  </si>
  <si>
    <t>ALR-SLOT-2</t>
  </si>
  <si>
    <t>Allarme Slot 2</t>
  </si>
  <si>
    <t>ALR-SLOT-3</t>
  </si>
  <si>
    <t>Allarme Slot 3</t>
  </si>
  <si>
    <t>ALR_COMUNICAZIONE_MODULO</t>
  </si>
  <si>
    <t>Allarme comunicazione modulo</t>
  </si>
  <si>
    <t>INCENDIO_IN_GALLERIA_DA_TLC_NORD</t>
  </si>
  <si>
    <t>Allarme incendio in galleria da TLC Nord</t>
  </si>
  <si>
    <t>INCENDIO_IN_GALLERIA_DA_TLC_SUD</t>
  </si>
  <si>
    <t>Allarme incendio in galleria da TLC Sud</t>
  </si>
  <si>
    <t>Lazio</t>
  </si>
  <si>
    <t>SANT'ANGELO E SAN QUIRICO</t>
  </si>
  <si>
    <t>SS4</t>
  </si>
  <si>
    <t>ALR_COMUNICAZIONE_PORTA_1</t>
  </si>
  <si>
    <t>Allarme comunicazione porta 1</t>
  </si>
  <si>
    <t>ALR_COMUNICAZIONE_PORTA_2</t>
  </si>
  <si>
    <t>Allarme comunicazione porta 2</t>
  </si>
  <si>
    <t>ALR_COMUNICAZIONE_PORTA_3</t>
  </si>
  <si>
    <t>Allarme comunicazione porta 3</t>
  </si>
  <si>
    <t>Emilia Romagna</t>
  </si>
  <si>
    <t>MONTECORONARO</t>
  </si>
  <si>
    <t>SS 3 BIS</t>
  </si>
  <si>
    <t>ALR_ROTTURA_CAVO_2</t>
  </si>
  <si>
    <t>Allarme rottura cavo termosensibile 2</t>
  </si>
  <si>
    <t>Centralina fibrolaser</t>
  </si>
  <si>
    <t>ALR_GUASTO_FIBRA_2</t>
  </si>
  <si>
    <t>Allarme guasto fibra 2</t>
  </si>
  <si>
    <t>ALLARME_PRESSIONE</t>
  </si>
  <si>
    <t>Splitter</t>
  </si>
  <si>
    <t>ALR_DISPOSITIVO_BLOCCATO</t>
  </si>
  <si>
    <r>
      <t>Allarme di</t>
    </r>
    <r>
      <rPr>
        <b/>
        <sz val="11"/>
        <color rgb="FFFF0000"/>
        <rFont val="Calibri"/>
        <family val="2"/>
        <scheme val="minor"/>
      </rPr>
      <t>s</t>
    </r>
    <r>
      <rPr>
        <b/>
        <sz val="11"/>
        <rFont val="Calibri"/>
        <family val="2"/>
        <scheme val="minor"/>
      </rPr>
      <t>positivo bloccato/non disponibile</t>
    </r>
  </si>
  <si>
    <t>Serranda/Ventilatore</t>
  </si>
  <si>
    <t>Cosenza</t>
  </si>
  <si>
    <t>MONACO</t>
  </si>
  <si>
    <t>ALR_GALLEGGIANTE_VANO_TECNICO</t>
  </si>
  <si>
    <t>Chiusura Allarme galleggiante vano tecnico</t>
  </si>
  <si>
    <t>PARCO DELLA REGGIA</t>
  </si>
  <si>
    <t>SS700</t>
  </si>
  <si>
    <t>ALR_MALFUNZIONAMENTO</t>
  </si>
  <si>
    <t>Allarme malfunzionamento</t>
  </si>
  <si>
    <t>Centralina sensori qualità aria</t>
  </si>
  <si>
    <t>ALR_TIMEOUT_LUCE_GIALLA_LAMPEGGIANTE</t>
  </si>
  <si>
    <t>Allarme timeout semaforo luce gialla lampeggiante</t>
  </si>
  <si>
    <t>-</t>
  </si>
  <si>
    <t>CONGESTION</t>
  </si>
  <si>
    <t>Coda da tempi di percorrenza</t>
  </si>
  <si>
    <t>SLOWDOWN</t>
  </si>
  <si>
    <t>RALLENTAMENTO DA TEMPI DI PERCORRENZA</t>
  </si>
  <si>
    <t>Cillarese</t>
  </si>
  <si>
    <t>ALR_INTRUSIONE_NORD</t>
  </si>
  <si>
    <t>Allarme intrusione in cabina lato Nord</t>
  </si>
  <si>
    <t>ALR_INTRUSIONE_SUD</t>
  </si>
  <si>
    <t>Allarme intrusione in cabina lato Sud</t>
  </si>
  <si>
    <t>ALR_INT_SCATTATO_VALLE</t>
  </si>
  <si>
    <t>Allarme interruttore a valle scattato</t>
  </si>
  <si>
    <t>Regoaltore</t>
  </si>
  <si>
    <t>ALR_INT_SCATTATO_MONTE</t>
  </si>
  <si>
    <t>Allarme interruttore a monte scattato</t>
  </si>
  <si>
    <t>Cardona,Vittoria,Montegiordano</t>
  </si>
  <si>
    <t>SS 106 VAR</t>
  </si>
  <si>
    <t>Nuova associazione FILE PROCEDURA (classe-dispositivo)</t>
  </si>
  <si>
    <t>Vittoria</t>
  </si>
  <si>
    <t xml:space="preserve">SS 106 VAR VARIANTE DI MONTE GIORDANO </t>
  </si>
  <si>
    <t>ALR_UPS_ATTIVO</t>
  </si>
  <si>
    <t>Allarme UPS Attivo</t>
  </si>
  <si>
    <t>Nuovo inserimento IRIS prod/quality</t>
  </si>
  <si>
    <t>Cardona</t>
  </si>
  <si>
    <t>ALR_AVARIA_CENTRALINA_2_ANTINCENDIO</t>
  </si>
  <si>
    <t>Allarme avaria centralina 2 incendio</t>
  </si>
  <si>
    <t>ALR_GUASTO_CRI_MARCIA</t>
  </si>
  <si>
    <t>Allarme guasto CRI marcia</t>
  </si>
  <si>
    <t>ALR_GUASTO_CRI_SORPASSO</t>
  </si>
  <si>
    <t>Allarme guasto CRI sorpasso</t>
  </si>
  <si>
    <t>Perugia</t>
  </si>
  <si>
    <t>Le Silve 1, Le Silve 2</t>
  </si>
  <si>
    <t>SS76</t>
  </si>
  <si>
    <t>ALR_TRIP_PROTEZIONE_I1</t>
  </si>
  <si>
    <t>Allarme trip Protezione I1</t>
  </si>
  <si>
    <t>Multimetro/SEPAM</t>
  </si>
  <si>
    <t>ALR_TRIP_PROTEZIONE_I2</t>
  </si>
  <si>
    <t>Allarme trip Protezione I2</t>
  </si>
  <si>
    <t>ALR_TRIP_PROTEZIONE_I3</t>
  </si>
  <si>
    <t>Allarme trip Protezione I3</t>
  </si>
  <si>
    <t>Centralina ril. Incendio</t>
  </si>
  <si>
    <t>ALR_TEMPERATURA_BASSA_DA_QUADRO</t>
  </si>
  <si>
    <t>Allarme temperatura bassa da Quadro</t>
  </si>
  <si>
    <t>MACRO CATEGORIE</t>
  </si>
  <si>
    <t>CATEGORIE</t>
  </si>
  <si>
    <t>DESCRIZIONE CATEGORIE</t>
  </si>
  <si>
    <t>FUNZIONAMENTO</t>
  </si>
  <si>
    <t>Rilevazione di Allagamento attraverso l'attivazione di sonde e sensori che hanno generato l'attivazione dell'allarme</t>
  </si>
  <si>
    <t>Rilevazione dell'avvio dell'Antincendio attraverso l'attivazione di pompe varie che hanno generato l'attivazione dell'allarme</t>
  </si>
  <si>
    <t>Rilevazione dell'avvio di uno o più componenti del bypass che hanno generato l'allarme</t>
  </si>
  <si>
    <t>Rilevazione di apertura di porte/serrande di Bypass che hanno generato l'attivazione dell'allarme</t>
  </si>
  <si>
    <t>Rilevazione attraverso vari dispositivi dell'itrusione/manomissione in Cabina Elettrica che ha generato l'attivazione dell'allarme</t>
  </si>
  <si>
    <t>Rilevazione di Cambio Corsia attraverso analisi video che ha generato l'attivazione dell'allarme</t>
  </si>
  <si>
    <t>Rilevazione dell'attivazione del Rotocarrello in caso di incidente che ha generato l'attivazione dell'allarme</t>
  </si>
  <si>
    <t>Rilevazione di Coda attraverso analisi video che ha generato l'attivazione dell'allarme</t>
  </si>
  <si>
    <t>Rilevazione di errori logici del PLC dell'Impianto Rete dati che ha generato l'attivazione dell'allarme</t>
  </si>
  <si>
    <t>Rilevazione di Fumo attraverso analisi video che ha generato l'attivazione dell'allarme</t>
  </si>
  <si>
    <t>Rilevazione dell'avvio del Gruppo elettrogeno dell'impianto elettrico che ha generato l'attivazione dell'allarme</t>
  </si>
  <si>
    <t>Rilevazione del superamento soglie Idrometriche attraverso l'attivazione di sensori che ha generato l'attivazione dell'allarme</t>
  </si>
  <si>
    <t>Rilevazione dell'attivazione del microfono dell'impianto radio che ha generato l'attivazione dell'allarme</t>
  </si>
  <si>
    <t>Rilevazione di un incendio attraverso la Centralina/Fibrolaser che ha generato l'attivazione dell'allarme</t>
  </si>
  <si>
    <t>Rilevazioni di inquinamento in galleria attraverso i sensori OP-AN-CO-NO della qualità dell'aria che hanno generato l'attivazione dell'allarme</t>
  </si>
  <si>
    <t>Rilevazione dello scatto dell'interruttore generale dell'Impianto elettrico che ha generato l'attivazione dell'allarme</t>
  </si>
  <si>
    <t>Rilevazione di precipitazioni metereologiche attraverso analisi video che ha generato l'attivazione dell'allarme</t>
  </si>
  <si>
    <t>Rilevazione di un Oggetto Disperso attraverso analisi video che ha generato l'attivazione dell'allarme</t>
  </si>
  <si>
    <t>Rilevazione di un Pedone attraverso analisi video che ha generato l'attivazione dell'allarme</t>
  </si>
  <si>
    <t>Rilevazione di un possibile incendio attraverso sensori qualità aria/centralina rilevazione incendio/fibrolaser che hanno generato l'attivazione del Pre-allarme</t>
  </si>
  <si>
    <t>Rilevazione di Rallentamento attraverso analisi video che ha generato l'attivazione dell'allarme</t>
  </si>
  <si>
    <t>Rilevazione possibili richieste di Soccorso SOS attraverso colonnine SOS o altri dispositivi che hanno generato l'attivazione dell'allarme</t>
  </si>
  <si>
    <t>Rilevazioni del superamento delle soglie attraverso i sensori OP-AN-CO-NO della qualità dell'aria che hanno generato l'attivazione dell'allarme</t>
  </si>
  <si>
    <t>Rilevazione di un cambio inquadratura della telecamera che ha generato l'attivazione dell'allarme</t>
  </si>
  <si>
    <t>Rilevazione di un veicolo contromano attraverso analisi video che ha generato l'attivazione dell'allarme</t>
  </si>
  <si>
    <t>Rilevazione di un veicolo fermo attraverso analisi videoche ha generato l'attivazione dell'allarme</t>
  </si>
  <si>
    <t>Rilevazione di un veicolo lento attraverso analisi video che ha generato l'attivazione dell'allarme</t>
  </si>
  <si>
    <r>
      <t xml:space="preserve">Rilevazione di un </t>
    </r>
    <r>
      <rPr>
        <sz val="11"/>
        <color rgb="FF000000"/>
        <rFont val="Calibri"/>
        <family val="2"/>
        <scheme val="minor"/>
      </rPr>
      <t>veicolo veloce</t>
    </r>
    <r>
      <rPr>
        <sz val="11"/>
        <color indexed="8"/>
        <rFont val="Calibri"/>
        <family val="2"/>
        <scheme val="minor"/>
      </rPr>
      <t xml:space="preserve"> attraverso analisi video che ha generato l'attivazione dell'allarme</t>
    </r>
  </si>
  <si>
    <t>Rilevazione di attivazione di processi di funzionamento dell'mpianto di ventilazione (Es. lavaggio) che hanno generato l'attivazione di allarmi</t>
  </si>
  <si>
    <t>ANOMALIE TECNICHE / MALFUNZIONAMENTI</t>
  </si>
  <si>
    <t>Anomalia tecnica/malfunzionamento di uno o più componenti dell'impianto di Allagamento</t>
  </si>
  <si>
    <t>Anomalia tecnica/malfunzionamento di uno o più componenti dell'impianto Antincendio</t>
  </si>
  <si>
    <t>Anomalia tecnica/malfunzionamento di uno o più componenti dell'impianto Bypass</t>
  </si>
  <si>
    <t>Anomalia tecnica/malfunzionamento di uno o più componenti dell'impianto Cabina Elettrica</t>
  </si>
  <si>
    <t>Anomalia tecnica/malfunzionamento di uno o più componenti dell'impianto Canalizzazione</t>
  </si>
  <si>
    <t>Anomalia tecnica/malfunzionamento di uno o più componenti dell'impianto Cantieri IoT</t>
  </si>
  <si>
    <t>Anomalia tecnica/malfunzionamento di uno o più componenti dell'impianto Elettrico delle GI</t>
  </si>
  <si>
    <t>Anomalia tecnica/malfunzionamento di uno o più componenti dell'impianto di Illuminazione</t>
  </si>
  <si>
    <t>Anomalia tecnica/malfunzionamento di uno o più componenti dell'impianto Elettrico</t>
  </si>
  <si>
    <t>Anomalia tecnica/malfunzionamento di uno o più componenti dell'impianto Radio</t>
  </si>
  <si>
    <t>Anomalia tecnica/malfunzionamento di uno o più componenti dell'impianto Rete Dati</t>
  </si>
  <si>
    <t>Anomalia tecnica/malfunzionamento di uno o più componenti dell'impianto Rilevazione Incendio</t>
  </si>
  <si>
    <t>Anomalia tecnica/malfunzionamento di uno o più componenti dell'impianto SOS</t>
  </si>
  <si>
    <t>Anomalia tecnica/malfunzionamento di uno o più componenti dei Pozzetti Tecnologici dell'Impianto Smart Road</t>
  </si>
  <si>
    <t>Anomalia tecnica/malfunzionamento di uno o più componenti dei Regolatori dell'Impianto Smart Road</t>
  </si>
  <si>
    <t>Anomalia tecnica/malfunzionamento di uno o più componenti dell'impianto Ventilazione</t>
  </si>
  <si>
    <t>Anomalia tecnica/malfunzionamento di uno o più componenti dell'impianto Videosorveglianza</t>
  </si>
  <si>
    <t>dispo+nome+descrizione</t>
  </si>
  <si>
    <t>check con rev4</t>
  </si>
  <si>
    <t>Duplicato- veri riga 584</t>
  </si>
  <si>
    <t>Duplicato- veri riga 587</t>
  </si>
  <si>
    <t>Duplicato - vedi riga 590</t>
  </si>
  <si>
    <t>Duplicato - vedi riga 591</t>
  </si>
  <si>
    <t>Duplicato - vedi riga 641</t>
  </si>
  <si>
    <t>Duplicato - vedi riga 697</t>
  </si>
  <si>
    <t>Duplicato - vedi riga 698</t>
  </si>
  <si>
    <t>Duplicato - vedi riga 848</t>
  </si>
  <si>
    <t>Duplicato - vedi riga 853</t>
  </si>
  <si>
    <t>Duplicato - vedi riga 863</t>
  </si>
  <si>
    <t>Duplicato - vedi riga 988</t>
  </si>
  <si>
    <t>AGGIUNTE</t>
  </si>
  <si>
    <r>
      <rPr>
        <sz val="11"/>
        <rFont val="Calibri"/>
        <family val="2"/>
        <scheme val="minor"/>
      </rPr>
      <t>AGGIUNTE</t>
    </r>
    <r>
      <rPr>
        <sz val="11"/>
        <color rgb="FFFF0000"/>
        <rFont val="Calibri"/>
        <family val="2"/>
        <scheme val="minor"/>
      </rPr>
      <t xml:space="preserve"> Duplicato eliminare come da mail Anas  - vedi riga1080</t>
    </r>
  </si>
  <si>
    <r>
      <rPr>
        <sz val="11"/>
        <rFont val="Calibri"/>
        <family val="2"/>
        <scheme val="minor"/>
      </rPr>
      <t xml:space="preserve">AGGIUNTE </t>
    </r>
    <r>
      <rPr>
        <sz val="11"/>
        <color rgb="FFFF0000"/>
        <rFont val="Calibri"/>
        <family val="2"/>
        <scheme val="minor"/>
      </rPr>
      <t>Duplicato - vedi riga 1081</t>
    </r>
  </si>
  <si>
    <t>ALR_PRESENZA_OLIO</t>
  </si>
  <si>
    <t>Allarme presenza olio</t>
  </si>
  <si>
    <t xml:space="preserve">Impianto antincendio </t>
  </si>
  <si>
    <t>Disoleatore/pompa/motopompa/elettropompa/valvola</t>
  </si>
  <si>
    <t>AGGIUNTE_OTTOBRE</t>
  </si>
  <si>
    <t>MISURA_FUORI_SOGLIA_CO_TRAFFICO_BLOCCATO_SUD</t>
  </si>
  <si>
    <t>Misura fuori soglia CO traffico bloccato Sud</t>
  </si>
  <si>
    <t>impianto ventilazione</t>
  </si>
  <si>
    <t>Paramtetri ventilazione generale</t>
  </si>
  <si>
    <t>MISURA_FUORI_SOGLIA_CO_TRAFFICO_CONGESTIONATO_SUD</t>
  </si>
  <si>
    <t>Misura fuori soglia CO traffico congestionato Sud</t>
  </si>
  <si>
    <t>MISURA_FUORI_SOGLIA_CO_TRAFFICO_FLUIDO_SUD</t>
  </si>
  <si>
    <t>Misura fuori soglia CO traffico fluido Sud</t>
  </si>
  <si>
    <t>MISURA_FUORI_SOGLIA_OP_TRAFFICO_BLOCCATO_SUD</t>
  </si>
  <si>
    <t>Misura fuori soglia OP traffico bloccato Sud</t>
  </si>
  <si>
    <t>MISURA_FUORI_SOGLIA_OP_TRAFFICO_CONGESTIONATO_SUD</t>
  </si>
  <si>
    <t>Misura fuori soglia OP traffico congestionato Sud</t>
  </si>
  <si>
    <t>MISURA_FUORI_SOGLIA_OP_TRAFFICO_FLUIDO_SUD</t>
  </si>
  <si>
    <t>Misura fuori soglia OP traffico fluido Sud</t>
  </si>
  <si>
    <t>MISURA_FUORI_SOGLIA_CO_TRAFFICO_BLOCCATO_NORD</t>
  </si>
  <si>
    <t>Misura fuori soglia CO traffico bloccato Nord</t>
  </si>
  <si>
    <t>MISURA_FUORI_SOGLIA_CO_TRAFFICO_CONGESTIONATO_NORD</t>
  </si>
  <si>
    <t>Misura fuori soglia CO traffico congestionato Nord</t>
  </si>
  <si>
    <t>MISURA_FUORI_SOGLIA_CO_TRAFFICO_FLUIDO_NORD</t>
  </si>
  <si>
    <t>Misura fuori soglia CO traffico fluido Nord</t>
  </si>
  <si>
    <t>MISURA_FUORI_SOGLIA_OP_TRAFFICO_BLOCCATO_NORD</t>
  </si>
  <si>
    <t>Misura fuori soglia OP traffico bloccato Nord</t>
  </si>
  <si>
    <t>MISURA_FUORI_SOGLIA_OP_TRAFFICO_CONGESTIONATO_NORD</t>
  </si>
  <si>
    <t>Misura fuori soglia OP traffico congestionato Nord</t>
  </si>
  <si>
    <t>MISURA_FUORI_SOGLIA_OP_TRAFFICO_FLUIDO_NORD</t>
  </si>
  <si>
    <t>Misura fuori soglia OP traffico fluido Nord</t>
  </si>
  <si>
    <t>ALR_INCONGRUENZA_AN_NORD</t>
  </si>
  <si>
    <t>Allarme anemometro Nord incongruente</t>
  </si>
  <si>
    <t>Anemometro generale</t>
  </si>
  <si>
    <t>Amministratore,superadmin,Responsabile impianti,Controller impianti</t>
  </si>
  <si>
    <t>ALR_INCONGRUENZA_AN_SUD</t>
  </si>
  <si>
    <t>Allarme anemometro Sud incongruente</t>
  </si>
  <si>
    <t>ALR_CAVO_TERMOSENSIBILE_NORD</t>
  </si>
  <si>
    <t>Allarme guasto cavo termosensibile Nord</t>
  </si>
  <si>
    <t>Nuovo inserimento</t>
  </si>
  <si>
    <t>Santa Maria, Tiriolello, Bellino</t>
  </si>
  <si>
    <t>ALR_CAVO_TERMOSENSIBILE_SUD</t>
  </si>
  <si>
    <t>Allarme guasto cavo termosensibile Sud</t>
  </si>
  <si>
    <t>ALR_FURTO_CAVI</t>
  </si>
  <si>
    <t>Allarme furto cavi</t>
  </si>
  <si>
    <t>ALR_GAS</t>
  </si>
  <si>
    <t>Allarme GAS</t>
  </si>
  <si>
    <t>Centralina ril incendio cabina</t>
  </si>
  <si>
    <t>BELLINO</t>
  </si>
  <si>
    <t>ALR-SLOT-4</t>
  </si>
  <si>
    <t>Allarme Slot 4</t>
  </si>
  <si>
    <t>DERUITATE E SCARGILELLE</t>
  </si>
  <si>
    <t>ALR-SLOT-5</t>
  </si>
  <si>
    <t>Allarme Slot 5</t>
  </si>
  <si>
    <t>ALR-SLOT-6</t>
  </si>
  <si>
    <t>Allarme Slot 6</t>
  </si>
  <si>
    <t>ALR-SLOT-7</t>
  </si>
  <si>
    <t>Allarme Slot 7</t>
  </si>
  <si>
    <t>ALR-SLOT-8</t>
  </si>
  <si>
    <t>Allarme Slot 8</t>
  </si>
  <si>
    <t>ALR-SLOT-9</t>
  </si>
  <si>
    <t>Allarme Slot 9</t>
  </si>
  <si>
    <t>ALR-SLOT-10</t>
  </si>
  <si>
    <t>Allarme Slot 10</t>
  </si>
  <si>
    <t>ALR-SLOT-11</t>
  </si>
  <si>
    <t>Allarme Slot 11</t>
  </si>
  <si>
    <t>ALR-SLOT-12</t>
  </si>
  <si>
    <t>Allarme Slot 12</t>
  </si>
  <si>
    <t>ALR-SLOT-0</t>
  </si>
  <si>
    <t>Allarme Slot 0</t>
  </si>
  <si>
    <t>ALR_MANCATA_ACCENSIONE_LUCE_GIALLA</t>
  </si>
  <si>
    <t>Allarme mancata accensione luce gialla</t>
  </si>
  <si>
    <t>ALR_MANCATA_ACCENSIONE_LUCE_ROSSA</t>
  </si>
  <si>
    <t>Allarme mancata accensione luce rossa</t>
  </si>
  <si>
    <t>ALR_MANCATA_ACCENSIONE_LUCE_VERDE</t>
  </si>
  <si>
    <t>Allarme mancata accensione luce verde</t>
  </si>
  <si>
    <t>ALR_RIFASAMENTO_QUADRO_2</t>
  </si>
  <si>
    <t>Allarme rifasamento quadro_2</t>
  </si>
  <si>
    <t>Nuova associazione</t>
  </si>
  <si>
    <t>ALR_GUASTO_TIPO1_2_IMP</t>
  </si>
  <si>
    <t>Allarme guasto tipo 1 dispositivo</t>
  </si>
  <si>
    <t>Sansinato</t>
  </si>
  <si>
    <t>ALR_GUASTO_TIPO2_2_IMP</t>
  </si>
  <si>
    <t>Allarme guasto tipo 2 dispositivo</t>
  </si>
  <si>
    <t>ALR_GUASTO_TIPO3_2_IMP</t>
  </si>
  <si>
    <t>Allarme guasto tipo 3 dispositivo</t>
  </si>
  <si>
    <t>Nuove classi/associazioni da condividerecon Anas</t>
  </si>
  <si>
    <t>Modifiche ortografiche</t>
  </si>
  <si>
    <t>N/D</t>
  </si>
  <si>
    <t>ok, correzioni fatte</t>
  </si>
  <si>
    <t>record aggiunti versioni precedentemente condivise</t>
  </si>
  <si>
    <t>nome+descr.</t>
  </si>
  <si>
    <t>A</t>
  </si>
  <si>
    <t>NOME</t>
  </si>
  <si>
    <t>DESCRIZIONE</t>
  </si>
  <si>
    <t>TIPOLOGIA</t>
  </si>
  <si>
    <t>CODICE CLASSE</t>
  </si>
  <si>
    <t>CATEGORIA</t>
  </si>
  <si>
    <t>CHIUSURA TEMPORALE</t>
  </si>
  <si>
    <t>PRIORITÀ</t>
  </si>
  <si>
    <t>COLORE</t>
  </si>
  <si>
    <t>ABILITAZIONE SUONO</t>
  </si>
  <si>
    <t>TAG</t>
  </si>
  <si>
    <t>RUOLI DISPONIBILI</t>
  </si>
  <si>
    <t>ID PROCEDURA</t>
  </si>
  <si>
    <t>ABILITATO</t>
  </si>
  <si>
    <t>Root</t>
  </si>
  <si>
    <t>ALARM</t>
  </si>
  <si>
    <t>/</t>
  </si>
  <si>
    <t>--:--</t>
  </si>
  <si>
    <t>#FFFFFF</t>
  </si>
  <si>
    <t>No</t>
  </si>
  <si>
    <t>Addetto sala,Amministratore,Controller impianti,Responsabile di sala,Responsabile impianti,Test,viewer,superadmin</t>
  </si>
  <si>
    <t>AERATORE</t>
  </si>
  <si>
    <t>Allarme aeratore</t>
  </si>
  <si>
    <t>#1e88dc</t>
  </si>
  <si>
    <t>Amministratore,superadmin,Responsabile impianti,Controller impianti,superadmin,superadmin,superadmin,superadmin,superadmin,superadmin,superadmin,superadmin,superadmin</t>
  </si>
  <si>
    <t>Sì</t>
  </si>
  <si>
    <t>#ef4444</t>
  </si>
  <si>
    <t>APP SmartRoad,Automatico</t>
  </si>
  <si>
    <t>superadmin,Amministratore,Controller impianti,Responsabile impianti,Responsabile di sala,Addetto sala,Addetto scada con comandi,superadmin</t>
  </si>
  <si>
    <t>1</t>
  </si>
  <si>
    <t>#602785</t>
  </si>
  <si>
    <t>Manuale,APP SmartRoad</t>
  </si>
  <si>
    <t>2</t>
  </si>
  <si>
    <t>#f59e0b</t>
  </si>
  <si>
    <t/>
  </si>
  <si>
    <t>Amministratore,Controller impianti,Responsabile impianti,superadmin</t>
  </si>
  <si>
    <t>Controller impianti,Responsabile impianti,superadmin</t>
  </si>
  <si>
    <t>ALR_ACK</t>
  </si>
  <si>
    <t>Allarme ACK</t>
  </si>
  <si>
    <t>ALR_ALLAGAMENTO_1_IMP</t>
  </si>
  <si>
    <t>3</t>
  </si>
  <si>
    <t>ALR_ALPHA</t>
  </si>
  <si>
    <t>Allarme alfanumerico PMV</t>
  </si>
  <si>
    <t>ALR_ALTA_PRESSIONE_NORD_DX</t>
  </si>
  <si>
    <t>Allarme alta pressione Nord DX</t>
  </si>
  <si>
    <t>ALR_ALTA_PRESSIONE_NORD_SX</t>
  </si>
  <si>
    <t>Allarme alta pressione Nord SX</t>
  </si>
  <si>
    <t>ALR_ALTA_PRESSIONE_SUD_DX</t>
  </si>
  <si>
    <t>Allarme alta pressione Sud DX</t>
  </si>
  <si>
    <t>ALR_ALTA_PRESSIONE_SUD_SX</t>
  </si>
  <si>
    <t>Allarme alta pressione Sud SX</t>
  </si>
  <si>
    <t>ALR_ALTA_VELOCITA_NON_RAGGIUNTA</t>
  </si>
  <si>
    <t>Allarme alta velocità non raggiunta</t>
  </si>
  <si>
    <t>ALR_ANOMALIA_ACCOPPIATORE_RADIO</t>
  </si>
  <si>
    <t>Allarme anomalia accoppiatore radio</t>
  </si>
  <si>
    <t>ALR_ANOMALIA_AMPLIFICATORE_RADIO</t>
  </si>
  <si>
    <t>Allarme anomalia amplificatore radio</t>
  </si>
  <si>
    <t>ALR_ANOMALIA_ANTENNA_RADIO</t>
  </si>
  <si>
    <t>Allarme anomalia antenna radio</t>
  </si>
  <si>
    <t>ALR_ANOMALIA_CIRCOLAZIONE_NORD</t>
  </si>
  <si>
    <t>Allarme anomalia circolazione Nord</t>
  </si>
  <si>
    <t>ALR_ANOMALIA_CIRCOLAZIONE_SUD</t>
  </si>
  <si>
    <t>Allarme anomalia circolazione Sud</t>
  </si>
  <si>
    <t>ALR_ANOMALIA_COLLEGAMENTO_OTTICO_RADIO</t>
  </si>
  <si>
    <t>Allarme anomalia collegamento ottico radio</t>
  </si>
  <si>
    <t>ALR_ANOMALIA_RIPETITORE_RADIO</t>
  </si>
  <si>
    <t>Allarme anomalia ripetitore radio</t>
  </si>
  <si>
    <t>ALR_ARRESTO_FORZATO</t>
  </si>
  <si>
    <t>Allarme arresto forzato</t>
  </si>
  <si>
    <t>ALR_ASSENZA_LINK_ETHERNET_RADIO</t>
  </si>
  <si>
    <t>Allarme assenza link ethernet radio</t>
  </si>
  <si>
    <t>ALR_ASSENZA_TENSIONE_24V_2_IMP</t>
  </si>
  <si>
    <t>Assenza tensione 24V</t>
  </si>
  <si>
    <t>ALR_ASSENZA_TENSIONE_48V_2_IMP</t>
  </si>
  <si>
    <t>ALR_ASSENZA_TENSIONE_AUX_GE</t>
  </si>
  <si>
    <t>Allarme assenza tensione aux GE</t>
  </si>
  <si>
    <t>Amministratore,Controller impianti,Responsabile impianti,superadmin,superadmin</t>
  </si>
  <si>
    <t>ALR_ASSENZA_TENSIONE_AUX_PERMANENTI</t>
  </si>
  <si>
    <t>Allarme assenza tensione aux permanenti</t>
  </si>
  <si>
    <t>ALR_ASSENZA_TENSIONE_AUX_RINFORZI</t>
  </si>
  <si>
    <t>Allarme assenza tensione aux rinforzi</t>
  </si>
  <si>
    <t>ALR_ASSENZA_TENSIONE_DA_ALTRO_QUADRO</t>
  </si>
  <si>
    <t>Allarme assenza tensione da altro quadro</t>
  </si>
  <si>
    <t>ALR_ASSENZA_TENSIONE_ILLUMINAZIONE_400V</t>
  </si>
  <si>
    <t>Chiusura Allarme assenza tensione illuminazione 400V</t>
  </si>
  <si>
    <t>ALR_ASSENZA_TENSIONE_PEMANENTE</t>
  </si>
  <si>
    <t>Chiusura Allarme assenza tensione permanente</t>
  </si>
  <si>
    <t>ALR_ASSENZA_TENSIONE_RINFORZI</t>
  </si>
  <si>
    <t>Allarme assenza tensione rinforzi</t>
  </si>
  <si>
    <t>ALR_ASSENZA_TENSIONE_USCITA</t>
  </si>
  <si>
    <t>Allarme assenza tensione dispositivo uscita</t>
  </si>
  <si>
    <t>Addetto sala,Addetto scada con comandi,Amministratore,Controller impianti,Responsabile di sala,Responsabile impianti,superadmin,superadmin</t>
  </si>
  <si>
    <t>ALR_AVARIA_FIBROLASER</t>
  </si>
  <si>
    <t>Allarme avaria fibrolaser</t>
  </si>
  <si>
    <t>ALR_BASSA_TEMPERATURA_ACQUA</t>
  </si>
  <si>
    <t>Allarme bassa temperatura acqua</t>
  </si>
  <si>
    <t>ALR_BASSA_VELOCITA_NON_RAGGIUNTA</t>
  </si>
  <si>
    <t>Allarme bassa velocità non raggiunta</t>
  </si>
  <si>
    <t>ALR_BASSO_LIVELLO_OLIO</t>
  </si>
  <si>
    <t>Allarme basso livello olio</t>
  </si>
  <si>
    <t>ALR_BASSO_LIVELLO_OLIO_POMPA</t>
  </si>
  <si>
    <t>Allarme basso livello olio pompa</t>
  </si>
  <si>
    <t>ALR_BOTT_113</t>
  </si>
  <si>
    <t>Allarme pulsante 113 emergenza  attivo</t>
  </si>
  <si>
    <t>superadmin,Amministratore,Controller impianti,Responsabile impianti</t>
  </si>
  <si>
    <t>ALR_BOTT_115</t>
  </si>
  <si>
    <t>Allarme pulsante 115 incendio  attivo</t>
  </si>
  <si>
    <t>ALR_BOTT_118</t>
  </si>
  <si>
    <t>Allarme pulsante 118 soccorso medico attivo</t>
  </si>
  <si>
    <t>ALR_BOTT_800116</t>
  </si>
  <si>
    <t>Allarme pulsante soccorso meccanico attivo</t>
  </si>
  <si>
    <t>#ff9933</t>
  </si>
  <si>
    <t>ALR_BOTT_803116</t>
  </si>
  <si>
    <t>ALR_BYPASS_REGOLATORE</t>
  </si>
  <si>
    <t>ALR_CENTRALE_INCENDIO_2_IN_STOP</t>
  </si>
  <si>
    <t>Allarme centrale incendio 2 in stop</t>
  </si>
  <si>
    <t>ALR_COMUNICAZIONE_CPU</t>
  </si>
  <si>
    <t>Allarme comunicazione CPU</t>
  </si>
  <si>
    <t>Addetto sala,Amministratore,Controller impianti,superadmin</t>
  </si>
  <si>
    <t>ALR_COMUNICAZIONE_MOTORE_1</t>
  </si>
  <si>
    <t>Allarme comunicazione motore 1</t>
  </si>
  <si>
    <t>ALR_COMUNICAZIONE_MOTORE_2</t>
  </si>
  <si>
    <t>Allarme comunicazione motore 2</t>
  </si>
  <si>
    <t>ALR_COMUNICAZIONE_MOTORE_3</t>
  </si>
  <si>
    <t>Allarme comunicazione motore 3</t>
  </si>
  <si>
    <t>ALR_COMUNICAZIONE_MOTORE_4</t>
  </si>
  <si>
    <t>Allarme comunicazione motore 4</t>
  </si>
  <si>
    <t>ALR_COMUNICAZIONE_VERSO_ALTRA_CABINA</t>
  </si>
  <si>
    <t>Allarme comunicazione verso altra cabina</t>
  </si>
  <si>
    <t>ALR_COMUNICAZIONE_VERSO_PLC_ILL</t>
  </si>
  <si>
    <t>Allarme comunicazione verso PLC ill</t>
  </si>
  <si>
    <t>ALR_COMUNICAZIONE_VERSO_PLC_ILL_ALTRA_CABINA</t>
  </si>
  <si>
    <t>Allarme comunicazione verso PLC ill altra cabina</t>
  </si>
  <si>
    <t>ALR_CONDIZIONE_DA_FIBROLASER_ATTIVA</t>
  </si>
  <si>
    <t>Allarme condizione da fibrolaser attiva</t>
  </si>
  <si>
    <t>ALR_CONDIZIONE_DA_FIBROLASER_E_SENSORI_ARIA_ATTIVA</t>
  </si>
  <si>
    <t>Allarme condizione da fibrolaser e sensori aria attiva</t>
  </si>
  <si>
    <t>ALR_CONDIZIONE_DA_FIBROLASER_O_SENSORI_ARIA_ATTIVA</t>
  </si>
  <si>
    <t>Allarme condizione da fibrolaser o sensori aria attiva</t>
  </si>
  <si>
    <t>ALR_CONDIZIONE_DA_SENSORI_ARIA_ATTIVA</t>
  </si>
  <si>
    <t>Allarme condizione da sensori aria attiva</t>
  </si>
  <si>
    <t>ALR_CORSIA_LENTA_CONFIGURATA</t>
  </si>
  <si>
    <t>Allarme configurata corsia lenta</t>
  </si>
  <si>
    <t>ALR_CORSIA_NORMALE_CONFIGURATA</t>
  </si>
  <si>
    <t>Allarme configurata corsia normale</t>
  </si>
  <si>
    <t>ALR_CORSIA_VELOCE_CONFIGURATA</t>
  </si>
  <si>
    <t>Allarme configurata corsia veloce</t>
  </si>
  <si>
    <t>ALR_CORTOCIRCUITO</t>
  </si>
  <si>
    <t>Allarme errore cortocircuito</t>
  </si>
  <si>
    <t>ALR_DISINSERIMENTO</t>
  </si>
  <si>
    <t>Allarme disinserimento</t>
  </si>
  <si>
    <t>Allarme dispositivo bloccato/non disponibile</t>
  </si>
  <si>
    <t>ALR_DISP_SCADA</t>
  </si>
  <si>
    <t>Allarme dispositivo Scada</t>
  </si>
  <si>
    <t>ALR_ELETTROVALVOLA_BLOCCATA</t>
  </si>
  <si>
    <t>Allarme elettrovalvola antincendio bloccata</t>
  </si>
  <si>
    <t>ALR_EMERGENZA</t>
  </si>
  <si>
    <t>Allarme emergenza</t>
  </si>
  <si>
    <t>ALR_ERRORE_CHIUSURA_BYPASS</t>
  </si>
  <si>
    <t>Allarme errore chiusura bypass</t>
  </si>
  <si>
    <t>ALR_ESCLUSO_AUTO_ELETTROPOMPA</t>
  </si>
  <si>
    <t>Allarme esclusione Elettropompa</t>
  </si>
  <si>
    <t>Allarme fattibilità comandi da campo</t>
  </si>
  <si>
    <t>ALR_FAULT_MODULO_10</t>
  </si>
  <si>
    <t>Allarme fault modulo 10</t>
  </si>
  <si>
    <t>ALR_FUMI_GE</t>
  </si>
  <si>
    <t>Allarme fumi gruppo elettrogeno</t>
  </si>
  <si>
    <t>ALR_GALLEGGIANTE_PAVIMENTO</t>
  </si>
  <si>
    <t>Chiusura Allarme galleggiante pavimento</t>
  </si>
  <si>
    <t>ALR_GALLERIA_CHIUSA</t>
  </si>
  <si>
    <t>Allarme galleria chiusa</t>
  </si>
  <si>
    <t>ALR_GENERALE</t>
  </si>
  <si>
    <t>ALR_GENERALE_POMPA_2</t>
  </si>
  <si>
    <t>ALR_GUASTO</t>
  </si>
  <si>
    <t>Addetto sala,Addetto scada con comandi,Amministratore,Controller impianti,Responsabile di sala,Responsabile impianti,superadmin</t>
  </si>
  <si>
    <t>ALR_GUASTO_CORRENTE</t>
  </si>
  <si>
    <t>Allarme guasto corrente</t>
  </si>
  <si>
    <t>ALR_GUASTO_TENSIONE</t>
  </si>
  <si>
    <t>Allarme guasto tensione</t>
  </si>
  <si>
    <t>ALR_GUASTO_VENTILATORE_BYPASS</t>
  </si>
  <si>
    <t>Allarme guasto ventilatore bypass</t>
  </si>
  <si>
    <t>ALR_IMPIANTO</t>
  </si>
  <si>
    <t>Allarme impianto</t>
  </si>
  <si>
    <t>ALR_INCENDIO_BYPASS</t>
  </si>
  <si>
    <t>Allarme incendio bypass</t>
  </si>
  <si>
    <t>ALR_INCENDIO_BYPASS_2</t>
  </si>
  <si>
    <t>ALR_INCENDIO_CANNA_NORD_DA CRI</t>
  </si>
  <si>
    <t>Allarme incendio in galleria canna sud da CRI</t>
  </si>
  <si>
    <t>ALR_INCENDIO_CANNA_SUD_DA CRI</t>
  </si>
  <si>
    <t>Allarme incendio in galleria canna nord da CRI</t>
  </si>
  <si>
    <t>ALR_INCIDENTE_AUTOMATICO_AUTOVEICOLI_AUTOCARRI_CANNA_NORD</t>
  </si>
  <si>
    <t>Allarme incidente automatico nord</t>
  </si>
  <si>
    <t>ALR_INCIDENTE_AUTOMATICO_AUTOVEICOLI_AUTOCARRI_CANNA_SUD</t>
  </si>
  <si>
    <t>Allarme incidente automatico sud</t>
  </si>
  <si>
    <t>ALR_INCIDENTE_BYPASS</t>
  </si>
  <si>
    <t xml:space="preserve">Allarme Incidente ByPass </t>
  </si>
  <si>
    <t>ALR_INCLUSO</t>
  </si>
  <si>
    <t>Incluso</t>
  </si>
  <si>
    <t>ALR_INCONGRUENZA_SELETTORE</t>
  </si>
  <si>
    <t>Allarme incongruenza selettore</t>
  </si>
  <si>
    <t>ALR_INTERVENTO_SONDA_TERMICA_S1</t>
  </si>
  <si>
    <t>Allarme intervento sonda termica S1</t>
  </si>
  <si>
    <t>ALR_INTERVENTO_SONDA_TERMICA_S2</t>
  </si>
  <si>
    <t>Allarme intervento sonda termica S2</t>
  </si>
  <si>
    <t>ALR_INTERVENTO_SONDA_TERMICA_S3</t>
  </si>
  <si>
    <t>Allarme intervento sonda termica S3</t>
  </si>
  <si>
    <t>ALR_INTERVENTO_SONDA_TERMICA_S4</t>
  </si>
  <si>
    <t>Allarme intervento sonda termica S4</t>
  </si>
  <si>
    <t>ALR_INTERVENTO_SONDA_TERMICA_S5</t>
  </si>
  <si>
    <t>Allarme intervento sonda termica S5</t>
  </si>
  <si>
    <t>ALR_INTERVENTO_SONDA_TERMICA_S6</t>
  </si>
  <si>
    <t>Allarme intervento sonda termica S6</t>
  </si>
  <si>
    <t>ALR_INTERVENTO_SONDA_TERMICA_S7</t>
  </si>
  <si>
    <t>Allarme intervento sonda termica S7</t>
  </si>
  <si>
    <t>ALR_INTERVENTO_SONDA_TERMICA_S8</t>
  </si>
  <si>
    <t>Allarme intervento sonda termica S8</t>
  </si>
  <si>
    <t>ALR_INT_CENTR_PERDITA_COMBUSTIBILE</t>
  </si>
  <si>
    <t>ALR_INT_GEN_Q_GASOLIO</t>
  </si>
  <si>
    <t>ALR_INT_POMPA_GASOLIO</t>
  </si>
  <si>
    <t>ALR_INT_SCATTATO</t>
  </si>
  <si>
    <t>ALR_LAMPADA_SYRA</t>
  </si>
  <si>
    <t>ALR_LAVAGGIO_CASO_A_B_INCENDIO_NORD</t>
  </si>
  <si>
    <t>Allarme lavaggio caso A-B incendio Nord</t>
  </si>
  <si>
    <t>ALR_LAVAGGIO_CASO_A_B_INCENDIO_SUD</t>
  </si>
  <si>
    <t>Allarme lavaggio caso A-B incendio Sud</t>
  </si>
  <si>
    <t>ALR_LAVAGGIO_CASO_C_INCENDIO_NORD</t>
  </si>
  <si>
    <t>Allarme lavaggio caso C incendio Nord</t>
  </si>
  <si>
    <t>ALR_LAVAGGIO_CASO_C_INCENDIO_SUD</t>
  </si>
  <si>
    <t>Allarme lavaggio caso C incendio Sud</t>
  </si>
  <si>
    <t>ALR_LETTURA_INCLINAZIONE_PALE</t>
  </si>
  <si>
    <t>Allarme inclinazione pale</t>
  </si>
  <si>
    <t>ALR_LETTURA_PRESSIONE_ASSOLUTA</t>
  </si>
  <si>
    <t>Allarme lettura pressione assoluta</t>
  </si>
  <si>
    <t>ALR_LETTURA_PRESSIONE_DIFFERENZIALE</t>
  </si>
  <si>
    <t>Allarme lettura pressione differenziale</t>
  </si>
  <si>
    <t>ALR_LETTURA_TEMPERATURA</t>
  </si>
  <si>
    <t>Allarme lettura temperatura</t>
  </si>
  <si>
    <t>ALR_LETTURA_TEMPERATURA_FLUSSO_ARIA</t>
  </si>
  <si>
    <t>Allarme lettura temperatura flusso aria</t>
  </si>
  <si>
    <t>ALR_LETTURA_VELOCITA_MOTORE_1</t>
  </si>
  <si>
    <t>Allarme lettura velocita motore</t>
  </si>
  <si>
    <t>ALR_LETTURA_VELOCITA_MOTORE_2</t>
  </si>
  <si>
    <t>ALR_LETTURA_VIBRAZIONI</t>
  </si>
  <si>
    <t>Allarme lettura vibrazioni</t>
  </si>
  <si>
    <t>ALR_LIMITE_POMPAGGIO</t>
  </si>
  <si>
    <t>Allarme limite pompaggio</t>
  </si>
  <si>
    <t>ALR_LIVELLO_MEDIO_COMBUSTIBILE</t>
  </si>
  <si>
    <t>ALR_LIVELLO_MINIMO_COMBUSTIBILE</t>
  </si>
  <si>
    <t>ALR_MANCATO_ARRESTO_ESTRATTORE</t>
  </si>
  <si>
    <t>Allarme mancato arresto estrattore</t>
  </si>
  <si>
    <t>ALR_MANCATO_AVVIO_ESTRATTORE</t>
  </si>
  <si>
    <t>Allarme mancato avvio estrattore</t>
  </si>
  <si>
    <t>ALR_MANCATO_COMANDO_50</t>
  </si>
  <si>
    <t>Allarme mancato comando 50%</t>
  </si>
  <si>
    <t>ALR_MANCATO_DISIMPEGNO_ELETTROVALVOLA</t>
  </si>
  <si>
    <t>Allarme mancato disimpegno elettrovalvola</t>
  </si>
  <si>
    <t>ALR_MANCATO_IMPEGNO_ELETTROVALVOLA</t>
  </si>
  <si>
    <t>Allarme mancato impegno elettrovalvola</t>
  </si>
  <si>
    <t>ALR_MANCATO_RIPRISTINO</t>
  </si>
  <si>
    <t>Allarme mancato ripristino</t>
  </si>
  <si>
    <t>ALR_MAX_CORRENTE_FASE_SOGLIA_1</t>
  </si>
  <si>
    <t>Allarme massima corrente di fase soglia 1</t>
  </si>
  <si>
    <t>ALR_MAX_CORRENTE_FASE_SOGLIA_2</t>
  </si>
  <si>
    <t>Allarme massima corrente di fase soglia 2</t>
  </si>
  <si>
    <t>ALR_MAX_CORRENTE_FASE_SOGLIA_3</t>
  </si>
  <si>
    <t>Allarme massima corrente di fase soglia 3</t>
  </si>
  <si>
    <t>ALR_MAX_CORRENTE_FASE_SOGLIA_4</t>
  </si>
  <si>
    <t>Allarme massima corrente di fase soglia 4</t>
  </si>
  <si>
    <t>ALR_MAX_CORRENTE_INVERSA_SOGLIA_1</t>
  </si>
  <si>
    <t>Allarme massima corrente inversa soglia 1</t>
  </si>
  <si>
    <t>ALR_MAX_CORRENTE_INVERSA_SOGLIA_2</t>
  </si>
  <si>
    <t>Allarme massima corrente inversa soglia 2</t>
  </si>
  <si>
    <t>ALR_MAX_CORRENTE_TERRA_SOGLIA_1</t>
  </si>
  <si>
    <t>Allarme massima corrente di terra soglia 1</t>
  </si>
  <si>
    <t>ALR_MAX_CORRENTE_TERRA_SOGLIA_2</t>
  </si>
  <si>
    <t>Allarme massima corrente di terra soglia 2</t>
  </si>
  <si>
    <t>ALR_MAX_CORRENTE_TERRA_SOGLIA_3</t>
  </si>
  <si>
    <t>Allarme massima corrente di terra soglia 3</t>
  </si>
  <si>
    <t>ALR_MAX_CORRENTE_TERRA_SOGLIA_4</t>
  </si>
  <si>
    <t>Allarme massima corrente di terra soglia 4</t>
  </si>
  <si>
    <t>ALR_MAX_FREQUENZA_FASE_SOGLIA_1</t>
  </si>
  <si>
    <t>Allarme massima frequenza di fase soglia 1</t>
  </si>
  <si>
    <t>ALR_MAX_FREQUENZA_FASE_SOGLIA_2</t>
  </si>
  <si>
    <t>Allarme massima frequenza di fase soglia 2</t>
  </si>
  <si>
    <t>ALR_MAX_INCLINAZIONE_IN_ESTRAZIONE</t>
  </si>
  <si>
    <t>Allarme inclinazione in estrazione</t>
  </si>
  <si>
    <t>ALR_MAX_INCLINAZIONE_IN_IMMISSIONE</t>
  </si>
  <si>
    <t>Allarme inclinazione in imissione</t>
  </si>
  <si>
    <t>ALR_MAX_TENSIONE_CONCATENATA_FASE_SOGLIA_1</t>
  </si>
  <si>
    <t>Allarme massima tensione concatenata di fase soglia 1</t>
  </si>
  <si>
    <t>ALR_MAX_TENSIONE_CONCATENATA_FASE_SOGLIA_2</t>
  </si>
  <si>
    <t>Allarme massima tensione concatenata di fase soglia 2</t>
  </si>
  <si>
    <t>ALR_MAX_TENSIONE_INVERSA</t>
  </si>
  <si>
    <t>Allarme massima tensione inversa</t>
  </si>
  <si>
    <t>ALR_MAX_TENSIONE_RESIDUA_FASE_SOGLIA_1</t>
  </si>
  <si>
    <t>Allarme massima tensione residua di fase soglia 1</t>
  </si>
  <si>
    <t>ALR_MAX_TENSIONE_RESIDUA_FASE_SOGLIA_2</t>
  </si>
  <si>
    <t>Allarme massima tensione residua di fase soglia 2</t>
  </si>
  <si>
    <t>ALR_MEMORIA_VIBRAZIONE_1</t>
  </si>
  <si>
    <t>Chiusura Allarme memoria vibrazione 1</t>
  </si>
  <si>
    <t>ALR_MEMORIA_VIBRAZIONE_1_S1</t>
  </si>
  <si>
    <t>Chiusura Allarme memoria vibrazione</t>
  </si>
  <si>
    <t>ALR_MEMORIA_VIBRAZIONE_1_S2</t>
  </si>
  <si>
    <t>ALR_MEMORIA_VIBRAZIONE_2</t>
  </si>
  <si>
    <t>Chiusura Allarme memoria vibrazione 2</t>
  </si>
  <si>
    <t>ALR_MEMORIA_VIBRAZIONE_2_S1</t>
  </si>
  <si>
    <t>ALR_MEMORIA_VIBRAZIONE_2_S2</t>
  </si>
  <si>
    <t>ALR_MINIMA_FREQUENZA_FASE_SOGLIA_1</t>
  </si>
  <si>
    <t>Allarme minima frequenza di fase soglia 1</t>
  </si>
  <si>
    <t>ALR_MINIMA_FREQUENZA_FASE_SOGLIA_2</t>
  </si>
  <si>
    <t>Allarme minima frequenza di fase soglia 2</t>
  </si>
  <si>
    <t>ALR_MINIMA_FREQUENZA_FASE_SOGLIA_3</t>
  </si>
  <si>
    <t>Allarme minima frequenza di fase soglia 3</t>
  </si>
  <si>
    <t>ALR_MINIMA_FREQUENZA_FASE_SOGLIA_4</t>
  </si>
  <si>
    <t>Allarme minima frequenza di fase soglia 4</t>
  </si>
  <si>
    <t>ALR_MINIMA_TENSIONE_SOGLIA_1</t>
  </si>
  <si>
    <t>Allarme minima tensione soglia 1</t>
  </si>
  <si>
    <t>ALR_MINIMA_TENSIONE_SOGLIA_2</t>
  </si>
  <si>
    <t>Allarme minima tensione soglia 2</t>
  </si>
  <si>
    <t>ALR_MIN_LIVELLO_OLIO</t>
  </si>
  <si>
    <t>Allarme minimo livello olio</t>
  </si>
  <si>
    <t>ALR_MSG_NON_DEFINITO</t>
  </si>
  <si>
    <t xml:space="preserve">Allarme Alfa Messaggio Non Definito </t>
  </si>
  <si>
    <t>ALR_NO_APERTO</t>
  </si>
  <si>
    <t>Allarme no aperto</t>
  </si>
  <si>
    <t>ALR_NO_CHIUSO</t>
  </si>
  <si>
    <t>Allarme no chiuso</t>
  </si>
  <si>
    <t>ALR_PANNELLO_OCCUPATO</t>
  </si>
  <si>
    <t>Allarme pannello occupato</t>
  </si>
  <si>
    <t>ALR_PMV_DEGRADATO</t>
  </si>
  <si>
    <t>Allarme pannello degradato</t>
  </si>
  <si>
    <t>ALR_PREALLARME_ALLAGAMENTO_1_IMP</t>
  </si>
  <si>
    <t>ALR_PRIMO_LIVELLO_CO</t>
  </si>
  <si>
    <t>Allarme primo livello CO</t>
  </si>
  <si>
    <t>ALR_PRIMO_LIVELLO_COOP</t>
  </si>
  <si>
    <t>Allarme primo livello CO-OP</t>
  </si>
  <si>
    <t>ALR_PRIMO_LIVELLO_OP</t>
  </si>
  <si>
    <t>Allarme primo livello OP</t>
  </si>
  <si>
    <t>ALR_PROTEZIONE_FASE_1</t>
  </si>
  <si>
    <t>Chiusura Allarme intervento protezione fase 1</t>
  </si>
  <si>
    <t>ALR_PROTEZIONE_FASE_2</t>
  </si>
  <si>
    <t>Chiusura Allarme intervento protezione fase 2</t>
  </si>
  <si>
    <t>ALR_PROTEZIONE_TERRA_1</t>
  </si>
  <si>
    <t>Chiusura Allarme intervento protezione terra 1</t>
  </si>
  <si>
    <t>ALR_PROTEZIONE_TERRA_2</t>
  </si>
  <si>
    <t>Chiusura Allarme intervento protezione terra 2</t>
  </si>
  <si>
    <t>ALR_QGC_ANOMALIA_GRUPPO</t>
  </si>
  <si>
    <t>ALR_QGC_GRUPPO</t>
  </si>
  <si>
    <t>ALR_QGC_SCATTATO_INT</t>
  </si>
  <si>
    <t>ALR_QGC_SCATTATO_INT_Q1_18</t>
  </si>
  <si>
    <t>ALR_QGC_TENSIONE_LATO_GRUPPO</t>
  </si>
  <si>
    <t>ALR_QGC_TENSIONE_RETE</t>
  </si>
  <si>
    <t>ALR_QIG_PRESENZA_RETE</t>
  </si>
  <si>
    <t>ALR_QILL_REVERBERI_BYPASS_AVARIA</t>
  </si>
  <si>
    <t>ALR_QRP1A_ANOMALIA_REGOLAT_POTENZA_A</t>
  </si>
  <si>
    <t>ALR_QRP1B_ANOMALIA_REGOLAT_POTENZA_A</t>
  </si>
  <si>
    <t>ALR_QRP1B_ANOMALIA_REGOLAT_POTENZA_B</t>
  </si>
  <si>
    <t>ALR_QUADRO_ILLUMINAZIONE</t>
  </si>
  <si>
    <t>ALR_REGISTRAZIONE_NON_ATTIVA</t>
  </si>
  <si>
    <t>Allarme registrazione non attiva</t>
  </si>
  <si>
    <t>Addetto sala,Addetto scada con comandi,Amministratore,Controller impianti,Responsabile di sala,Responsabile impianti,Test,Visualizzatore,viewer,superadmin</t>
  </si>
  <si>
    <t>ALR_RISERVA_COMBUSTIBILE_STOCCAGGIO</t>
  </si>
  <si>
    <t>Allarme riserva combustibile stoccaggio</t>
  </si>
  <si>
    <t>ALR_RISPOSTA_AVVIAMENTO_ALTA_VELOCITA_DD</t>
  </si>
  <si>
    <t>Allarme risposta avviamento alta velocità dd</t>
  </si>
  <si>
    <t>ALR_RISPOSTA_AVVIAMENTO_ALTA_VELOCITA_YY</t>
  </si>
  <si>
    <t>Allarme risposta avviamento alta velocità yy</t>
  </si>
  <si>
    <t>ALR_RISPOSTA_AVVIAMENTO_BASSA_VELOCITA</t>
  </si>
  <si>
    <t>Allarme risposta avviamento bassa velocità</t>
  </si>
  <si>
    <t>ALR_RISPOSTA_AVVIAMENTO_POMPA_OLIO</t>
  </si>
  <si>
    <t>Allarme risposta avviamento pompa olio</t>
  </si>
  <si>
    <t>ALR_RISPOSTA_AVVIAMENTO_POMPA_OLIO_2</t>
  </si>
  <si>
    <t>ALR_RISPOSTA_AVVIAMENTO_SCALDIGLIA</t>
  </si>
  <si>
    <t>Allarme risposta avviamento scaldiglia</t>
  </si>
  <si>
    <t>ALR_RISPOSTA_AVVIAMENTO_SCALDIGLIA_OLIO</t>
  </si>
  <si>
    <t>Allarme risposta avviamento scaldiglia olio</t>
  </si>
  <si>
    <t>ALR_RITORNO_POTENZA_ATTIVA</t>
  </si>
  <si>
    <t>Allarme ritorno potenza attiva</t>
  </si>
  <si>
    <t>ALR_SCALDIGLIA_OLIO</t>
  </si>
  <si>
    <t>Allarme scaldiglia olio</t>
  </si>
  <si>
    <t>ALR_SCATTATO</t>
  </si>
  <si>
    <t>ALR_SCENARIO_1</t>
  </si>
  <si>
    <t>Allarme scenario 1</t>
  </si>
  <si>
    <t>ALR_SCENARIO_2</t>
  </si>
  <si>
    <t>Allarme scenario 2</t>
  </si>
  <si>
    <t>ALR_SCENARIO_3</t>
  </si>
  <si>
    <t>Allarme scenario 3</t>
  </si>
  <si>
    <t>ALR_SCENARIO_4</t>
  </si>
  <si>
    <t>Allarme scenario 4</t>
  </si>
  <si>
    <t>ALR_SCENARIO_5</t>
  </si>
  <si>
    <t>Allarme scenario 5</t>
  </si>
  <si>
    <t>ALR_SCENARIO_6</t>
  </si>
  <si>
    <t>Allarme scenario 6</t>
  </si>
  <si>
    <t>ALR_SECONDO_LIVELLO_CO</t>
  </si>
  <si>
    <t>Allarme secondo livello CO</t>
  </si>
  <si>
    <t>ALR_SECONDO_LIVELLO_COOP</t>
  </si>
  <si>
    <t>Allarme secondo livello CO-OP</t>
  </si>
  <si>
    <t>ALR_SECONDO_LIVELLO_OP</t>
  </si>
  <si>
    <t>Allarme secondo livello OP</t>
  </si>
  <si>
    <t>ALR_SENSORE_GASOLIO</t>
  </si>
  <si>
    <t>Chiusura Allarme sensore gasolio</t>
  </si>
  <si>
    <t>ALR_SIMULAZIONE_INCENDIO</t>
  </si>
  <si>
    <t>Allarme simulazione incendio attiva</t>
  </si>
  <si>
    <t>ALR_SOGLIA_INCENDIO_SUPERATA_CANNA_NORD</t>
  </si>
  <si>
    <t>Allarme soglia incendio superata canna nord</t>
  </si>
  <si>
    <t>ALR_SOGLIA_INCENDIO_SUPERATA_CANNA_SUD</t>
  </si>
  <si>
    <t>Allarme soglia incendio superata canna sud</t>
  </si>
  <si>
    <t>ALR_SONDA_TERMICA_S1</t>
  </si>
  <si>
    <t>Allarme sonda termica S1</t>
  </si>
  <si>
    <t>ALR_SONDA_TERMICA_S2</t>
  </si>
  <si>
    <t>Allarme sonda termica S2</t>
  </si>
  <si>
    <t>ALR_SONDA_TERMICA_S3</t>
  </si>
  <si>
    <t>Allarme sonda termica S3</t>
  </si>
  <si>
    <t>ALR_SONDA_TERMICA_S4</t>
  </si>
  <si>
    <t>Allarme sonda termica S4</t>
  </si>
  <si>
    <t>ALR_SONDA_TERMICA_S5</t>
  </si>
  <si>
    <t>Allarme sonda termica S5</t>
  </si>
  <si>
    <t>ALR_SONDA_TERMICA_S6</t>
  </si>
  <si>
    <t>Allarme sonda termica S6</t>
  </si>
  <si>
    <t>ALR_SONDA_TERMICA_S7</t>
  </si>
  <si>
    <t>Allarme sonda termica S7</t>
  </si>
  <si>
    <t>ALR_SONDA_TERMICA_S8</t>
  </si>
  <si>
    <t>Allarme sonda termica S8</t>
  </si>
  <si>
    <t>ALR_STATO_IN_MOTO_DA_QUADRO</t>
  </si>
  <si>
    <t>Chiusura Allarme stato in moto da quadro</t>
  </si>
  <si>
    <t>ALR_SUP_SOGLIA_ALTA</t>
  </si>
  <si>
    <t>ALR_TEMPERATURA_AVVOLGIMENTO</t>
  </si>
  <si>
    <t>Allarme temperatura avvolgimento</t>
  </si>
  <si>
    <t>ALR_TEMPERATURA_AVVOLGIMENTO_1</t>
  </si>
  <si>
    <t>ALR_TEMPERATURA_AVVOLGIMENTO_2</t>
  </si>
  <si>
    <t>ALR_TEMPERATURA_CUSCINETTI_1</t>
  </si>
  <si>
    <t>Allarme temperatura cuscinetti</t>
  </si>
  <si>
    <t>ALR_TEMPERATURA_CUSCINETTI_2</t>
  </si>
  <si>
    <t>ALR_TEMPERATURA_MATASSA_U</t>
  </si>
  <si>
    <t>Allarme temperatura matassa U</t>
  </si>
  <si>
    <t>ALR_TEMPERATURA_MATASSA_V</t>
  </si>
  <si>
    <t>Allarme temperatura matassa V</t>
  </si>
  <si>
    <t>ALR_TEMPERATURA_MATASSA_W</t>
  </si>
  <si>
    <t>Allarme temperatura matassa W</t>
  </si>
  <si>
    <t>ALR_TERMICO_ALTA_VELOCITA</t>
  </si>
  <si>
    <t>Allarme termico alta velocità</t>
  </si>
  <si>
    <t>ALR_TERMICO_AUX</t>
  </si>
  <si>
    <t>Allarme termico ausiliare</t>
  </si>
  <si>
    <t>ALR_TERMICO_BASSA_VELOCITA</t>
  </si>
  <si>
    <t>Allarme termico bassa velocità</t>
  </si>
  <si>
    <t>ALR_TERMICO_LAMPADA_POMPA</t>
  </si>
  <si>
    <t>Chiusura Allarme termico lampada pompa</t>
  </si>
  <si>
    <t>ALR_TERMICO_LAMPADA_RESISTENZA</t>
  </si>
  <si>
    <t>Chiusura Allarme termico lampada resistenza</t>
  </si>
  <si>
    <t>ALR_TERMICO_LAMPADA_STUFA</t>
  </si>
  <si>
    <t>Chiusura Allarme termico lampada stufa</t>
  </si>
  <si>
    <t>ALR_TERMICO_LAMPADA_VENTILATORE</t>
  </si>
  <si>
    <t>Chiusura Allarme termico lampada ventilatore</t>
  </si>
  <si>
    <t>ALR_TERMICO_POMPA_OLIO</t>
  </si>
  <si>
    <t>Allarme termico pompa olio</t>
  </si>
  <si>
    <t>ALR_TERMICO_POMPA_OLIO_1</t>
  </si>
  <si>
    <t>ALR_TERMICO_POMPA_OLIO_2</t>
  </si>
  <si>
    <t>ALR_TERMICO_RESISTENZA</t>
  </si>
  <si>
    <t>Chiusura Allarme termico resistenza</t>
  </si>
  <si>
    <t>ALR_TERMICO_SERVIZI</t>
  </si>
  <si>
    <t>Allarme termico servizi</t>
  </si>
  <si>
    <t>ALR_TERMICO_STUFA</t>
  </si>
  <si>
    <t>Chiusura Allarme termico stufa</t>
  </si>
  <si>
    <t>ALR_TERZO_LIVELLO_CO</t>
  </si>
  <si>
    <t>Allarme terzo livello CO</t>
  </si>
  <si>
    <t>ALR_TERZO_LIVELLO_COOP</t>
  </si>
  <si>
    <t>Allarme terzo livello CO-OP</t>
  </si>
  <si>
    <t>ALR_TERZO_LIVELLO_OP</t>
  </si>
  <si>
    <t>Allarme terzo livello OP</t>
  </si>
  <si>
    <t>ALR_TIMEOUT_APERTURA_SERRANDA</t>
  </si>
  <si>
    <t>Chiusura Allarme timeout apertura serranda</t>
  </si>
  <si>
    <t>ALR_TIMEOUT_CHIUSURA_SERRANDA</t>
  </si>
  <si>
    <t>Chiusura Allarme timeout chiusura serranda</t>
  </si>
  <si>
    <t>ALR_TIPO_A_NON_ATTIVO</t>
  </si>
  <si>
    <t>Allarme tipo A non attivo</t>
  </si>
  <si>
    <t>ALR_TIPO_B_NON_ATTIVO</t>
  </si>
  <si>
    <t>Allarme tipo B non attivo</t>
  </si>
  <si>
    <t>Allarme trip Protezione 67N S2</t>
  </si>
  <si>
    <t>ALR_UPS_TEST_IN_CORSO</t>
  </si>
  <si>
    <t>Allarme ups test in corso</t>
  </si>
  <si>
    <t>ALR_VARIATORE</t>
  </si>
  <si>
    <t>Chiusura Allarme variatore</t>
  </si>
  <si>
    <t>ALR_VIBRAZIONE_3_FAULT</t>
  </si>
  <si>
    <t>ALR_VIBRAZIONE_SCHEDA</t>
  </si>
  <si>
    <t>Chiusura Allarme vibrazione scheda</t>
  </si>
  <si>
    <t>ALR_VIDEO_FUMO</t>
  </si>
  <si>
    <t xml:space="preserve">Allarme Video Fumo </t>
  </si>
  <si>
    <t>ANOMALIA_PLC_GALLERIA</t>
  </si>
  <si>
    <t>Anomalia plc di galleria</t>
  </si>
  <si>
    <t>CATEGORIA ALLARMI SOS ASTRO AMPLIFICATORE AUDIO O LINEA</t>
  </si>
  <si>
    <t>ANOMALIA DISP. AUDIO</t>
  </si>
  <si>
    <t>AUX_FAULT_FAULT_IN</t>
  </si>
  <si>
    <t>CATEGORIA ALLARMI SOS ASTRO AVARIA NON CONNESSO</t>
  </si>
  <si>
    <t>SIP NON CONNESSO</t>
  </si>
  <si>
    <t>AVARIA_NOT_CONNECTED</t>
  </si>
  <si>
    <t>CATEGORIA ALLARMI SOS ASTRO AVARIA NON CONNESSO CENTRALINO SOS</t>
  </si>
  <si>
    <t>TEL. OPERATORE NON CONNESSO</t>
  </si>
  <si>
    <t>AVARIA_NOT_CONNECTED_EXCEPTION</t>
  </si>
  <si>
    <t>CATEGORIA ALLARMI SOS ASTRO AVARIA NON REGISTRATO</t>
  </si>
  <si>
    <t>TEL. OPERATORE NON REGISTRATO</t>
  </si>
  <si>
    <t>AVARIA_NOT_REGISTERED</t>
  </si>
  <si>
    <t>CATEGORIA ALLARMI SOS ASTRO AVARIA NON REGISTRATO CENTRALINO SOS</t>
  </si>
  <si>
    <t>SIP NON REGISTRATO</t>
  </si>
  <si>
    <t>AVARIA_NOT_REGISTERED_EXCEPTION</t>
  </si>
  <si>
    <t>AVVISO_ASCIUGATURA_IONIZZATORE</t>
  </si>
  <si>
    <t>Avviso asciugatura ionizzatore</t>
  </si>
  <si>
    <t>AVVISO_FINE_PULIZIA_COLLETTORE</t>
  </si>
  <si>
    <t>Avviso fine pulizia collettore</t>
  </si>
  <si>
    <t>AVVISO_FINE_PULIZIA_IONIZZATORE</t>
  </si>
  <si>
    <t>Avviso fine pulizia ionizzatore</t>
  </si>
  <si>
    <t>AVVISO_RICHIESTA_PULIZIA_COLLETTORE</t>
  </si>
  <si>
    <t>Avviso richiesta pulizia collettore</t>
  </si>
  <si>
    <t>AVVISO_RICHIESTA_PULIZIA_IONIZZATORE</t>
  </si>
  <si>
    <t>Avviso richiesta pulizia ionizzatore</t>
  </si>
  <si>
    <t>AVVISO_SOSTITUIRE_FILTRO</t>
  </si>
  <si>
    <t>Allarme sostituzione filtro</t>
  </si>
  <si>
    <t>CATEGORIA ALLARMI SOS ASTRO SQUILLO CHIAMATA EMERGENZA IN LINEA</t>
  </si>
  <si>
    <t>CHIAMATA IN LINEA</t>
  </si>
  <si>
    <t>CALLUP</t>
  </si>
  <si>
    <t>CHIUSA</t>
  </si>
  <si>
    <t>Allarme chiusa</t>
  </si>
  <si>
    <t>Addetto sala,Addetto scada con comandi,Amministratore,Controller impianti,Responsabile di sala,Responsabile impianti,Test,Visualizzatore,viewer,superadmin,superadmin,superadmin</t>
  </si>
  <si>
    <t>CONSENSO_KO</t>
  </si>
  <si>
    <t>Allarme consenso ko</t>
  </si>
  <si>
    <t>WRONGSIDE_ALARM</t>
  </si>
  <si>
    <t>Allarme contromano</t>
  </si>
  <si>
    <t>CONT-SEN</t>
  </si>
  <si>
    <t>CONT_LINEA</t>
  </si>
  <si>
    <t>Allarme cont linea</t>
  </si>
  <si>
    <t>CATEGORIA ALLARMI SOS ASTRO CONFIGURAZIONE TELEFONO ANALOGICO KO</t>
  </si>
  <si>
    <t>MEMORIE ANALOGICHE TEL.</t>
  </si>
  <si>
    <t>CRC_KO_CRC_KO_</t>
  </si>
  <si>
    <t>CATEGORIA ALLARMI SOS ASTRO CONFIGURAZIONE TELEFONO ANALOGICO KO CENTRALINO SOS</t>
  </si>
  <si>
    <t>CRC_KO_CRC_KO__EXCEPTION</t>
  </si>
  <si>
    <t>CATEGORIA ALLARMI SOS ASTRO CONFIGURAZIONE TELEFONO ANALOGICO MEMORIA</t>
  </si>
  <si>
    <t>CRC_KO_CRC_WAR</t>
  </si>
  <si>
    <t>CATEGORIA ALLARMI SOS ASTRO CONFIGURAZIONE TELEFONO ANALOGICO MEMORIA CENTRALINO SOS</t>
  </si>
  <si>
    <t>CRC_KO_CRC_WAR_EXCEPTION</t>
  </si>
  <si>
    <t>NOTIFICHE DIAGNOSTICA</t>
  </si>
  <si>
    <t>Notifica diagnostica dispositivo</t>
  </si>
  <si>
    <t>DIAGNOSTIC_NOTIFICATION</t>
  </si>
  <si>
    <t>CATEGORIA ALLARMI SOS ASTRO SQUILLO CHIAMATA EMERGENZA TERMINATA</t>
  </si>
  <si>
    <t>CHIAMATA TERMINATA</t>
  </si>
  <si>
    <t>DOWN</t>
  </si>
  <si>
    <t>CATEGORIA ALLARMI SOS ASTRO ALLARME DISPOSITIVO EMERGENZA</t>
  </si>
  <si>
    <t>ALLARME DISP. EMERGENZA</t>
  </si>
  <si>
    <t>EMERGENCY_FIREGAS</t>
  </si>
  <si>
    <t>EVENTI</t>
  </si>
  <si>
    <t>INFO</t>
  </si>
  <si>
    <t>CATEGORIA ALLARMI SOS ASTRO ARMADIO APERTO</t>
  </si>
  <si>
    <t>ARMADIO APERTO</t>
  </si>
  <si>
    <t>EXT_KO_ARMADIO</t>
  </si>
  <si>
    <t>FAULT_LETT_FREQUENZA</t>
  </si>
  <si>
    <t>Allarme lettura frequenza non riuscita</t>
  </si>
  <si>
    <t>CATEGORIA ALLARMI SOS ASTRO TELEFONO GUASTO</t>
  </si>
  <si>
    <t>TELEFONO GUASTO</t>
  </si>
  <si>
    <t>FAULT__GUASTO_</t>
  </si>
  <si>
    <t>CATEGORIA ALLARMI SOS ASTRO TELEFONO GUASTO AUTODIAGNOSTICA</t>
  </si>
  <si>
    <t>TEL. GUASTO-AUTODIAGNOSTICA</t>
  </si>
  <si>
    <t>FAULT__GUASTO_AUTO</t>
  </si>
  <si>
    <t>CATEGORIA ALLARMI SOS ASTRO TELEFONO GUASTO AUTODIAGNOSTICA CENTRALINO SOS</t>
  </si>
  <si>
    <t>FAULT__GUASTO_AUTO_EXCEPTION</t>
  </si>
  <si>
    <t>CATEGORIA ALLARMI SOS ASTRO TELEFONO GUASTO CENTRALINO SOS</t>
  </si>
  <si>
    <t>FAULT__GUASTO__EXCEPTION</t>
  </si>
  <si>
    <t>CATEGORIA ALLARMI SOS ASTRO TELEFONO IRRAGGIUNGIBILE</t>
  </si>
  <si>
    <t>TELEFONO FUORI RETE</t>
  </si>
  <si>
    <t>FAULT__IRRAGGI</t>
  </si>
  <si>
    <t>CATEGORIA ALLARMI SOS ASTRO TELEFONO IRRAGGIUNGIBILE CENTRALINO SOS</t>
  </si>
  <si>
    <t>FAULT__IRRAGGI_EXCEPTION</t>
  </si>
  <si>
    <t>FINE_CORSA_PORTA</t>
  </si>
  <si>
    <t>Porta aperta</t>
  </si>
  <si>
    <t>FINE_MATERIALE_FILTRO</t>
  </si>
  <si>
    <t>Allarme fine materiale filtro</t>
  </si>
  <si>
    <t>FUNGO_DI_EMERGENZA</t>
  </si>
  <si>
    <t>Allarme fungo di emergenza</t>
  </si>
  <si>
    <t>FUSIBILE_1</t>
  </si>
  <si>
    <t>FUSIBILE_2</t>
  </si>
  <si>
    <t>GUASTO_ELETTRICO</t>
  </si>
  <si>
    <t>Allarme guasto elettrico</t>
  </si>
  <si>
    <t>Addetto sala,Controller impianti,Responsabile di sala,Responsabile impianti,superadmin</t>
  </si>
  <si>
    <t>LOGAUT - MANUALE</t>
  </si>
  <si>
    <t>Amministratore,superadmin</t>
  </si>
  <si>
    <t>MANCATA_MEDIA</t>
  </si>
  <si>
    <t>Allarme mancata posizione media</t>
  </si>
  <si>
    <t>MEDIA</t>
  </si>
  <si>
    <t>Allarme media</t>
  </si>
  <si>
    <t>MESSAGGIO_DI_TESTO</t>
  </si>
  <si>
    <t>messaggio di testo</t>
  </si>
  <si>
    <t>MISURA_FUORI_SOGLIA_H2O</t>
  </si>
  <si>
    <t>MISURA_FUORI_SOGLIA_H2O_SUPERIORE</t>
  </si>
  <si>
    <t>Allarme livello serbatoio acqua medio</t>
  </si>
  <si>
    <t>MISURA_FUORI_SOGLIA_INFERIORE_WEATHER_OUTSIDE_TEMPERATURE</t>
  </si>
  <si>
    <t>TEMPERATURA ARIA SOTTO SOGLIA DEFINITA</t>
  </si>
  <si>
    <t>MISURA_FUORI_SOGLIA_INFERIORE_WEATHER_ROAD_CONDITION</t>
  </si>
  <si>
    <t>CONDIZIONE STRADA PERIOCOLO GHIACCIO</t>
  </si>
  <si>
    <t>MISURA_FUORI_SOGLIA_METRICA</t>
  </si>
  <si>
    <t>Soglia metrica inferiore superata</t>
  </si>
  <si>
    <t>MISURA_FUORI_SOGLIA_METRICA_INFERIORE</t>
  </si>
  <si>
    <t>Misura soglia metrica inferiore superata</t>
  </si>
  <si>
    <t>MISURA_FUORI_SOGLIA_METRICA_INFERIORE_NORD</t>
  </si>
  <si>
    <t>Misura soglia metrica inferiore superata nord</t>
  </si>
  <si>
    <t>MISURA_FUORI_SOGLIA_METRICA_INFERIORE_SUD</t>
  </si>
  <si>
    <t>Misura soglia metrica inferiore superata sud</t>
  </si>
  <si>
    <t>MISURA_FUORI_SOGLIA_METRICA_SUPERIORE</t>
  </si>
  <si>
    <t>Misura soglia metrica superiore superata</t>
  </si>
  <si>
    <t>MISURA_FUORI_SOGLIA_NO_INFERIORE_SUPERATA_TRAFFICO_FLUIDO_SUD</t>
  </si>
  <si>
    <t>Misura fuori soglia NO inferiore superata traffico fluido Sud</t>
  </si>
  <si>
    <t>MISURA_VEL_FAULT</t>
  </si>
  <si>
    <t>Allarme misurazione velocita' fallita</t>
  </si>
  <si>
    <t>MIS_VIB_IN_FAULT</t>
  </si>
  <si>
    <t>Allarme mis vib in fault</t>
  </si>
  <si>
    <t>NODO_DP_IN_ANOMALIA</t>
  </si>
  <si>
    <t>Allarme nodo dp in anomalia</t>
  </si>
  <si>
    <t>CATEGORIA ALLARMI SOS ASTRO SQUILLO CHIAMATA EMERGENZA SOSPESA</t>
  </si>
  <si>
    <t>CHIAMATA SOSPESA</t>
  </si>
  <si>
    <t>ONHOLD</t>
  </si>
  <si>
    <t>OP_SPORCO</t>
  </si>
  <si>
    <t>Allarme opacimetro sporco</t>
  </si>
  <si>
    <t>ORDINANZE</t>
  </si>
  <si>
    <t>#924545</t>
  </si>
  <si>
    <t>PREALLARME_TEMPERATURA_AVVOLGIMENTO</t>
  </si>
  <si>
    <t>Preallarme temperatura avvolgimento</t>
  </si>
  <si>
    <t>PREALLARME_TEMPERATURA_AVVOLGIMENTO_1</t>
  </si>
  <si>
    <t>PREALLARME_TEMPERATURA_AVVOLGIMENTO_2</t>
  </si>
  <si>
    <t>PREALLARME_TEMPERATURA_CUSCINETTI_1</t>
  </si>
  <si>
    <t>Preallarme temperatura cuscinetti</t>
  </si>
  <si>
    <t>PREALLARME_TEMPERATURA_CUSCINETTI_2</t>
  </si>
  <si>
    <t>PRESENZA_OGGETTO_IN_CARREGGIATA</t>
  </si>
  <si>
    <t>presenza oggetto</t>
  </si>
  <si>
    <t>PRE_ALLARME_SOGLIA_INFERIORE_SUPERATA</t>
  </si>
  <si>
    <t>Preallarme soglia inferiore superata</t>
  </si>
  <si>
    <t>PRE_ALLARME_SOGLIA_SUPERIORE_SUPERATA</t>
  </si>
  <si>
    <t>Preallarme soglia superiore superata</t>
  </si>
  <si>
    <t>CATEGORIA ALLARMI SOS ASTRO SQUILLO CHIAMATA EMERGENZA IN ATTESA</t>
  </si>
  <si>
    <t>CHIAMATA IN ATTESA</t>
  </si>
  <si>
    <t>QUEUED</t>
  </si>
  <si>
    <t>RADIO</t>
  </si>
  <si>
    <t>Allarme radio</t>
  </si>
  <si>
    <t>RELE_MINIMA_TENSIONE_1</t>
  </si>
  <si>
    <t>Chiusura Allarme rele minima tensione</t>
  </si>
  <si>
    <t>RELE_MINIMA_TENSIONE_2</t>
  </si>
  <si>
    <t>RELE_MINIMA_TENSIONE_3</t>
  </si>
  <si>
    <t>RESISTENZA_ANTICONDENSA</t>
  </si>
  <si>
    <t>Allarme resistenza anticondensa</t>
  </si>
  <si>
    <t>CATEGORIA ALLARMI SOS ASTRO SQUILLO TEL EMERGENZA</t>
  </si>
  <si>
    <t>CHIAMATA SOS</t>
  </si>
  <si>
    <t>RINGNG</t>
  </si>
  <si>
    <t>SEGNALAZIONI</t>
  </si>
  <si>
    <t>CATEGORIA ALLARMI SOS ASTRO CONFIGURAZIONE INCOMPLETA</t>
  </si>
  <si>
    <t>LINK MANCANTE</t>
  </si>
  <si>
    <t>SETUP_NO_MAC</t>
  </si>
  <si>
    <t>SEZIONATORE_GENERALE_CHIUSO</t>
  </si>
  <si>
    <t>Allarme sezionatore generale chiuso</t>
  </si>
  <si>
    <t>5</t>
  </si>
  <si>
    <t>cantieri</t>
  </si>
  <si>
    <t>SMARTROAD_BUILDING</t>
  </si>
  <si>
    <t>#452121</t>
  </si>
  <si>
    <t>SMARTROAD_KEMLER_READ</t>
  </si>
  <si>
    <t>Kemler code letto (merce pericolosa)</t>
  </si>
  <si>
    <t>posizione mezzo</t>
  </si>
  <si>
    <t>SMARTROAD_VEHICLES</t>
  </si>
  <si>
    <t>#4e2ec2</t>
  </si>
  <si>
    <t>SMARTROAD_WEATHER_BACKEND_CONNECTION_SLOW</t>
  </si>
  <si>
    <t>Connessione con dispositivo lenta</t>
  </si>
  <si>
    <t>SMARTROAD_WEATHER_BACKEND_CONNECTION_UNRELIABLE</t>
  </si>
  <si>
    <t>SMARTROAD_WEATHER_CAMERA_CONNECTION_SLOW</t>
  </si>
  <si>
    <t>Connessione con telecamera lenta</t>
  </si>
  <si>
    <t>SMARTROAD_WEATHER_CAMERA_CONNECTION_UNRELIABLE</t>
  </si>
  <si>
    <t>Telecamera non raggiungibile</t>
  </si>
  <si>
    <t>SMARTROAD_WEATHER_FLOODED_ROAD</t>
  </si>
  <si>
    <t>Strada allagata</t>
  </si>
  <si>
    <t>SMARTROAD_WEATHER_FRAME_MOVE</t>
  </si>
  <si>
    <t>Telecamera mossa</t>
  </si>
  <si>
    <t>SMARTROAD_WEATHER_SMOKE</t>
  </si>
  <si>
    <t>Presenza di fumo</t>
  </si>
  <si>
    <t>SMARTROAD_WEATHER_WET_ROAD</t>
  </si>
  <si>
    <t>Strada bagnata</t>
  </si>
  <si>
    <t>SOCCORSO</t>
  </si>
  <si>
    <t>soccorso</t>
  </si>
  <si>
    <t>SOVRASCRITTURA_DISPOSITIVO</t>
  </si>
  <si>
    <t>Allarme sovrascrittura dispositivo</t>
  </si>
  <si>
    <t>SS51_SMARTROAD_AID_QUEUE</t>
  </si>
  <si>
    <t>Amministratore,superadmin,Responsabile impianti,Controller impianti,superadmin,superadmin</t>
  </si>
  <si>
    <t>SS51_SMARTROAD_AID_STATIONARY_VEHICLE</t>
  </si>
  <si>
    <t>CATEGORIA ALLARMI SOS ASTRO SQUILLO CANALE DISPONIBILE</t>
  </si>
  <si>
    <t>CANALE DISPONIBILE</t>
  </si>
  <si>
    <t>STATE_DOWN</t>
  </si>
  <si>
    <t>CATEGORIA ALLARMI SOS ASTRO SQUILLO CANALE NON DISPONIBILE</t>
  </si>
  <si>
    <t>CANALE NON DISPONIBILE</t>
  </si>
  <si>
    <t>STATE_NOT_DOWN</t>
  </si>
  <si>
    <t>STOCCAGGIO</t>
  </si>
  <si>
    <t>stoccaggio</t>
  </si>
  <si>
    <t>SVUOTAMENTO_RIFIUTI</t>
  </si>
  <si>
    <t>Allarme svuotamento rifiuti</t>
  </si>
  <si>
    <t>CATEGORIA ALLARMI SOS ASTRO ALLARME CRITICO PRIORITA' SISTEMA CUSTOM</t>
  </si>
  <si>
    <t>ALLARME SISTEMA CUSTOM</t>
  </si>
  <si>
    <t>SYNTH_ALM_CRITICAL</t>
  </si>
  <si>
    <t>CATEGORIA ALLARMI SOS ASTRO ALLARME BASSA PRIORITA' SISTEMA CUSTOM</t>
  </si>
  <si>
    <t>SYNTH_ALM_MINOR</t>
  </si>
  <si>
    <t>CATEGORIA ALLARMI SOS ASTRO ALIMENTAZIONE 1 NODO1</t>
  </si>
  <si>
    <t>ALIMENTAZIONE 1 NODO1</t>
  </si>
  <si>
    <t>SYS_KO_ALIM1_ASTRO1_KO</t>
  </si>
  <si>
    <t>CATEGORIA ALLARMI SOS ASTRO ALIMENTAZIONE 1 NODO2</t>
  </si>
  <si>
    <t>ALIMENTAZIONE 1 NODO2</t>
  </si>
  <si>
    <t>SYS_KO_ALIM1_ASTRO2_KO</t>
  </si>
  <si>
    <t>CATEGORIA ALLARMI SOS ASTRO ALIMENTAZIONE 2 NODO1</t>
  </si>
  <si>
    <t>ALIMENTAZIONE 2 NODO1</t>
  </si>
  <si>
    <t>SYS_KO_ALIM2_ASTRO1_KO</t>
  </si>
  <si>
    <t>CATEGORIA ALLARMI SOS ASTRO ALIMENTAZIONE 2 NODO2</t>
  </si>
  <si>
    <t>ALIMENTAZIONE 2 NODO2</t>
  </si>
  <si>
    <t>SYS_KO_ALIM2_ASTRO2_KO</t>
  </si>
  <si>
    <t>CATEGORIA ALLARMI SOS ASTRO NODO1</t>
  </si>
  <si>
    <t>NODO1 FUORI SERVIZIO</t>
  </si>
  <si>
    <t>SYS_KO_ASTRO1KO</t>
  </si>
  <si>
    <t>CATEGORIA ALLARMI SOS ASTRO NODO2</t>
  </si>
  <si>
    <t>NODO2 FUORI SERVIZIO</t>
  </si>
  <si>
    <t>SYS_KO_ASTRO2KO</t>
  </si>
  <si>
    <t>CATEGORIA ALLARMI SOS ASTRO PBX</t>
  </si>
  <si>
    <t>PBX NON FUNZIONANTE</t>
  </si>
  <si>
    <t>SYS_KO_ASTR_KO</t>
  </si>
  <si>
    <t>CATEGORIA ALLARMI SOS ASTRO DISCO PRIMARIO PIENO</t>
  </si>
  <si>
    <t>DISCO PIENO</t>
  </si>
  <si>
    <t>SYS_KO_DISK_FULL</t>
  </si>
  <si>
    <t>CATEGORIA ALLARMI SOS ASTRO COLLEGAMENTO SERIALE TRA I NODI</t>
  </si>
  <si>
    <t>ANOMALIA LINK SERIALE</t>
  </si>
  <si>
    <t>SYS_KO_HA_SERIALCABLE_KO</t>
  </si>
  <si>
    <t>CATEGORIA ALLARMI SOS ASTRO CTS FUORI SERVIZIO</t>
  </si>
  <si>
    <t>CTS FUORI SERVIZIO</t>
  </si>
  <si>
    <t>SYS_KO_OUTSERV</t>
  </si>
  <si>
    <t>CATEGORIA ALLARMI SOS ASTRO HARD DISK NODO1</t>
  </si>
  <si>
    <t>HD NODO1</t>
  </si>
  <si>
    <t>SYS_KO_RAID_ASTRO1_KO</t>
  </si>
  <si>
    <t>CATEGORIA ALLARMI SOS ASTRO HARD DISK NODO2</t>
  </si>
  <si>
    <t>HD NODO2</t>
  </si>
  <si>
    <t>SYS_KO_RAID_ASTRO2_KO</t>
  </si>
  <si>
    <t>CATEGORIA ALLARMI SOS ASTRO REGISTRAZIONI DISCO PIENO</t>
  </si>
  <si>
    <t>DISCO REGISTR. PIENO</t>
  </si>
  <si>
    <t>SYS_KO_RECDISK_FULL</t>
  </si>
  <si>
    <t>CATEGORIA ALLARMI SOS ASTRO CONNESSIONE VIDEO FUORI SERVIZIO</t>
  </si>
  <si>
    <t>VIDEO FUORI SERVIZIO</t>
  </si>
  <si>
    <t>SYS_KO_VIDEOKO</t>
  </si>
  <si>
    <t>4</t>
  </si>
  <si>
    <t>TERMOSTATO_ZERO_GRADI</t>
  </si>
  <si>
    <t>Allarme termostato zero gradi</t>
  </si>
  <si>
    <t>Categoria Allarmi Traffico</t>
  </si>
  <si>
    <t>Allarmi traffico</t>
  </si>
  <si>
    <t>TRAF-IMP</t>
  </si>
  <si>
    <t>UNDEFINED_SCADA_ALARM</t>
  </si>
  <si>
    <t>VEICOLO_INVERSIONE</t>
  </si>
  <si>
    <t>Allarme inversione in galleria</t>
  </si>
  <si>
    <t>VEL_ZERO</t>
  </si>
  <si>
    <t>Allarme velocita' zero</t>
  </si>
  <si>
    <t>abnormalLoad</t>
  </si>
  <si>
    <t>Veicolo adibito a trasporti eccezionali</t>
  </si>
  <si>
    <t>brokenDownVehicle</t>
  </si>
  <si>
    <t>Veicolo guasto sulla carreggiata</t>
  </si>
  <si>
    <t>fog</t>
  </si>
  <si>
    <t>Nebbia con visibilità superiore a 50 metri</t>
  </si>
  <si>
    <t>Generici</t>
  </si>
  <si>
    <t>Generico</t>
  </si>
  <si>
    <t>generic</t>
  </si>
  <si>
    <t>#837272</t>
  </si>
  <si>
    <t>superadmin,Amministratore</t>
  </si>
  <si>
    <t>hail</t>
  </si>
  <si>
    <t>Grandine</t>
  </si>
  <si>
    <t>heavyTaffic</t>
  </si>
  <si>
    <t>Traffico intenso</t>
  </si>
  <si>
    <t>incident</t>
  </si>
  <si>
    <t>Incidente</t>
  </si>
  <si>
    <t>obstructionOnTheRoad</t>
  </si>
  <si>
    <t>Ostruzione non specificata sulla carreggiata</t>
  </si>
  <si>
    <t>other</t>
  </si>
  <si>
    <t>Altro tipo di anomalia non elencato</t>
  </si>
  <si>
    <t>patchyFog</t>
  </si>
  <si>
    <t>Banchi di nebbia</t>
  </si>
  <si>
    <t>peopleOnRoadway</t>
  </si>
  <si>
    <t>Persone sulla strada</t>
  </si>
  <si>
    <t>Categoria Allarmi Impianti</t>
  </si>
  <si>
    <t>plantcode</t>
  </si>
  <si>
    <t>prova</t>
  </si>
  <si>
    <t>superadmin</t>
  </si>
  <si>
    <t>queuingTraffic</t>
  </si>
  <si>
    <t>Traffico in coda ma con ancora qualche movimento</t>
  </si>
  <si>
    <t>rain</t>
  </si>
  <si>
    <t>Pioggia con visibilità superiore a 50 metri</t>
  </si>
  <si>
    <t>rescueAndRecoveryWork</t>
  </si>
  <si>
    <t>Attività dei servizi di emergenza</t>
  </si>
  <si>
    <t>shedLoad</t>
  </si>
  <si>
    <t>Dispersioni di merci trasportate sulla carreggiata</t>
  </si>
  <si>
    <t>sleet</t>
  </si>
  <si>
    <t>Nevischio</t>
  </si>
  <si>
    <t>slowTraffic</t>
  </si>
  <si>
    <t>Traffico rallentato che non forma coda</t>
  </si>
  <si>
    <t>slowVehicle</t>
  </si>
  <si>
    <t>Veicolo che viaggia ad una velocità inferiore</t>
  </si>
  <si>
    <t>smokeHazard</t>
  </si>
  <si>
    <t>Fumo sparso sulla carreggiata visibilità notevolmente ridotta</t>
  </si>
  <si>
    <t>snowfall</t>
  </si>
  <si>
    <t>Nevicata con una visibilità superiore a 50m</t>
  </si>
  <si>
    <t>spillageOnTheRoad</t>
  </si>
  <si>
    <t>Oggetti sulla carreggiata a causa di un incidente precedente</t>
  </si>
  <si>
    <t>stationaryTraffic</t>
  </si>
  <si>
    <t>Traffico fermo o quasi fermo</t>
  </si>
  <si>
    <t>strongWinds</t>
  </si>
  <si>
    <t>Venti tra i 40 km/h e 60 km/h</t>
  </si>
  <si>
    <t>Categoria Allarmi Tasia</t>
  </si>
  <si>
    <t>tasiacode</t>
  </si>
  <si>
    <t>test</t>
  </si>
  <si>
    <t>tttt</t>
  </si>
  <si>
    <t>test15</t>
  </si>
  <si>
    <t>test21</t>
  </si>
  <si>
    <t>test andi sss</t>
  </si>
  <si>
    <t>superadmin,superadmin,superadmin,superadmin,superadmin,superadmin,superadmin,superadmin</t>
  </si>
  <si>
    <t>thunderstorms</t>
  </si>
  <si>
    <t>Temporale con pioggia forte</t>
  </si>
  <si>
    <t>TRAFFIC_NORM</t>
  </si>
  <si>
    <t>Traffico normale</t>
  </si>
  <si>
    <t>trafficFlowNormal</t>
  </si>
  <si>
    <t>TRAFFIC_HEAVIER_NORM</t>
  </si>
  <si>
    <t>Alta densita' di traffico</t>
  </si>
  <si>
    <t>trafficHeavierThanNormal</t>
  </si>
  <si>
    <t>TRAFFIC_LIGHTER_NORM</t>
  </si>
  <si>
    <t>Traffico lievemente superiore alla norma</t>
  </si>
  <si>
    <t>trafficLighterThanNormal</t>
  </si>
  <si>
    <t>TRAFFIC_MUCH_HEAVIER_NORM</t>
  </si>
  <si>
    <t>Altissima densita' di traffico</t>
  </si>
  <si>
    <t>trafficVeryMuchHeavierThanNormal</t>
  </si>
  <si>
    <t>TRAFFIC_MUCH_LIGHTER_NORM</t>
  </si>
  <si>
    <t>Traffico sensibilmente superiore alla norma</t>
  </si>
  <si>
    <t>trafficVeryMuchLighterThanNormal</t>
  </si>
  <si>
    <t>Categoria Generica</t>
  </si>
  <si>
    <t>Allarme non categorizzato</t>
  </si>
  <si>
    <t>undefined</t>
  </si>
  <si>
    <t>vehicleOnFire</t>
  </si>
  <si>
    <t>Veicolo che è o è stato in fiamme</t>
  </si>
  <si>
    <t>vehicleOnWrongCarriageway</t>
  </si>
  <si>
    <t>Veicolo contromano</t>
  </si>
  <si>
    <t>vehicleStuck</t>
  </si>
  <si>
    <t>Veicolo fermo a causa di condizioni ambientali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</si>
</sst>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  <scheme val="minor"/>
    </font>
    <font>
      <b/>
      <sz val="12"/>
      <name val="Calibri"/>
      <family val="2"/>
    </font>
    <font>
      <b/>
      <sz val="11"/>
      <color rgb="FFFF0000"/>
      <name val="Calibri"/>
      <family val="2"/>
      <scheme val="minor"/>
    </font>
    <font>
      <b/>
      <strike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">
    <xf numFmtId="0" fontId="0" fillId="0" borderId="0"/>
    <xf numFmtId="0" fontId="6" fillId="0" borderId="0"/>
    <xf numFmtId="0" fontId="5" fillId="0" borderId="0"/>
    <xf numFmtId="0" fontId="4" fillId="0" borderId="0"/>
    <xf numFmtId="0" fontId="10" fillId="0" borderId="0"/>
    <xf numFmtId="0" fontId="3" fillId="0" borderId="0"/>
    <xf numFmtId="0" fontId="2" fillId="0" borderId="0"/>
    <xf numFmtId="0" fontId="1" fillId="0" borderId="0"/>
  </cellStyleXfs>
  <cellXfs count="112">
    <xf numFmtId="0" fontId="0" fillId="0" borderId="0" xfId="0"/>
    <xf numFmtId="0" fontId="7" fillId="5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3" fillId="8" borderId="4" xfId="0" applyFont="1" applyFill="1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13" fillId="8" borderId="1" xfId="0" applyFont="1" applyFill="1" applyBorder="1" applyAlignment="1">
      <alignment horizontal="left" vertical="center"/>
    </xf>
    <xf numFmtId="0" fontId="0" fillId="0" borderId="7" xfId="0" applyBorder="1" applyAlignment="1">
      <alignment vertical="center" wrapText="1"/>
    </xf>
    <xf numFmtId="0" fontId="13" fillId="8" borderId="9" xfId="0" applyFont="1" applyFill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13" fillId="9" borderId="11" xfId="0" applyFont="1" applyFill="1" applyBorder="1" applyAlignment="1">
      <alignment horizontal="left" vertical="center"/>
    </xf>
    <xf numFmtId="0" fontId="13" fillId="9" borderId="12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16" fillId="10" borderId="14" xfId="0" applyNumberFormat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/>
    </xf>
    <xf numFmtId="0" fontId="11" fillId="6" borderId="14" xfId="0" applyFont="1" applyFill="1" applyBorder="1"/>
    <xf numFmtId="0" fontId="11" fillId="3" borderId="14" xfId="0" applyFont="1" applyFill="1" applyBorder="1"/>
    <xf numFmtId="0" fontId="7" fillId="3" borderId="14" xfId="0" applyFont="1" applyFill="1" applyBorder="1"/>
    <xf numFmtId="0" fontId="7" fillId="0" borderId="14" xfId="0" quotePrefix="1" applyFont="1" applyBorder="1" applyAlignment="1">
      <alignment horizontal="center"/>
    </xf>
    <xf numFmtId="0" fontId="7" fillId="5" borderId="14" xfId="0" applyFont="1" applyFill="1" applyBorder="1"/>
    <xf numFmtId="0" fontId="7" fillId="0" borderId="14" xfId="0" applyFont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0" fillId="0" borderId="14" xfId="0" quotePrefix="1" applyBorder="1" applyAlignment="1">
      <alignment horizontal="left"/>
    </xf>
    <xf numFmtId="0" fontId="8" fillId="11" borderId="14" xfId="1" applyFont="1" applyFill="1" applyBorder="1" applyAlignment="1">
      <alignment horizontal="center" vertical="center" wrapText="1"/>
    </xf>
    <xf numFmtId="0" fontId="8" fillId="2" borderId="1" xfId="7" applyFont="1" applyFill="1" applyBorder="1" applyAlignment="1">
      <alignment horizontal="center" vertical="center" wrapText="1"/>
    </xf>
    <xf numFmtId="0" fontId="8" fillId="4" borderId="1" xfId="7" applyFont="1" applyFill="1" applyBorder="1" applyAlignment="1">
      <alignment horizontal="center" vertical="center" wrapText="1"/>
    </xf>
    <xf numFmtId="0" fontId="11" fillId="6" borderId="1" xfId="0" applyFont="1" applyFill="1" applyBorder="1"/>
    <xf numFmtId="0" fontId="11" fillId="3" borderId="1" xfId="0" applyFont="1" applyFill="1" applyBorder="1"/>
    <xf numFmtId="0" fontId="7" fillId="3" borderId="1" xfId="0" applyFont="1" applyFill="1" applyBorder="1"/>
    <xf numFmtId="0" fontId="7" fillId="0" borderId="1" xfId="0" quotePrefix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left"/>
    </xf>
    <xf numFmtId="0" fontId="11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quotePrefix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wrapText="1"/>
    </xf>
    <xf numFmtId="0" fontId="7" fillId="0" borderId="1" xfId="0" quotePrefix="1" applyFont="1" applyBorder="1" applyAlignment="1">
      <alignment horizontal="left"/>
    </xf>
    <xf numFmtId="0" fontId="17" fillId="3" borderId="1" xfId="7" applyFont="1" applyFill="1" applyBorder="1"/>
    <xf numFmtId="0" fontId="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1" xfId="7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7" fillId="12" borderId="14" xfId="0" quotePrefix="1" applyFont="1" applyFill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6" borderId="15" xfId="0" applyFont="1" applyFill="1" applyBorder="1"/>
    <xf numFmtId="0" fontId="11" fillId="3" borderId="15" xfId="0" applyFont="1" applyFill="1" applyBorder="1"/>
    <xf numFmtId="0" fontId="7" fillId="3" borderId="15" xfId="0" applyFont="1" applyFill="1" applyBorder="1"/>
    <xf numFmtId="0" fontId="7" fillId="0" borderId="15" xfId="0" quotePrefix="1" applyFont="1" applyBorder="1" applyAlignment="1">
      <alignment horizontal="center"/>
    </xf>
    <xf numFmtId="0" fontId="7" fillId="12" borderId="15" xfId="0" applyFont="1" applyFill="1" applyBorder="1"/>
    <xf numFmtId="0" fontId="18" fillId="0" borderId="14" xfId="0" quotePrefix="1" applyFont="1" applyBorder="1" applyAlignment="1">
      <alignment horizontal="left"/>
    </xf>
    <xf numFmtId="0" fontId="18" fillId="0" borderId="0" xfId="0" applyFont="1"/>
    <xf numFmtId="0" fontId="7" fillId="0" borderId="14" xfId="0" applyFont="1" applyBorder="1"/>
    <xf numFmtId="0" fontId="7" fillId="0" borderId="14" xfId="0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left"/>
    </xf>
    <xf numFmtId="0" fontId="7" fillId="0" borderId="15" xfId="0" applyFont="1" applyBorder="1"/>
    <xf numFmtId="0" fontId="7" fillId="0" borderId="15" xfId="0" applyFont="1" applyBorder="1" applyAlignment="1">
      <alignment horizontal="center" vertical="center"/>
    </xf>
    <xf numFmtId="0" fontId="7" fillId="0" borderId="15" xfId="0" quotePrefix="1" applyFont="1" applyBorder="1" applyAlignment="1">
      <alignment horizontal="left"/>
    </xf>
    <xf numFmtId="0" fontId="7" fillId="0" borderId="14" xfId="0" applyFont="1" applyBorder="1" applyAlignment="1">
      <alignment vertical="center"/>
    </xf>
    <xf numFmtId="0" fontId="11" fillId="12" borderId="14" xfId="0" applyFont="1" applyFill="1" applyBorder="1"/>
    <xf numFmtId="0" fontId="11" fillId="11" borderId="14" xfId="0" applyFont="1" applyFill="1" applyBorder="1"/>
    <xf numFmtId="0" fontId="15" fillId="0" borderId="0" xfId="0" applyFont="1"/>
    <xf numFmtId="0" fontId="19" fillId="13" borderId="1" xfId="0" applyFont="1" applyFill="1" applyBorder="1" applyAlignment="1">
      <alignment vertical="center"/>
    </xf>
    <xf numFmtId="0" fontId="20" fillId="14" borderId="1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14" fontId="22" fillId="0" borderId="14" xfId="0" applyNumberFormat="1" applyFont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/>
    </xf>
    <xf numFmtId="0" fontId="0" fillId="4" borderId="0" xfId="0" applyFill="1"/>
    <xf numFmtId="0" fontId="0" fillId="15" borderId="0" xfId="0" applyFill="1"/>
    <xf numFmtId="0" fontId="7" fillId="16" borderId="16" xfId="0" applyFont="1" applyFill="1" applyBorder="1" applyAlignment="1">
      <alignment horizontal="center"/>
    </xf>
    <xf numFmtId="0" fontId="7" fillId="16" borderId="12" xfId="0" applyFont="1" applyFill="1" applyBorder="1"/>
    <xf numFmtId="0" fontId="7" fillId="16" borderId="12" xfId="0" applyFont="1" applyFill="1" applyBorder="1" applyAlignment="1">
      <alignment horizontal="center"/>
    </xf>
    <xf numFmtId="0" fontId="7" fillId="16" borderId="17" xfId="0" applyFont="1" applyFill="1" applyBorder="1" applyAlignment="1">
      <alignment horizontal="center"/>
    </xf>
    <xf numFmtId="0" fontId="14" fillId="16" borderId="1" xfId="0" applyFont="1" applyFill="1" applyBorder="1"/>
    <xf numFmtId="0" fontId="7" fillId="16" borderId="19" xfId="0" applyFont="1" applyFill="1" applyBorder="1" applyAlignment="1">
      <alignment horizontal="center"/>
    </xf>
    <xf numFmtId="0" fontId="0" fillId="11" borderId="0" xfId="0" applyFill="1" applyAlignment="1">
      <alignment vertical="center"/>
    </xf>
    <xf numFmtId="0" fontId="18" fillId="0" borderId="1" xfId="0" quotePrefix="1" applyFont="1" applyBorder="1" applyAlignment="1">
      <alignment horizontal="left"/>
    </xf>
    <xf numFmtId="0" fontId="11" fillId="15" borderId="1" xfId="0" applyFont="1" applyFill="1" applyBorder="1"/>
    <xf numFmtId="0" fontId="11" fillId="15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14" fillId="17" borderId="18" xfId="0" applyFont="1" applyFill="1" applyBorder="1"/>
    <xf numFmtId="0" fontId="14" fillId="17" borderId="16" xfId="0" applyFont="1" applyFill="1" applyBorder="1"/>
    <xf numFmtId="0" fontId="7" fillId="17" borderId="19" xfId="0" applyFont="1" applyFill="1" applyBorder="1" applyAlignment="1">
      <alignment horizontal="center"/>
    </xf>
    <xf numFmtId="0" fontId="14" fillId="17" borderId="1" xfId="0" applyFont="1" applyFill="1" applyBorder="1"/>
    <xf numFmtId="0" fontId="7" fillId="17" borderId="12" xfId="0" applyFont="1" applyFill="1" applyBorder="1" applyAlignment="1">
      <alignment horizontal="center"/>
    </xf>
    <xf numFmtId="0" fontId="18" fillId="11" borderId="0" xfId="0" applyFont="1" applyFill="1" applyAlignment="1">
      <alignment vertical="center"/>
    </xf>
    <xf numFmtId="0" fontId="0" fillId="11" borderId="0" xfId="0" applyFill="1"/>
    <xf numFmtId="0" fontId="13" fillId="8" borderId="3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</cellXfs>
  <cellStyles count="8">
    <cellStyle name="Normal 2" xfId="2" xr:uid="{9ED8BCFC-BD1A-4EF4-9EED-651F8B983BF4}"/>
    <cellStyle name="Normale" xfId="0" builtinId="0"/>
    <cellStyle name="Normale 2" xfId="1" xr:uid="{00000000-0005-0000-0000-000001000000}"/>
    <cellStyle name="Normale 2 2" xfId="3" xr:uid="{FEABF74B-031A-444C-8EDA-92F4F90B187E}"/>
    <cellStyle name="Normale 2 3" xfId="5" xr:uid="{B993F191-AE14-46DA-B18C-738282D5647F}"/>
    <cellStyle name="Normale 2 4" xfId="6" xr:uid="{2149D807-B484-4885-B082-47015D30FC10}"/>
    <cellStyle name="Normale 2 5" xfId="7" xr:uid="{DCCF9595-EFD2-4AB1-AFC2-DA8CC96CCD23}"/>
    <cellStyle name="Normale 3" xfId="4" xr:uid="{966EA225-312D-4CE3-AE8E-7878AE65B256}"/>
  </cellStyles>
  <dxfs count="2"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PivotTable Style 1" table="0" count="1" xr9:uid="{21EAF478-8B0A-46B9-A0E6-BEE3D43AFAF0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tradeanas.sharepoint.com/sites/TeamITIEEsercizio/Documenti%20condivisi/General/3_STIG%20-%20Gallerie/2.%20Doc%20Smart%20Road/ST%20Sicilia/RA15/ANAS-SR_RA15_Assessment%20Tecnologie_2021-11-17_re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pogavio.sharepoint.com/sites/GallerieVarie/Documenti%20condivisi/General/CLASSI%20ALLARMI_PROCEDURA/ANAS-DTIDS_NEW-Classi%20di%20Allarmi%20RMT-STIG_2024-05-07_rev4_in%20lavorazione.xlsx" TargetMode="External"/><Relationship Id="rId1" Type="http://schemas.openxmlformats.org/officeDocument/2006/relationships/externalLinkPath" Target="ANAS-DTIDS_NEW-Classi%20di%20Allarmi%20RMT-STIG_2024-05-07_rev4_in%20lavorazio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 all'utilizzo"/>
      <sheetName val="RA15_Elenco tecnologie"/>
      <sheetName val="RA15_Tecnologie Itinere"/>
      <sheetName val="RA15_Server"/>
      <sheetName val="Tendine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i allarmi RMT-STIG_rev3"/>
      <sheetName val="Classi allarmi RMT-STIG_rev4"/>
      <sheetName val="IRIS PROD 08-10-2024"/>
      <sheetName val="Classi allarmi RMT-STIG"/>
      <sheetName val="NEW-Allarmi"/>
      <sheetName val="Categorie Allarmi"/>
      <sheetName val="Tendine"/>
    </sheetNames>
    <sheetDataSet>
      <sheetData sheetId="0"/>
      <sheetData sheetId="1">
        <row r="1">
          <cell r="C1" t="str">
            <v>concatena nome+descrizione</v>
          </cell>
        </row>
        <row r="2">
          <cell r="C2" t="str">
            <v>ALL_PLC_RACK-Allarme plc rack</v>
          </cell>
        </row>
        <row r="3">
          <cell r="C3" t="str">
            <v>ALLARME_DA_SOS-Allarme SOS premuto</v>
          </cell>
        </row>
        <row r="4">
          <cell r="C4" t="str">
            <v>ALLARME_GENERICO-allarme generico</v>
          </cell>
        </row>
        <row r="5">
          <cell r="C5" t="str">
            <v>ALLARME_INCENDIO_CABINA-Allarme incendio in cabina</v>
          </cell>
        </row>
        <row r="6">
          <cell r="C6" t="str">
            <v>ALLARME_INCENDIO_DA_SENSORE-Allarme incendio da sensori</v>
          </cell>
        </row>
        <row r="7">
          <cell r="C7" t="str">
            <v>ALLARME_INCENDIO_DA_SENSORE-Allarme incendio da sensori</v>
          </cell>
        </row>
        <row r="8">
          <cell r="C8" t="str">
            <v>ALR_1_GRUPPO_ELETTROGENO-Allarme centralina gestione elettronica GE - alarm1</v>
          </cell>
        </row>
        <row r="9">
          <cell r="C9" t="str">
            <v>ALR_113-Allarme SOS pulsante 113</v>
          </cell>
        </row>
        <row r="10">
          <cell r="C10" t="str">
            <v>ALR_115-Allarme SOS pulsante 115</v>
          </cell>
        </row>
        <row r="11">
          <cell r="C11" t="str">
            <v>ALR_118-Allarme SOS pulsante 118</v>
          </cell>
        </row>
        <row r="12">
          <cell r="C12" t="str">
            <v>ALR_2_GRUPPO_ELETTROGENO-Allarme centralina gestione elettronica GE - alarm2</v>
          </cell>
        </row>
        <row r="13">
          <cell r="C13" t="str">
            <v>ALR_800116-Allarme SOS soccorso meccanico_800116</v>
          </cell>
        </row>
        <row r="14">
          <cell r="C14" t="str">
            <v>ALR_803116-Allarme SOS soccorso meccanico_803116</v>
          </cell>
        </row>
        <row r="15">
          <cell r="C15" t="str">
            <v>ALR_ALLAGAMENTO-Allarme Allagamento</v>
          </cell>
        </row>
        <row r="16">
          <cell r="C16" t="str">
            <v>ALR_ALTERNATORE_IN_SOVRACCARICO_C-Allarme alternatore in sovraccarico C</v>
          </cell>
        </row>
        <row r="17">
          <cell r="C17" t="str">
            <v>ALR_ALTERNATORE_IN_SOVRACCARICO_L-Allarme alternatore in sovraccarico L</v>
          </cell>
        </row>
        <row r="18">
          <cell r="C18" t="str">
            <v>ALR_ALTERNATORE_NON_ECCITATO-Allarme alternatore non eccitato</v>
          </cell>
        </row>
        <row r="19">
          <cell r="C19" t="str">
            <v>ALR_ALTO_LIV_GASOLIO_SERB-Allarme livello gasolio alto</v>
          </cell>
        </row>
        <row r="20">
          <cell r="C20" t="str">
            <v>ALR_ALTO_LIVELLO_POMPA-Allarme alto livello pompa</v>
          </cell>
        </row>
        <row r="21">
          <cell r="C21" t="str">
            <v>ALR_ANEMOMETRO-Allarme guasto anemometro</v>
          </cell>
        </row>
        <row r="22">
          <cell r="C22" t="str">
            <v>ALR_ANTA_ESTINTORE_APERTA-Allarme apertura anta estintore colonnina SOS</v>
          </cell>
        </row>
        <row r="23">
          <cell r="C23" t="str">
            <v>ALR_ANTE_INFERIORI-Allarme ante inferiori</v>
          </cell>
        </row>
        <row r="24">
          <cell r="C24" t="str">
            <v>ALR_ANTE_SUPERIORI-Allarme ante superiori</v>
          </cell>
        </row>
        <row r="25">
          <cell r="C25" t="str">
            <v>ALR_APERTURA_IMMOTIVATA_GCB-Allarme apertura immotivata contattore generatore</v>
          </cell>
        </row>
        <row r="26">
          <cell r="C26" t="str">
            <v>ALR_APERTURA_IMMOTIVATA_MCB-Allarme apertura immotivata contattore di rete</v>
          </cell>
        </row>
        <row r="27">
          <cell r="C27" t="str">
            <v>ALR_ARRESTO_EMERGENZA-Allarme arresto Gruppo Elettrogeno</v>
          </cell>
        </row>
        <row r="28">
          <cell r="C28" t="str">
            <v>ALR_ASSENZA_RETE-Allarme assenza rete</v>
          </cell>
        </row>
        <row r="29">
          <cell r="C29" t="str">
            <v>ALR_ASSENZA_TENSIONE-Allarme assenza tensione dispositivo</v>
          </cell>
        </row>
        <row r="30">
          <cell r="C30" t="str">
            <v>ALR_ASSENZA_TENSIONE_2_IMP-Allarme assenza tensione dispositivo</v>
          </cell>
        </row>
        <row r="31">
          <cell r="C31" t="str">
            <v>ALR_ASSENZA_TENSIONE_2_IMP-Allarme assenza tensione dispositivo</v>
          </cell>
        </row>
        <row r="32">
          <cell r="C32" t="str">
            <v>ALR_ASSENZA_TENSIONE_2_IMP-Allarme assenza tensione dispositivo</v>
          </cell>
        </row>
        <row r="33">
          <cell r="C33" t="str">
            <v>ALR_ASSENZA_TENSIONE_2_IMP-Allarme assenza tensione dispositivo</v>
          </cell>
        </row>
        <row r="34">
          <cell r="C34" t="str">
            <v>ALR_ASSENZA_TENSIONE_2_IMP-Allarme assenza tensione dispositivo</v>
          </cell>
        </row>
        <row r="35">
          <cell r="C35" t="str">
            <v>ALR_ASSENZA_TENSIONE_2_IMP-Allarme assenza tensione dispositivo</v>
          </cell>
        </row>
        <row r="36">
          <cell r="C36" t="str">
            <v>ALR_ASSIMETRIA_ALTERNATORE-Allarme assimetria alternatore</v>
          </cell>
        </row>
        <row r="37">
          <cell r="C37" t="str">
            <v>ALR_ASSIMETRIA_RETE-Allarme assimetria rete</v>
          </cell>
        </row>
        <row r="38">
          <cell r="C38" t="str">
            <v>ALR_ASSIMETRIA_RETE-Allarme assimetria rete</v>
          </cell>
        </row>
        <row r="39">
          <cell r="C39" t="str">
            <v>ALR_ASSORBIMENTO-Allarme assorbimento  ventilatore</v>
          </cell>
        </row>
        <row r="40">
          <cell r="C40" t="str">
            <v>ALR_AVARIA_ALIMENTATORI-Allarme avaria alimentatori</v>
          </cell>
        </row>
        <row r="41">
          <cell r="C41" t="str">
            <v>ALR_AVARIA_CENTRALINA_ANTINCENDIO-Allarme avaria centralina incendio</v>
          </cell>
        </row>
        <row r="42">
          <cell r="C42" t="str">
            <v>ALR_AVARIA_LED-Allarme avaria LED</v>
          </cell>
        </row>
        <row r="43">
          <cell r="C43" t="str">
            <v>ALR_AVARIA_LINEA_INTERNA-Allarme avaria linea interna</v>
          </cell>
        </row>
        <row r="44">
          <cell r="C44" t="str">
            <v>ALR_AVARIA_SERBATOIO-Allarme serbatoio GE in avaria</v>
          </cell>
        </row>
        <row r="45">
          <cell r="C45" t="str">
            <v>ALR_AVARIA_SERIALE_NE-Allarme avaria seriale NE</v>
          </cell>
        </row>
        <row r="46">
          <cell r="C46" t="str">
            <v>ALR_AVARIA_SERIALE_NW-Allarme avaria seriale NW</v>
          </cell>
        </row>
        <row r="47">
          <cell r="C47" t="str">
            <v>ALR_AVARIA_SERIALE_SE-Allarme avaria seriale SE</v>
          </cell>
        </row>
        <row r="48">
          <cell r="C48" t="str">
            <v>ALR_AVARIA_SERIALE_SW-Allarme avaria seriale SW</v>
          </cell>
        </row>
        <row r="49">
          <cell r="C49" t="str">
            <v>ALR_AVARIA_TEMPERATURE-Allarme avaria temperatura</v>
          </cell>
        </row>
        <row r="50">
          <cell r="C50" t="str">
            <v>ALR_BASSA_PRESSIONE-Allarme bassa pressione Gruppo Elettrogeno</v>
          </cell>
        </row>
        <row r="51">
          <cell r="C51" t="str">
            <v>ALR_BASSA_TENSIONE_RETE-Allarme bassa tensione rete</v>
          </cell>
        </row>
        <row r="52">
          <cell r="C52" t="str">
            <v>ALR_BASSISSIMO_LIV_GASOLIO_SERB-Allarme livello gasolio bassissimo</v>
          </cell>
        </row>
        <row r="53">
          <cell r="C53" t="str">
            <v>ALR_BASSO_LIV_GASOLIO_SERB-Allarme livello serbatoio gasolio in esaurimento</v>
          </cell>
        </row>
        <row r="54">
          <cell r="C54" t="str">
            <v>ALR_BATTERIA_ALTA-Allarme batteria alta</v>
          </cell>
        </row>
        <row r="55">
          <cell r="C55" t="str">
            <v>ALR_BATTERIA_BASSA-Allarme batteria bassa</v>
          </cell>
        </row>
        <row r="56">
          <cell r="C56" t="str">
            <v>ALR_BATTERIA_BASSA-Allarme batteria bassa</v>
          </cell>
        </row>
        <row r="57">
          <cell r="C57" t="str">
            <v>ALR_BATTERIA_CENTRALINA-Allarme batteria centralina</v>
          </cell>
        </row>
        <row r="58">
          <cell r="C58" t="str">
            <v>ALR_BATTERIA_PROCESSORE-Allarme batteria processore</v>
          </cell>
        </row>
        <row r="59">
          <cell r="C59" t="str">
            <v>ALR_BATTERIA_SCARICA-Allarme batteria scarica</v>
          </cell>
        </row>
        <row r="60">
          <cell r="C60" t="str">
            <v>ALR_CARBURANTE_ESAURITO-Allarme carburante esaurito</v>
          </cell>
        </row>
        <row r="61">
          <cell r="C61" t="str">
            <v>ALR_CASSETTO_ESTRATTO-Allarme cassetto comandi ventilatore estratto</v>
          </cell>
        </row>
        <row r="62">
          <cell r="C62" t="str">
            <v>ALR_CB1_APERTURA_FALLITA-Allarme CB1 apertura fallita</v>
          </cell>
        </row>
        <row r="63">
          <cell r="C63" t="str">
            <v>ALR_CB1_CHIUSURA_FALLITA-Allarme CB1 chiusura fallita</v>
          </cell>
        </row>
        <row r="64">
          <cell r="C64" t="str">
            <v>ALR_CB1_ESTRATTO-Allarme CB1 estratto</v>
          </cell>
        </row>
        <row r="65">
          <cell r="C65" t="str">
            <v>ALR_CB1_INTERVENUTO-Allarme CB1 interventuo</v>
          </cell>
        </row>
        <row r="66">
          <cell r="C66" t="str">
            <v>ALR_CB2_APERTURA_FALLITA-Allarme CB2 apertura fallita</v>
          </cell>
        </row>
        <row r="67">
          <cell r="C67" t="str">
            <v>ALR_CB2_CHIUSURA_FALLITA-Allarme CB2 chiusura fallita</v>
          </cell>
        </row>
        <row r="68">
          <cell r="C68" t="str">
            <v>ALR_CB2_ESTRATTO-Allarme CB2 estratto</v>
          </cell>
        </row>
        <row r="69">
          <cell r="C69" t="str">
            <v>ALR_CB2_INTERVENUTO-Allarme CB2 intervenuto</v>
          </cell>
        </row>
        <row r="70">
          <cell r="C70" t="str">
            <v>ALR_CB3_APERTURA_FALLITA-Allarme CB3 apertura fallita</v>
          </cell>
        </row>
        <row r="71">
          <cell r="C71" t="str">
            <v>ALR_CB3_CHIUSURA_FALLITA-Allarme CB3 chiusura fallita</v>
          </cell>
        </row>
        <row r="72">
          <cell r="C72" t="str">
            <v>ALR_CENTRALINA-Allarme centralina rilevazione incendio</v>
          </cell>
        </row>
        <row r="73">
          <cell r="C73" t="str">
            <v>ALR_CENTRALINA_NON_PRONTA-Allarme centralina non pronta</v>
          </cell>
        </row>
        <row r="74">
          <cell r="C74" t="str">
            <v>ALR_CENTRALINA_SCAMBIO_RETE_GRUPPO-Allarme centralina scambio rete gruppo</v>
          </cell>
        </row>
        <row r="75">
          <cell r="C75" t="str">
            <v>ALR_CENTRALINA_TRAFO-Allarme centralina Trasformatore</v>
          </cell>
        </row>
        <row r="76">
          <cell r="C76" t="str">
            <v>ALR_CHIUSURA_IMMOTIVATA_GCB-Allarme chiusura immotivata contattore generatore</v>
          </cell>
        </row>
        <row r="77">
          <cell r="C77" t="str">
            <v>ALR_CHIUSURA_IMMOTIVATA_MCB-Allarme chiusura immotivata contattore di rete</v>
          </cell>
        </row>
        <row r="78">
          <cell r="C78" t="str">
            <v>ALR_CO_DIR_NORD_CASO_A-Allarme CO caso A dir. nord</v>
          </cell>
        </row>
        <row r="79">
          <cell r="C79" t="str">
            <v>ALR_CO_DIR_NORD_CASO_B-Allarme CO caso B dir. nord</v>
          </cell>
        </row>
        <row r="80">
          <cell r="C80" t="str">
            <v>ALR_CO_DIR_NORD_CASO_C-Allarme CO caso C dir. nord</v>
          </cell>
        </row>
        <row r="81">
          <cell r="C81" t="str">
            <v>ALR_CO_DIR_SUD_CASO_A-Allarme CO caso A dir. sud</v>
          </cell>
        </row>
        <row r="82">
          <cell r="C82" t="str">
            <v>ALR_CO_DIR_SUD_CASO_B-Allarme CO caso B dir. sud</v>
          </cell>
        </row>
        <row r="83">
          <cell r="C83" t="str">
            <v>ALR_CO_DIR_SUD_CASO_C-Allarme CO caso C dir. sud</v>
          </cell>
        </row>
        <row r="84">
          <cell r="C84" t="str">
            <v>ALR_CO_OP_DIR_NORD_CASO_A-Allarme CO-OP caso A dir. nord</v>
          </cell>
        </row>
        <row r="85">
          <cell r="C85" t="str">
            <v>ALR_CO_OP_DIR_NORD_CASO_B-Allarme CO-OP caso B dir. nord</v>
          </cell>
        </row>
        <row r="86">
          <cell r="C86" t="str">
            <v>ALR_CO_OP_DIR_NORD_CASO_C-Allarme CO-OP caso C dir. nord</v>
          </cell>
        </row>
        <row r="87">
          <cell r="C87" t="str">
            <v>ALR_CO_OP_DIR_SUD_CASO_A-Allarme CO-OP caso A dir. sud</v>
          </cell>
        </row>
        <row r="88">
          <cell r="C88" t="str">
            <v>ALR_CO_OP_DIR_SUD_CASO_B-Allarme CO-OP caso B dir. sud</v>
          </cell>
        </row>
        <row r="89">
          <cell r="C89" t="str">
            <v>ALR_CO_OP_DIR_SUD_CASO_C-Allarme CO-OP caso C dir. sud</v>
          </cell>
        </row>
        <row r="90">
          <cell r="C90" t="str">
            <v>ALR_COMMUTAZIONE_400V-Allarme commutazione 400V</v>
          </cell>
        </row>
        <row r="91">
          <cell r="C91" t="str">
            <v>ALR_COMMUTAZIONE_690V-Allarme commutazione 690V</v>
          </cell>
        </row>
        <row r="92">
          <cell r="C92" t="str">
            <v>ALR_COMMUTAZIONE_ILL-Allarme commutazione illuminazione</v>
          </cell>
        </row>
        <row r="93">
          <cell r="C93" t="str">
            <v>ALR_COMMUTAZIONE_RETE-Allarme commutazione rete</v>
          </cell>
        </row>
        <row r="94">
          <cell r="C94" t="str">
            <v>ALR_COMMUTAZIONE_VENT-Allarme commutazione ventilazione</v>
          </cell>
        </row>
        <row r="95">
          <cell r="C95" t="str">
            <v>ALR_COMUNICAZIONE-Allarme comunicazione dispositivo</v>
          </cell>
        </row>
        <row r="96">
          <cell r="C96" t="str">
            <v>ALR_COMUNICAZIONE_1_IMP-Allarme comunicazione dispositivo</v>
          </cell>
        </row>
        <row r="97">
          <cell r="C97" t="str">
            <v>ALR_COMUNICAZIONE_2_IMP-Allarme comunicazione dispositivo</v>
          </cell>
        </row>
        <row r="98">
          <cell r="C98" t="str">
            <v>ALR_COMUNICAZIONE_2_IMP-Allarme comunicazione dispositivo</v>
          </cell>
        </row>
        <row r="99">
          <cell r="C99" t="str">
            <v>ALR_COMUNICAZIONE_2_IMP-Allarme comunicazione dispositivo</v>
          </cell>
        </row>
        <row r="100">
          <cell r="C100" t="str">
            <v>ALR_COMUNICAZIONE_2_IMP-Allarme comunicazione dispositivo</v>
          </cell>
        </row>
        <row r="101">
          <cell r="C101" t="str">
            <v>ALR_COMUNICAZIONE_2_IMP-Allarme comunicazione dispositivo</v>
          </cell>
        </row>
        <row r="102">
          <cell r="C102" t="str">
            <v>ALR_COMUNICAZIONE_2_IMP-Allarme comunicazione dispositivo</v>
          </cell>
        </row>
        <row r="103">
          <cell r="C103" t="str">
            <v>ALR_COMUNICAZIONE_2_IMP-Allarme comunicazione dispositivo</v>
          </cell>
        </row>
        <row r="104">
          <cell r="C104" t="str">
            <v>ALR_COMUNICAZIONE_2_IMP-Allarme comunicazione dispositivo</v>
          </cell>
        </row>
        <row r="105">
          <cell r="C105" t="str">
            <v>ALR_COMUNICAZIONE_2_IMP-Allarme comunicazione dispositivo</v>
          </cell>
        </row>
        <row r="106">
          <cell r="C106" t="str">
            <v>ALR_COMUNICAZIONE_2_IMP-Allarme comunicazione dispositivo</v>
          </cell>
        </row>
        <row r="107">
          <cell r="C107" t="str">
            <v>ALR_COMUNICAZIONE_2_IMP-Allarme comunicazione dispositivo</v>
          </cell>
        </row>
        <row r="108">
          <cell r="C108" t="str">
            <v>ALR_COMUNICAZIONE_2_IMP-Allarme comunicazione dispositivo</v>
          </cell>
        </row>
        <row r="109">
          <cell r="C109" t="str">
            <v>ALR_COMUNICAZIONE_2_IMP-Allarme comunicazione dispositivo</v>
          </cell>
        </row>
        <row r="110">
          <cell r="C110" t="str">
            <v>ALR_COMUNICAZIONE_2_IMP-Allarme comunicazione dispositivo</v>
          </cell>
        </row>
        <row r="111">
          <cell r="C111" t="str">
            <v>ALR_CONFIGURATA-Allarme configurazione mancante</v>
          </cell>
        </row>
        <row r="112">
          <cell r="C112" t="str">
            <v>ALR_CONGIUNTORE-Allarme congiuntore</v>
          </cell>
        </row>
        <row r="113">
          <cell r="C113" t="str">
            <v>ALR_CORRENTE_MAX-Allarme corrente massima Gruppo Elettrogeno</v>
          </cell>
        </row>
        <row r="114">
          <cell r="C114" t="str">
            <v>ALR_CORRENTE_MIN-Allarme corrente minima</v>
          </cell>
        </row>
        <row r="115">
          <cell r="C115" t="str">
            <v>ALR_CUMULATIVO-Allarme cumulativo serranda</v>
          </cell>
        </row>
        <row r="116">
          <cell r="C116" t="str">
            <v>ALR_CUMULATIVO_GE-Allarme cumulativo GE</v>
          </cell>
        </row>
        <row r="117">
          <cell r="C117" t="str">
            <v>ALR_CUMULATIVO_SOFT_START-Allarme cumulativo soft star</v>
          </cell>
        </row>
        <row r="118">
          <cell r="C118" t="str">
            <v>ALR_CUMULATIVO_VENTILATORE-Allarme cumulativo ventilatore</v>
          </cell>
        </row>
        <row r="119">
          <cell r="C119" t="str">
            <v>ALR_CUSCINETTO-Allarme cuscinetto</v>
          </cell>
        </row>
        <row r="120">
          <cell r="C120" t="str">
            <v>ALR_CUSCINETTO_2-Allarme cuscinetto 2</v>
          </cell>
        </row>
        <row r="121">
          <cell r="C121" t="str">
            <v>ALR_DIAGNOSTICA_IN_ERR-Allarme diagnostica in errore</v>
          </cell>
        </row>
        <row r="122">
          <cell r="C122" t="str">
            <v>ALR_DIFFERENZIALE-Allarme differenziale</v>
          </cell>
        </row>
        <row r="123">
          <cell r="C123" t="str">
            <v>ALR_DIRETTI-Allarmi diretti: Sala pompe</v>
          </cell>
        </row>
        <row r="124">
          <cell r="C124" t="str">
            <v>ALR_DISCONNESSO-Allarme sensore disconnesso</v>
          </cell>
        </row>
        <row r="125">
          <cell r="C125" t="str">
            <v>ALR_DISCONNESSO-Allarme sensore disconnesso</v>
          </cell>
        </row>
        <row r="126">
          <cell r="C126" t="str">
            <v>ALR_DISCONNESSO-Allarme sensore disconnesso</v>
          </cell>
        </row>
        <row r="127">
          <cell r="C127" t="str">
            <v>ALR_DISTACCO_TRAFO-Allarme distacco trafo</v>
          </cell>
        </row>
        <row r="128">
          <cell r="C128" t="str">
            <v>ALR_ELETTROPOMPA_AVVIATA-Allarme elettropompa avviata</v>
          </cell>
        </row>
        <row r="129">
          <cell r="C129" t="str">
            <v>ALR_ELETTROVALVOLA_APERTA-Allarme elettrovalvola antincendio aperta</v>
          </cell>
        </row>
        <row r="130">
          <cell r="C130" t="str">
            <v>ALR_ERRORE_COMUNICAZIONE-Allarme errore comunicazione dispositivo</v>
          </cell>
        </row>
        <row r="131">
          <cell r="C131" t="str">
            <v>ALR_ERRORE_ESECUZIONE_CMD-Allarme esecuzione comandi</v>
          </cell>
        </row>
        <row r="132">
          <cell r="C132" t="str">
            <v>ALR_ESCLUSIONE-Allarme esclusione</v>
          </cell>
        </row>
        <row r="133">
          <cell r="C133" t="str">
            <v>ALR_ESCLUSO_AUTO_MOTOPOMPA-Allarme esclusione Motopompa</v>
          </cell>
        </row>
        <row r="134">
          <cell r="C134" t="str">
            <v>ALR_ESTRAZIONE_ESTINTORE-Allarme SOS estintore estratto</v>
          </cell>
        </row>
        <row r="135">
          <cell r="C135" t="str">
            <v>ALR_ESTRAZIONE_ESTINTORE_2-Allarme SOS estintore 2 estratto</v>
          </cell>
        </row>
        <row r="136">
          <cell r="C136" t="str">
            <v>ALR_FILO_ISOLATO-Allarme filo D+ isolato</v>
          </cell>
        </row>
        <row r="137">
          <cell r="C137" t="str">
            <v>ALR_FILO_PRESSIONE_OLIO-Allarme filo pressione olio</v>
          </cell>
        </row>
        <row r="138">
          <cell r="C138" t="str">
            <v>ALR_FORZA_REMOTO-Allarme forzatura remoto</v>
          </cell>
        </row>
        <row r="139">
          <cell r="C139" t="str">
            <v>ALR_FREQUENZA_FUORI_SOGLIA-Allarme frequenza fuori soglia</v>
          </cell>
        </row>
        <row r="140">
          <cell r="C140" t="str">
            <v xml:space="preserve">ALR_FUSIBILE_ALIM_GATEWAY-Allarme fusibile alim. gateway </v>
          </cell>
        </row>
        <row r="141">
          <cell r="C141" t="str">
            <v>ALR_FUSIBILE_CONVERTITORE_DC-Allarme fusibile convertitore DC</v>
          </cell>
        </row>
        <row r="142">
          <cell r="C142" t="str">
            <v>ALR_FUSIBILE_CORONA_LED_PALO-Allarme fusibile corona LED palo</v>
          </cell>
        </row>
        <row r="143">
          <cell r="C143" t="str">
            <v>ALR_FUSIBILE_PACCO_BATTERIE-Allarme fusibile pacco batterie</v>
          </cell>
        </row>
        <row r="144">
          <cell r="C144" t="str">
            <v>ALR_FUSIBILE_REMOTA_IO-Allarme fusibile base remota I/O</v>
          </cell>
        </row>
        <row r="145">
          <cell r="C145" t="str">
            <v>ALR_FUSIBILE_RESISTENZA_ANTICONDENSA-Allarme fusibile resistenza anticondensa</v>
          </cell>
        </row>
        <row r="146">
          <cell r="C146" t="str">
            <v>ALR_FUSIBILE_SWITCH-Allarme fusibile switch</v>
          </cell>
        </row>
        <row r="147">
          <cell r="C147" t="str">
            <v>ALR_FUSIBILE_TELECAMERA_SMART-Allarme fusibile telecamere smart</v>
          </cell>
        </row>
        <row r="148">
          <cell r="C148" t="str">
            <v>ALR_FUSIBILE_VENTOLA-Allarme fusibile ventola</v>
          </cell>
        </row>
        <row r="149">
          <cell r="C149" t="str">
            <v>ALR_GASOLIO_FINITO-Allarme gasolio esaurito</v>
          </cell>
        </row>
        <row r="150">
          <cell r="C150" t="str">
            <v>ALR_GENERALE_1_IMP-Allarme generale dispositivo</v>
          </cell>
        </row>
        <row r="151">
          <cell r="C151" t="str">
            <v>ALR_GENERALE_1_IMP-Allarme generale dispositivo</v>
          </cell>
        </row>
        <row r="152">
          <cell r="C152" t="str">
            <v>ALR_GENERALE_1_IMP-Allarme generale dispositivo</v>
          </cell>
        </row>
        <row r="153">
          <cell r="C153" t="str">
            <v>ALR_GENERALE_2_IMP-Allarme generale dispositivo</v>
          </cell>
        </row>
        <row r="154">
          <cell r="C154" t="str">
            <v>ALR_GENERALE_2_IMP-Allarme generale dispositivo</v>
          </cell>
        </row>
        <row r="155">
          <cell r="C155" t="str">
            <v>ALR_GENERALE_2_IMP-Allarme generale dispositivo</v>
          </cell>
        </row>
        <row r="156">
          <cell r="C156" t="str">
            <v>ALR_GENERALE_POMPA-Allarme generale pompa</v>
          </cell>
        </row>
        <row r="157">
          <cell r="C157" t="str">
            <v>ALR_GENERATORE-Allarme gruppo elettrogeno</v>
          </cell>
        </row>
        <row r="158">
          <cell r="C158" t="str">
            <v>ALR_GENERICO-Allarme dispositivo</v>
          </cell>
        </row>
        <row r="159">
          <cell r="C159" t="str">
            <v>ALR_GENERICO-Allarme dispositivo</v>
          </cell>
        </row>
        <row r="160">
          <cell r="C160" t="str">
            <v>ALR_GENERICO-Allarme dispositivo</v>
          </cell>
        </row>
        <row r="161">
          <cell r="C161" t="str">
            <v>ALR_GENERICO-Allarme dispositivo</v>
          </cell>
        </row>
        <row r="162">
          <cell r="C162" t="str">
            <v>ALR_GENERICO-Allarme dispositivo</v>
          </cell>
        </row>
        <row r="163">
          <cell r="C163" t="str">
            <v>ALR_GENERICO-Allarme dispositivo</v>
          </cell>
        </row>
        <row r="164">
          <cell r="C164" t="str">
            <v>ALR_GENERICO-Allarme dispositivo</v>
          </cell>
        </row>
        <row r="165">
          <cell r="C165" t="str">
            <v>ALR_GIRI_MOTORE_BASSI-Allarme giri motori bassi</v>
          </cell>
        </row>
        <row r="166">
          <cell r="C166" t="str">
            <v>ALR_GIROFARO_ATTIVO-Allarme girofaro attivo</v>
          </cell>
        </row>
        <row r="167">
          <cell r="C167" t="str">
            <v>ALR_GIROFARO_SIRENA-Allarme girofaro e sirena attivi</v>
          </cell>
        </row>
        <row r="168">
          <cell r="C168" t="str">
            <v>ALR_GRADIENTE-Allarme gradiente sensore</v>
          </cell>
        </row>
        <row r="169">
          <cell r="C169" t="str">
            <v>ALR_GRADIENTE-Allarme gradiente sensore</v>
          </cell>
        </row>
        <row r="170">
          <cell r="C170" t="str">
            <v>ALR_GRADIENTE-Allarme gradiente sensore</v>
          </cell>
        </row>
        <row r="171">
          <cell r="C171" t="str">
            <v>ALR_GRADIENTE-Allarme gradiente sensore</v>
          </cell>
        </row>
        <row r="172">
          <cell r="C172" t="str">
            <v>ALR_GRUPPO-Allarme gruppo</v>
          </cell>
        </row>
        <row r="173">
          <cell r="C173" t="str">
            <v>ALR_GRUPPO_EL_AVARIA-Allarme avaria Gruppo Elettrogeno</v>
          </cell>
        </row>
        <row r="174">
          <cell r="C174" t="str">
            <v>ALR_GRUPPO_ELETTROGENO_AVVIATO-Allarme Gruppo Elettrogeno avviato</v>
          </cell>
        </row>
        <row r="175">
          <cell r="C175" t="str">
            <v>ALR_GRUPPO_NON_PRONTO-Allarme Gruppo Elettrogeno non pronto</v>
          </cell>
        </row>
        <row r="176">
          <cell r="C176" t="str">
            <v>ALR_GUASTO_1_IMP-Allarme guasto dispositivo</v>
          </cell>
        </row>
        <row r="177">
          <cell r="C177" t="str">
            <v>ALR_GUASTO_2_IMP-Allarme guasto dispositivo</v>
          </cell>
        </row>
        <row r="178">
          <cell r="C178" t="str">
            <v>ALR_GUASTO_2_IMP-Allarme guasto dispositivo</v>
          </cell>
        </row>
        <row r="179">
          <cell r="C179" t="str">
            <v>ALR_GUASTO_2_IMP-Allarme guasto dispositivo</v>
          </cell>
        </row>
        <row r="180">
          <cell r="C180" t="str">
            <v>ALR_GUASTO_2_IMP-Allarme guasto dispositivo</v>
          </cell>
        </row>
        <row r="181">
          <cell r="C181" t="str">
            <v>ALR_GUASTO_2_IMP-Allarme guasto dispositivo</v>
          </cell>
        </row>
        <row r="182">
          <cell r="C182" t="str">
            <v>ALR_GUASTO_2_IMP-Allarme guasto dispositivo</v>
          </cell>
        </row>
        <row r="183">
          <cell r="C183" t="str">
            <v>ALR_GUASTO_2_IMP-Allarme guasto dispositivo</v>
          </cell>
        </row>
        <row r="184">
          <cell r="C184" t="str">
            <v>ALR_GUASTO_2_IMP-Allarme guasto dispositivo</v>
          </cell>
        </row>
        <row r="185">
          <cell r="C185" t="str">
            <v>ALR_GUASTO_2_IMP-Allarme guasto dispositivo</v>
          </cell>
        </row>
        <row r="186">
          <cell r="C186" t="str">
            <v>ALR_GUASTO_2_IMP-Allarme guasto dispositivo</v>
          </cell>
        </row>
        <row r="187">
          <cell r="C187" t="str">
            <v>ALR_GUASTO_CENTRALINA_INTRUSIONE-Allarme guasto centralina intrusione in cabina</v>
          </cell>
        </row>
        <row r="188">
          <cell r="C188" t="str">
            <v>ALR_GUASTO_CRI-Allarme guasto dispositivo</v>
          </cell>
        </row>
        <row r="189">
          <cell r="C189" t="str">
            <v>ALR_GUASTO_CRI-Allarme guasto CRI</v>
          </cell>
        </row>
        <row r="190">
          <cell r="C190" t="str">
            <v>ALR_GUASTO_CRI_CABINA-Allarme guasto CRI cabina</v>
          </cell>
        </row>
        <row r="191">
          <cell r="C191" t="str">
            <v>ALR_GUASTO_FIBRA-Allarme guasto fibra</v>
          </cell>
        </row>
        <row r="192">
          <cell r="C192" t="str">
            <v>ALR_GUASTO_GRAVE-Allarme guasto grave</v>
          </cell>
        </row>
        <row r="193">
          <cell r="C193" t="str">
            <v>ALR_GUASTO_LIEVE-Allarme guasto lieve</v>
          </cell>
        </row>
        <row r="194">
          <cell r="C194" t="str">
            <v>ALR_GUASTO_LINEA-Allarme guasto linea</v>
          </cell>
        </row>
        <row r="195">
          <cell r="C195" t="str">
            <v>ALR_GUASTO_LINEA_NORD-Allarme guasto linea nord</v>
          </cell>
        </row>
        <row r="196">
          <cell r="C196" t="str">
            <v>ALR_GUASTO_LINEA_SUD-Allarme guasto linea sud</v>
          </cell>
        </row>
        <row r="197">
          <cell r="C197" t="str">
            <v>ALR_GUASTO_NOTYFIRE-Allarme guasto centralina antincendio</v>
          </cell>
        </row>
        <row r="198">
          <cell r="C198" t="str">
            <v>ALR_GUASTO_QUADRO-Allarme guasto quadro</v>
          </cell>
        </row>
        <row r="199">
          <cell r="C199" t="str">
            <v>ALR_GUASTO_SONDA-Allarme guasto sonda dispositivo</v>
          </cell>
        </row>
        <row r="200">
          <cell r="C200" t="str">
            <v>ALR_GUASTO_SONDA-Allarme guasto sonda dispositivo</v>
          </cell>
        </row>
        <row r="201">
          <cell r="C201" t="str">
            <v>ALR_GUASTO_SONDA-Allarme guasto sonda dispositivo</v>
          </cell>
        </row>
        <row r="202">
          <cell r="C202" t="str">
            <v>ALR_GUASTO_SONDA-Allarme guasto sonda dispositivo</v>
          </cell>
        </row>
        <row r="203">
          <cell r="C203" t="str">
            <v>ALR_GUASTO_SOS-Allarme guasto SOS</v>
          </cell>
        </row>
        <row r="204">
          <cell r="C204" t="str">
            <v>ALR_IDRANTE_APERTO-Allarme guasto lieve</v>
          </cell>
        </row>
        <row r="205">
          <cell r="C205" t="str">
            <v>ALR_ILLUMINAZIONE-Allarme illuminazione</v>
          </cell>
        </row>
        <row r="206">
          <cell r="C206" t="str">
            <v>ALR_INCENDIO-Allarme incendio in galleria</v>
          </cell>
        </row>
        <row r="207">
          <cell r="C207" t="str">
            <v>ALR_INCENDIO_CANNA_NORD-Allarme incendio in galleria canna nord</v>
          </cell>
        </row>
        <row r="208">
          <cell r="C208" t="str">
            <v>ALR_INCENDIO_CANNA_SUD-Allarme incendio in galleria canna sud</v>
          </cell>
        </row>
        <row r="209">
          <cell r="C209" t="str">
            <v>ALR_INCENDIO_DI_CANNA_NORD-Allarme incendio in galleria</v>
          </cell>
        </row>
        <row r="210">
          <cell r="C210" t="str">
            <v>ALR_INCENDIO_DI_CANNA_SUD-Allarme incendio in galleria</v>
          </cell>
        </row>
        <row r="211">
          <cell r="C211" t="str">
            <v>ALR_INCENDIO_POMPA-Allarme incendio pompa</v>
          </cell>
        </row>
        <row r="212">
          <cell r="C212" t="str">
            <v>ALR_INCIDENTE_DA_SOS-Allarme pulsante incidente</v>
          </cell>
        </row>
        <row r="213">
          <cell r="C213" t="str">
            <v>ALR_INCIDENTE_VEICOLO_MERCI_PERICOLOSE-Allarme attivazione pannello merci pericolose</v>
          </cell>
        </row>
        <row r="214">
          <cell r="C214" t="str">
            <v>ALR_INCLINAZIONE_LAMPADE-Allarme inclinazione lampade</v>
          </cell>
        </row>
        <row r="215">
          <cell r="C215" t="str">
            <v>ALR_INCONSISTENTE-Allarme inconsistente</v>
          </cell>
        </row>
        <row r="216">
          <cell r="C216" t="str">
            <v>ALR_INCONSISTENTE-Allarme inconsistente</v>
          </cell>
        </row>
        <row r="217">
          <cell r="C217" t="str">
            <v>ALR_INCONSISTENTE-Allarme inconsistente</v>
          </cell>
        </row>
        <row r="218">
          <cell r="C218" t="str">
            <v>ALR_INFILTRAZIONE-Allarme infiltrazione</v>
          </cell>
        </row>
        <row r="219">
          <cell r="C219" t="str">
            <v>ALR_INQUINAMENTO_CANNA_NORD-Allarme inquinamento canna nord</v>
          </cell>
        </row>
        <row r="220">
          <cell r="C220" t="str">
            <v>ALR_INQUINAMENTO_CANNA_SUD-Allarme inquinamento canna sud</v>
          </cell>
        </row>
        <row r="221">
          <cell r="C221" t="str">
            <v>ALR_INQUINAMENTO_GALLERIA-Allarme inquinamento galleria</v>
          </cell>
        </row>
        <row r="222">
          <cell r="C222" t="str">
            <v>ALR_INT_APERTO-Allarme interruttore aperto</v>
          </cell>
        </row>
        <row r="223">
          <cell r="C223" t="str">
            <v>ALR_INT_FAULT-Allarme interruttore in fault</v>
          </cell>
        </row>
        <row r="224">
          <cell r="C224" t="str">
            <v>ALR_INT_GENERALE_SCATTATO-Allarme interruttore generale scattato</v>
          </cell>
        </row>
        <row r="225">
          <cell r="C225" t="str">
            <v>ALR_INT_SCATTATO_1_IMP-Allarme interruttore scattato</v>
          </cell>
        </row>
        <row r="226">
          <cell r="C226" t="str">
            <v>ALR_INT_SCATTATO_2_IMP-Allarme interruttore scattato</v>
          </cell>
        </row>
        <row r="227">
          <cell r="C227" t="str">
            <v>ALR_INT_SCATTATO_2_IMP-Allarme interruttore scattato</v>
          </cell>
        </row>
        <row r="228">
          <cell r="C228" t="str">
            <v>ALR_INT_SCATTATO_2_IMP-Allarme interruttore scattato</v>
          </cell>
        </row>
        <row r="229">
          <cell r="C229" t="str">
            <v>ALR_INTERRUTTORE-Allarme interruttore scattato</v>
          </cell>
        </row>
        <row r="230">
          <cell r="C230" t="str">
            <v>ALR_INTERVENUTO_PROTEZIONE_TERMICO-Allarme scatto protezione magnetotermica</v>
          </cell>
        </row>
        <row r="231">
          <cell r="C231" t="str">
            <v>ALR_INTRUSIONE-Allarme intrusione in cabina</v>
          </cell>
        </row>
        <row r="232">
          <cell r="C232" t="str">
            <v>ALR_INTRUSIONE_IN_GALLERIA-Allarme intrusione in galleria</v>
          </cell>
        </row>
        <row r="233">
          <cell r="C233" t="str">
            <v>ALR_INTRUSIONE_IN_GALLERIA-Allarme intrusione in galleria</v>
          </cell>
        </row>
        <row r="234">
          <cell r="C234" t="str">
            <v>ALR_LAMPEGGIANTE-Allarme lampeggiante attivo</v>
          </cell>
        </row>
        <row r="235">
          <cell r="C235" t="str">
            <v>ALR_LIV_BATTERIA_BASSO-Allarme batteria in scarica</v>
          </cell>
        </row>
        <row r="236">
          <cell r="C236" t="str">
            <v>ALR_LIV_VASCA_ANTINCENDIO-Allarme livello serbatoio acqua in esaurimento</v>
          </cell>
        </row>
        <row r="237">
          <cell r="C237" t="str">
            <v>ALR_LIVELLO_ACQUA_BASSO-Allarme livello serbatoio acqua in esaurimento</v>
          </cell>
        </row>
        <row r="238">
          <cell r="C238" t="str">
            <v>ALR_LIVELLO_ACQUA_MEDIO-Allarme livello acqua medio</v>
          </cell>
        </row>
        <row r="239">
          <cell r="C239" t="str">
            <v>ALR_LIVELLO_MASSIMO_COMBUSTIBILE-Allarme livello massimo combustibile</v>
          </cell>
        </row>
        <row r="240">
          <cell r="C240" t="str">
            <v>ALR_LIVELLO_MINIMO_COMBUSTIBILE_1_IMP-Allarme livello minimo combustibile</v>
          </cell>
        </row>
        <row r="241">
          <cell r="C241" t="str">
            <v>ALR_LIVELLO_MINIMO_COMBUSTIBILE_2_IMP-Allarme livello serbatoio GE in esaurimento</v>
          </cell>
        </row>
        <row r="242">
          <cell r="C242" t="str">
            <v>ALR_LIVELLO_MINIMO_COMBUSTIBILE_2_IMP-Allarme livello serbatoio gasolio in esaurimento</v>
          </cell>
        </row>
        <row r="243">
          <cell r="C243" t="str">
            <v>ALR_MANCANZA_POTENZA-Allarme mancanza potenza</v>
          </cell>
        </row>
        <row r="244">
          <cell r="C244" t="str">
            <v>ALR_MANCATA_APERTURA_GCB-Allarme mancata apertura contattore generatore</v>
          </cell>
        </row>
        <row r="245">
          <cell r="C245" t="str">
            <v>ALR_MANCATA_APERTURA_MCB-Allarme mancata apertura contattore di rete</v>
          </cell>
        </row>
        <row r="246">
          <cell r="C246" t="str">
            <v>ALR_MANCATA_CHIUSURA_GCB-Allarme mancata chiusura contattore generatore</v>
          </cell>
        </row>
        <row r="247">
          <cell r="C247" t="str">
            <v>ALR_MANCATA_CHIUSURA_MCB-Allarme mancata chiusura contattore di rete</v>
          </cell>
        </row>
        <row r="248">
          <cell r="C248" t="str">
            <v>ALR_MANCATO_ARRESTO-Allarme mancato arresto ventilatore</v>
          </cell>
        </row>
        <row r="249">
          <cell r="C249" t="str">
            <v>ALR_MANCATO_AVVIO-Allarme mancato avvio Gruppo Elettrogeno</v>
          </cell>
        </row>
        <row r="250">
          <cell r="C250" t="str">
            <v>ALR_MANCATO_AVVIO_VENTILATORE-Allarme mancato avvio ventilatore</v>
          </cell>
        </row>
        <row r="251">
          <cell r="C251" t="str">
            <v>ALR_MANOMISSIONE-Allarme intrusione in cabina</v>
          </cell>
        </row>
        <row r="252">
          <cell r="C252" t="str">
            <v>ALR_MANOMISSIONE-Allarme intrusione in cabina</v>
          </cell>
        </row>
        <row r="253">
          <cell r="C253" t="str">
            <v>ALR_MANOMISSIONE-Allarme intrusione in cabina</v>
          </cell>
        </row>
        <row r="254">
          <cell r="C254" t="str">
            <v>ALR_MANUTENZIONE_SCADUTA-Allarme manutenzione scaduta</v>
          </cell>
        </row>
        <row r="255">
          <cell r="C255" t="str">
            <v>ALR_MINIMO_LIV_CARBURANTE_MOTOPOMPA-Allarme minimo livello carburante motopompa</v>
          </cell>
        </row>
        <row r="256">
          <cell r="C256" t="str">
            <v>ALR_MONOSSIDO-Allarme guasto sensore CO</v>
          </cell>
        </row>
        <row r="257">
          <cell r="C257" t="str">
            <v>ALR_MOTOPOMPA_AVVIATA-Allarme Motopompa avviata</v>
          </cell>
        </row>
        <row r="258">
          <cell r="C258" t="str">
            <v>ALR_MOVIMENTO-Allarme movimento in cabina</v>
          </cell>
        </row>
        <row r="259">
          <cell r="C259" t="str">
            <v>ALR_MOVIMENTO_BYPASS-Allarme movimento in bypass</v>
          </cell>
        </row>
        <row r="260">
          <cell r="C260" t="str">
            <v>ALR_MSG_NON_VISIBILE_PER_ANOMALIA-Allarme messaggio non visibile per anomalia</v>
          </cell>
        </row>
        <row r="261">
          <cell r="C261" t="str">
            <v>ALR_NON_CONGRUENTE-Allarme risparmio energetico illuminazione</v>
          </cell>
        </row>
        <row r="262">
          <cell r="C262" t="str">
            <v>ALR_OGGETTO_DISPERSO-Allarme oggetto disperso</v>
          </cell>
        </row>
        <row r="263">
          <cell r="C263" t="str">
            <v>ALR_OGGETTO_DISPERSO-Allarme oggetto disperso</v>
          </cell>
        </row>
        <row r="264">
          <cell r="C264" t="str">
            <v>ALR_OGGETTO_DISPERSO_CORSIA_2-Allarme oggetto disperso corsia di marcia</v>
          </cell>
        </row>
        <row r="265">
          <cell r="C265" t="str">
            <v>ALR_OGGETTO_DISPERSO_CORSIA_3-Allarme oggetto disperso corsia di sorpasso</v>
          </cell>
        </row>
        <row r="266">
          <cell r="C266" t="str">
            <v>ALR_OP_DIR_NORD_CASO_A-Allarme OP caso A dir. nord</v>
          </cell>
        </row>
        <row r="267">
          <cell r="C267" t="str">
            <v>ALR_OP_DIR_NORD_CASO_B-Allarme OP caso B dir. nord</v>
          </cell>
        </row>
        <row r="268">
          <cell r="C268" t="str">
            <v>ALR_OP_DIR_NORD_CASO_C-Allarme OP caso C dir. nord</v>
          </cell>
        </row>
        <row r="269">
          <cell r="C269" t="str">
            <v>ALR_OP_DIR_SUD_CASO_A-Allarme OP caso A dir. sud</v>
          </cell>
        </row>
        <row r="270">
          <cell r="C270" t="str">
            <v>ALR_OP_DIR_SUD_CASO_B-Allarme OP caso B dir. sud</v>
          </cell>
        </row>
        <row r="271">
          <cell r="C271" t="str">
            <v>ALR_OP_DIR_SUD_CASO_C-Allarme OP caso C dir. sud</v>
          </cell>
        </row>
        <row r="272">
          <cell r="C272" t="str">
            <v>ALR_OPACITA-Allarme guasto sensore OP</v>
          </cell>
        </row>
        <row r="273">
          <cell r="C273" t="str">
            <v>ALR_PERDITA_COMBUSTIBILE-Allarme perdita serbatoio gasolio</v>
          </cell>
        </row>
        <row r="274">
          <cell r="C274" t="str">
            <v>ALR_PERDITA_GASOLIO-Allarme perdita cisterna gasolio</v>
          </cell>
        </row>
        <row r="275">
          <cell r="C275" t="str">
            <v>ALR_PERDITA_VIDEO-Allarme perdita video</v>
          </cell>
        </row>
        <row r="276">
          <cell r="C276" t="str">
            <v>ALR_PERDITA_VIDEO_CORSIA_1-Allarme perdita video corsia di emergenza</v>
          </cell>
        </row>
        <row r="277">
          <cell r="C277" t="str">
            <v>ALR_PERDITA_VIDEO_CORSIA_1-Allarme perdita video corsia di emergenza</v>
          </cell>
        </row>
        <row r="278">
          <cell r="C278" t="str">
            <v>ALR_PERDITA_VIDEO_CORSIA_2-Allarme perdita video corsia di marcia</v>
          </cell>
        </row>
        <row r="279">
          <cell r="C279" t="str">
            <v>ALR_PERDITA_VIDEO_CORSIA_2-Allarme perdita video corsia di marcia</v>
          </cell>
        </row>
        <row r="280">
          <cell r="C280" t="str">
            <v>ALR_PERDITA_VIDEO_CORSIA_3-Allarme perdita video corsia veloce</v>
          </cell>
        </row>
        <row r="281">
          <cell r="C281" t="str">
            <v>ALR_PERDITA_VIDEO_CORSIA_3-Allarme perdita video corsia veloce</v>
          </cell>
        </row>
        <row r="282">
          <cell r="C282" t="str">
            <v>ALR_PLC_IN_STOP-Allarme PLC RIO in stop</v>
          </cell>
        </row>
        <row r="283">
          <cell r="C283" t="str">
            <v>ALR_POMPA_AVVIATA-Allarme pompa avviata</v>
          </cell>
        </row>
        <row r="284">
          <cell r="C284" t="str">
            <v>ALR_POMPA_AVVIATA-Allarme pompa avviata</v>
          </cell>
        </row>
        <row r="285">
          <cell r="C285" t="str">
            <v>ALR_POMPA_AVVIATA-Allarme pompa avviata</v>
          </cell>
        </row>
        <row r="286">
          <cell r="C286" t="str">
            <v>ALR_POMPA_AVVIATA-Allarme pompa avviata</v>
          </cell>
        </row>
        <row r="287">
          <cell r="C287" t="str">
            <v>ALR_POMPA_GASOLIO-Allarme pompa gasolio</v>
          </cell>
        </row>
        <row r="288">
          <cell r="C288" t="str">
            <v>ALR_POMPA_PILOTA-Allarme generico pompa pilota</v>
          </cell>
        </row>
        <row r="289">
          <cell r="C289" t="str">
            <v>ALR_POMPA_PILOTA_AVVIATA-Allarme pompa pilota avviata</v>
          </cell>
        </row>
        <row r="290">
          <cell r="C290" t="str">
            <v>ALR_PORTA-Allarme porta aperta bypass</v>
          </cell>
        </row>
        <row r="291">
          <cell r="C291" t="str">
            <v>ALR_PORTA_ESTINTORI-Allarme porta estintore aperta</v>
          </cell>
        </row>
        <row r="292">
          <cell r="C292" t="str">
            <v>ALR_PORTA_IN_ERRORE-Allarme porta in errore RACK</v>
          </cell>
        </row>
        <row r="293">
          <cell r="C293" t="str">
            <v>ALR_PORTA_LOCALI-Allarme porta aperta locali</v>
          </cell>
        </row>
        <row r="294">
          <cell r="C294" t="str">
            <v>ALR_PORTA_MANICHETTA-Allarme porta manichetta aperta</v>
          </cell>
        </row>
        <row r="295">
          <cell r="C295" t="str">
            <v>ALR_PORTA_MANICHETTA-Allarme porta manichetta aperta</v>
          </cell>
        </row>
        <row r="296">
          <cell r="C296" t="str">
            <v>ALR_PORTA_PLC-Allarme porta PLC RIO aperta</v>
          </cell>
        </row>
        <row r="297">
          <cell r="C297" t="str">
            <v>ALR_PORTA_TELEFONO-Allarme porta telefono aperta</v>
          </cell>
        </row>
        <row r="298">
          <cell r="C298" t="str">
            <v>ALR_POTENZA_INVERSA_ALTERNATORE-Allarme potenza inversa alternatore</v>
          </cell>
        </row>
        <row r="299">
          <cell r="C299" t="str">
            <v>ALR_PREALLARME_ALLAGAMENTO-Preallarme allagamento</v>
          </cell>
        </row>
        <row r="300">
          <cell r="C300" t="str">
            <v>ALR_PREALLARME_TRAFO-Preallarme temperatura trafo</v>
          </cell>
        </row>
        <row r="301">
          <cell r="C301" t="str">
            <v>ALR_PRESSIONE-Allarme alta pressione Gruppo Elettrogeno</v>
          </cell>
        </row>
        <row r="302">
          <cell r="C302" t="str">
            <v>ALR_PROGRAMMA_CENTRALINA-Allarme programma centralina</v>
          </cell>
        </row>
        <row r="303">
          <cell r="C303" t="str">
            <v>ALR_PROTEZIONE_COMANDO_AVANTI-Allarme protezione comando avanti</v>
          </cell>
        </row>
        <row r="304">
          <cell r="C304" t="str">
            <v>ALR_PROTEZIONE_COMANDO_INDIETRO-Allarme protezione comando indietro</v>
          </cell>
        </row>
        <row r="305">
          <cell r="C305" t="str">
            <v>ALR_PROTEZIONE_GALLERIA_CANNA_NORD-Allarme protezione galleria canna Nord</v>
          </cell>
        </row>
        <row r="306">
          <cell r="C306" t="str">
            <v>ALR_PROTEZIONE_GALLERIA_CANNA_SUD-Allarme protezione galleria canna Sud</v>
          </cell>
        </row>
        <row r="307">
          <cell r="C307" t="str">
            <v>ALR_PROTEZIONE_USCITA_CANNA_NORD-Allarme protezione uscita canna Nord</v>
          </cell>
        </row>
        <row r="308">
          <cell r="C308" t="str">
            <v>ALR_PROTEZIONE_USCITA_CANNA_SUD-Allarme protezione uscita canna Sud</v>
          </cell>
        </row>
        <row r="309">
          <cell r="C309" t="str">
            <v>ALR_REGOLATORE-Allarme guasto regolatore</v>
          </cell>
        </row>
        <row r="310">
          <cell r="C310" t="str">
            <v>ALR_REGOLATORE_GUASTO-Allarme regolatore di flusso guasto</v>
          </cell>
        </row>
        <row r="311">
          <cell r="C311" t="str">
            <v>ALR_RELE_SEQUENZA_FASI_LINEA-Allarme sequenza fasi linea</v>
          </cell>
        </row>
        <row r="312">
          <cell r="C312" t="str">
            <v>ALR_RELE_SEQUENZA_FASI_PREFERENZIALE-Allarme sequenza fasi preferenziale</v>
          </cell>
        </row>
        <row r="313">
          <cell r="C313" t="str">
            <v>ALR_RESET-Allarme reset</v>
          </cell>
        </row>
        <row r="314">
          <cell r="C314" t="str">
            <v>ALR_RICHIESTA_MANUTENZIONE-Allarme richiesta manutenzione</v>
          </cell>
        </row>
        <row r="315">
          <cell r="C315" t="str">
            <v>ALR_RICHIESTA_MANUTENZIONE-Allarme richiesta manutenzione</v>
          </cell>
        </row>
        <row r="316">
          <cell r="C316" t="str">
            <v>ALR_RICHIESTA_MANUTENZIONE-Allarme richiesta manutenzione</v>
          </cell>
        </row>
        <row r="317">
          <cell r="C317" t="str">
            <v>ALR_RICHIESTA_MANUTENZIONE-Allarme richiesta manutenzione</v>
          </cell>
        </row>
        <row r="318">
          <cell r="C318" t="str">
            <v>ALR_RICHIESTO_AVVIO_ELETTROPOMPA-Allarme richiesto avviamento elettropompa</v>
          </cell>
        </row>
        <row r="319">
          <cell r="C319" t="str">
            <v>ALR_RISERVA_GASOLIO_MOTOPOMPA-Allarme riserva gasolio motopompa</v>
          </cell>
        </row>
        <row r="320">
          <cell r="C320" t="str">
            <v>ALR_RISERVA_IDRICA_ELETTROPOMPA-Allarme riserva idrica elettropompa</v>
          </cell>
        </row>
        <row r="321">
          <cell r="C321" t="str">
            <v>ALR_ROTTURA_CAVO-Allarme rottura cavo termosensibile</v>
          </cell>
        </row>
        <row r="322">
          <cell r="C322" t="str">
            <v>ALR_SCARICATORI_SOVRATENSIONE-Allarme scaricatori di sovratensione</v>
          </cell>
        </row>
        <row r="323">
          <cell r="C323" t="str">
            <v>ALR_SENSO_CICLO_INVERSO-Allarme senso ciclo inverso</v>
          </cell>
        </row>
        <row r="324">
          <cell r="C324" t="str">
            <v>ALR_SERRANDA-Allarme Serranda</v>
          </cell>
        </row>
        <row r="325">
          <cell r="C325" t="str">
            <v>ALR_SERRANDA_APERTA-Allarme serranda aperta</v>
          </cell>
        </row>
        <row r="326">
          <cell r="C326" t="str">
            <v>ALR_SEZ_VUOTO-Allarme sezionatore a vuoto</v>
          </cell>
        </row>
        <row r="327">
          <cell r="C327" t="str">
            <v>ALR_SFILAMENTO-Allarme sfilamento</v>
          </cell>
        </row>
        <row r="328">
          <cell r="C328" t="str">
            <v>ALR_SGANCIO_TELEFONO-Allarme sgancio telefono</v>
          </cell>
        </row>
        <row r="329">
          <cell r="C329" t="str">
            <v>ALR_SIRENA-Allarme sirena attiva</v>
          </cell>
        </row>
        <row r="330">
          <cell r="C330" t="str">
            <v>ALR_SOCCORRITORE_BATTERIA_SCARICA-Allarme soccorritore batteria scarica</v>
          </cell>
        </row>
        <row r="331">
          <cell r="C331" t="str">
            <v>ALR_SOCCORRITORE_BYPASS-Allarme soccorritore in bypass</v>
          </cell>
        </row>
        <row r="332">
          <cell r="C332" t="str">
            <v>ALR_SOCCORRITORE_INVERTER_ON-Allarme soccorritore in scarica</v>
          </cell>
        </row>
        <row r="333">
          <cell r="C333" t="str">
            <v>ALR_SOFT_START-Allarme ventilatore</v>
          </cell>
        </row>
        <row r="334">
          <cell r="C334" t="str">
            <v>ALR_SOS_OFFLINE-Allarme SOS offline</v>
          </cell>
        </row>
        <row r="335">
          <cell r="C335" t="str">
            <v>ALR_SOVRAPOTENZA_ALTERNATORE-Allarme sovrapotenza alternatore</v>
          </cell>
        </row>
        <row r="336">
          <cell r="C336" t="str">
            <v>ALR_SOVRATEMPERATURA_UPS-Allarme sovratemperatura interna</v>
          </cell>
        </row>
        <row r="337">
          <cell r="C337" t="str">
            <v>ALR_SOVRATENSIONE_ALTERNATORE-Allarme sovratensione alternatore</v>
          </cell>
        </row>
        <row r="338">
          <cell r="C338" t="str">
            <v>ALR_SPENTO-Allarme spento</v>
          </cell>
        </row>
        <row r="339">
          <cell r="C339" t="str">
            <v>ALR_SPENTO-Allarme spento</v>
          </cell>
        </row>
        <row r="340">
          <cell r="C340" t="str">
            <v>ALR_STACCO_VENTILATORE-Allarme stacco ventilatore</v>
          </cell>
        </row>
        <row r="341">
          <cell r="C341" t="str">
            <v>ALR_SWITCH_FAULT-Allarme switch in fault</v>
          </cell>
        </row>
        <row r="342">
          <cell r="C342" t="str">
            <v>ALR_TEMPERATURA_ALTA-Allarme alta temperatura Gruppo elettrogeno</v>
          </cell>
        </row>
        <row r="343">
          <cell r="C343" t="str">
            <v>ALR_TEMPERATURA_ALTA_OLIO-Allarme temperatura alta olio</v>
          </cell>
        </row>
        <row r="344">
          <cell r="C344" t="str">
            <v>ALR_TEMPERATURA_ALTA_QE-Allarme temperatura locali quadri</v>
          </cell>
        </row>
        <row r="345">
          <cell r="C345" t="str">
            <v>ALR_TEMPERATURA_ALTA_QMT-Allarme temperatura locali MT</v>
          </cell>
        </row>
        <row r="346">
          <cell r="C346" t="str">
            <v>ALR_TEMPERATURA_ALTA_QPLC-Allarme temperatura locale automazione</v>
          </cell>
        </row>
        <row r="347">
          <cell r="C347" t="str">
            <v>ALR_TEMPERATURA_ALTA_QUADRO-Allarme alta temperatura quadro</v>
          </cell>
        </row>
        <row r="348">
          <cell r="C348" t="str">
            <v>ALR_TEMPERATURA_ALTA_TRAFO-Allarme alta temperatura trasformatore</v>
          </cell>
        </row>
        <row r="349">
          <cell r="C349" t="str">
            <v>ALR_TEMPERATURA_BASSA-Allarme temperatura bassa</v>
          </cell>
        </row>
        <row r="350">
          <cell r="C350" t="str">
            <v>ALR_TEMPERATURA_BASSA_OLIO-Allarme temperatura olio bassa</v>
          </cell>
        </row>
        <row r="351">
          <cell r="C351" t="str">
            <v>ALR_TENSIONE_MAX-Allarme tensione Gruppo Elettrogeno fuori limiti</v>
          </cell>
        </row>
        <row r="352">
          <cell r="C352" t="str">
            <v>ALR_TIMEOUT_ACCENSIONE_PERMANENTI_DIR_NORD-Allarme timeout accensione luci permanenti dir. Nord</v>
          </cell>
        </row>
        <row r="353">
          <cell r="C353" t="str">
            <v>ALR_TIMEOUT_ACCENSIONE_PERMANENTI_DIR_SUD-Allarme timeout accensione luci permanenti dir. Sud</v>
          </cell>
        </row>
        <row r="354">
          <cell r="C354" t="str">
            <v>ALR_TIMEOUT_ACCENSIONE_RINFORZI_DIR_NORD-Allarme timeout accensione luci di rinforzo dir. Nord</v>
          </cell>
        </row>
        <row r="355">
          <cell r="C355" t="str">
            <v>ALR_TIMEOUT_ACCENSIONE_RINFORZI_DIR_SUD-Allarme timeout accensione luci di rinforzo dir. Sud</v>
          </cell>
        </row>
        <row r="356">
          <cell r="C356" t="str">
            <v>ALR_TIMEOUT_CONNESSIONE-Allarme timeout connessione</v>
          </cell>
        </row>
        <row r="357">
          <cell r="C357" t="str">
            <v>ALR_TIMEOUT_DIR_NORD-Allarme timeout dir. Nord</v>
          </cell>
        </row>
        <row r="358">
          <cell r="C358" t="str">
            <v>ALR_TIMEOUT_DIR_SUD-Allarme timeout dir. Sud</v>
          </cell>
        </row>
        <row r="359">
          <cell r="C359" t="str">
            <v>ALR_TIMEOUT_ESCLUSIONE_PICCHETTI_LUMINOSI-Allarme timeout esclusione picchetti luminosi</v>
          </cell>
        </row>
        <row r="360">
          <cell r="C360" t="str">
            <v>ALR_TIMEOUT_FORZATURA_PICCHETTI_LUMINOSI-Allarme timeout forzatura picchetti luminosi</v>
          </cell>
        </row>
        <row r="361">
          <cell r="C361" t="str">
            <v>ALR_TIMEOUT_GIROFARO-Allarme timeout girofaro</v>
          </cell>
        </row>
        <row r="362">
          <cell r="C362" t="str">
            <v>ALR_TIMEOUT_LUCE_GIALLA-Allarme timeout semaforo luce gialla</v>
          </cell>
        </row>
        <row r="363">
          <cell r="C363" t="str">
            <v>ALR_TIMEOUT_LUCE_ROSSA-Allarme timeout semaforo luce rossa</v>
          </cell>
        </row>
        <row r="364">
          <cell r="C364" t="str">
            <v>ALR_TIMEOUT_LUCE_VERDE-Allarme timeout semaforo luce verde</v>
          </cell>
        </row>
        <row r="365">
          <cell r="C365" t="str">
            <v>ALR_TIMEOUT_SIRENA-Allarme timeout sirena</v>
          </cell>
        </row>
        <row r="366">
          <cell r="C366" t="str">
            <v>ALR_TIMEOUT_SPEGNIMENTO_PERMANENTI_DIR_NORD-Allarme timeout spegnimento luci permanenti dir. Nord</v>
          </cell>
        </row>
        <row r="367">
          <cell r="C367" t="str">
            <v>ALR_TIMEOUT_SPEGNIMENTO_PERMANENTI_DIR_SUD-Allarme timeout spegnimento luci permanenti dir. Sud</v>
          </cell>
        </row>
        <row r="368">
          <cell r="C368" t="str">
            <v>ALR_TIMEOUT_SPEGNIMENTO_RINFORZI_DIR_NORD-Allarme timeout spegnimento luci di rinforzo dir. Nord</v>
          </cell>
        </row>
        <row r="369">
          <cell r="C369" t="str">
            <v>ALR_TIMEOUT_SPEGNIMENTO_RINFORZI_DIR_SUD-Allarme timeout spegnimento luci di rinforzo dir. Sud</v>
          </cell>
        </row>
        <row r="370">
          <cell r="C370" t="str">
            <v>ALR_TIPO_A_ATTIVO-Allarme tipo A (secondo Uni EN 12845)</v>
          </cell>
        </row>
        <row r="371">
          <cell r="C371" t="str">
            <v>ALR_TIPO_B_ATTIVO-Allarme tipo B (secondo Uni EN 12845)</v>
          </cell>
        </row>
        <row r="372">
          <cell r="C372" t="str">
            <v>ALR_TIPO_GCB-Allarme tipo contattore generatore</v>
          </cell>
        </row>
        <row r="373">
          <cell r="C373" t="str">
            <v>ALR_TIPO_MCB-Allarme tipo contattore di rete</v>
          </cell>
        </row>
        <row r="374">
          <cell r="C374" t="str">
            <v>ALR_TRIP_PROTEZIONE_10_1-Allarme trip Protezione 10 1</v>
          </cell>
        </row>
        <row r="375">
          <cell r="C375" t="str">
            <v>ALR_TRIP_PROTEZIONE_10_2-Allarme trip Protezione 10 2</v>
          </cell>
        </row>
        <row r="376">
          <cell r="C376" t="str">
            <v>ALR_TRIP_PROTEZIONE_27-Allarme trip Protezione 27</v>
          </cell>
        </row>
        <row r="377">
          <cell r="C377" t="str">
            <v>ALR_TRIP_PROTEZIONE_67N_S1-Allarme trip Protezione 67N S1</v>
          </cell>
        </row>
        <row r="378">
          <cell r="C378" t="str">
            <v>ALR_TRIP_PROTEZIONE_67N_S2-Allarme trip Protezione 67N S1</v>
          </cell>
        </row>
        <row r="379">
          <cell r="C379" t="str">
            <v>ALR_UPS_ANOMALIA_BYPASS-Allarme ups anomalia bypass</v>
          </cell>
        </row>
        <row r="380">
          <cell r="C380" t="str">
            <v>ALR_UPS_ANOMALIA_GRUPPO_STATICO_CONTINUITA-Allarme anomalia UPS</v>
          </cell>
        </row>
        <row r="381">
          <cell r="C381" t="str">
            <v>ALR_UPS_BACKUP-Allarme ups backup</v>
          </cell>
        </row>
        <row r="382">
          <cell r="C382" t="str">
            <v>ALR_UPS_BATTERIA_GUASTA-Allarme batteria guasta</v>
          </cell>
        </row>
        <row r="383">
          <cell r="C383" t="str">
            <v>ALR_UPS_GENERICO-Allarme generico UPS</v>
          </cell>
        </row>
        <row r="384">
          <cell r="C384" t="str">
            <v>ALR_UPS_IN_RISERVA-Allarme UPS carico in riserva</v>
          </cell>
        </row>
        <row r="385">
          <cell r="C385" t="str">
            <v>ALR_UPS_IN_SCARICA-Allarme batteria in scarica</v>
          </cell>
        </row>
        <row r="386">
          <cell r="C386" t="str">
            <v>ALR_UPS_INVERTER_GUASTO-Allarme UPS Inverter guasto</v>
          </cell>
        </row>
        <row r="387">
          <cell r="C387" t="str">
            <v>ALR_UPS_NON_ALIMENTATO-Allarme ups non alimentato</v>
          </cell>
        </row>
        <row r="388">
          <cell r="C388" t="str">
            <v>ALR_UPS_SCARICO-Allarme batteria scarica</v>
          </cell>
        </row>
        <row r="389">
          <cell r="C389" t="str">
            <v>ALR_UPS_SOVRA-CARICO-Allarme UPS Inverter sovra carico</v>
          </cell>
        </row>
        <row r="390">
          <cell r="C390" t="str">
            <v>ALR_UPS_SU_BYPASS-Allarme UPS su bypass</v>
          </cell>
        </row>
        <row r="391">
          <cell r="C391" t="str">
            <v>ALR_VENTILATORE_NON_PRONTO-Allarme Ventilatore non pronto</v>
          </cell>
        </row>
        <row r="392">
          <cell r="C392" t="str">
            <v>ALR_VIBRAZIONE-Allarme vibrazione</v>
          </cell>
        </row>
        <row r="393">
          <cell r="C393" t="str">
            <v>ALR_VIBRAZIONE_2-Allarme vibrazione</v>
          </cell>
        </row>
        <row r="394">
          <cell r="C394" t="str">
            <v>ALR_VIBRAZIONE_CUSCINETTO_2-Allarme vibrazione cuscinetto 2</v>
          </cell>
        </row>
        <row r="395">
          <cell r="C395" t="str">
            <v>ALT_TERMICO_POMPA-Allarme termico pompa</v>
          </cell>
        </row>
        <row r="396">
          <cell r="C396" t="str">
            <v>AN_GUASTO-Allarme guasto sensore AN</v>
          </cell>
        </row>
        <row r="397">
          <cell r="C397" t="str">
            <v>ANOMALIA_DISPOSITIVO-Allarme dispositivo in errore</v>
          </cell>
        </row>
        <row r="398">
          <cell r="C398" t="str">
            <v>ANOMALIA_DISPOSITIVO-Allarme dispositivo in errore</v>
          </cell>
        </row>
        <row r="399">
          <cell r="C399" t="str">
            <v>ANOMALIA_DISPOSITIVO-Allarme dispositivo in errore</v>
          </cell>
        </row>
        <row r="400">
          <cell r="C400" t="str">
            <v>ANOMALIA_DISPOSITIVO-Allarme dispositivo in errore</v>
          </cell>
        </row>
        <row r="401">
          <cell r="C401" t="str">
            <v>ANOMALIA_UPS_QUADRO_ALIMENTAZIONE-Allarme anomalia ups quadro alimentazione</v>
          </cell>
        </row>
        <row r="402">
          <cell r="C402" t="str">
            <v>APERTA-Allarme porta aperta</v>
          </cell>
        </row>
        <row r="403">
          <cell r="C403" t="str">
            <v>AVARIA-Allarme avaria</v>
          </cell>
        </row>
        <row r="404">
          <cell r="C404" t="str">
            <v>CAMERA_FAULT-Allarme camera KO</v>
          </cell>
        </row>
        <row r="405">
          <cell r="C405" t="str">
            <v>CENTRALINA_FAULT-Allarme centralina termometrica trasformatore</v>
          </cell>
        </row>
        <row r="406">
          <cell r="C406" t="str">
            <v>CENTRALINA_FAULT_CANNA_NORD-Guasto centralina rilevazione incendio canna nord</v>
          </cell>
        </row>
        <row r="407">
          <cell r="C407" t="str">
            <v>CENTRALINA_FAULT_CANNA_SUD-Guasto centralina rilevazione incendio canna sud</v>
          </cell>
        </row>
        <row r="408">
          <cell r="C408" t="str">
            <v>CO_GUASTO-Allarme guasto sensore CO</v>
          </cell>
        </row>
        <row r="409">
          <cell r="C409" t="str">
            <v>CODA-Allarme coda in galleria</v>
          </cell>
        </row>
        <row r="410">
          <cell r="C410" t="str">
            <v>CODA-Allarme coda in galleria</v>
          </cell>
        </row>
        <row r="411">
          <cell r="C411" t="str">
            <v>CODA_CORSIA_2-Allarme coda in corsia di marcia</v>
          </cell>
        </row>
        <row r="412">
          <cell r="C412" t="str">
            <v>CODA_CORSIA_2-Allarme coda in corsia di marcia</v>
          </cell>
        </row>
        <row r="413">
          <cell r="C413" t="str">
            <v>CODA_CORSIA_3-Allarme coda in corsia di sorpasso</v>
          </cell>
        </row>
        <row r="414">
          <cell r="C414" t="str">
            <v>CODA_CORSIA_3-Allarme coda in corsia di sorpasso</v>
          </cell>
        </row>
        <row r="415">
          <cell r="C415" t="str">
            <v>CODA_DIR_NORD-Allarme coda direzione Nord</v>
          </cell>
        </row>
        <row r="416">
          <cell r="C416" t="str">
            <v>CODA_DIR_SUD-Allarme coda direzione Sud</v>
          </cell>
        </row>
        <row r="417">
          <cell r="C417" t="str">
            <v>CUMULATIVO_CAMERA-Allarme cumulativo camera</v>
          </cell>
        </row>
        <row r="418">
          <cell r="C418" t="str">
            <v>FAULT_LETT_PORTATA-Allarme lettura portata non riuscita</v>
          </cell>
        </row>
        <row r="419">
          <cell r="C419" t="str">
            <v>FORTE_RALLENTAMENTO-Allarme forte rallentamento</v>
          </cell>
        </row>
        <row r="420">
          <cell r="C420" t="str">
            <v>FORTE_RALLENTAMENTO_CORSIA_1-Allarme forte rallentamento corsia di emergenza</v>
          </cell>
        </row>
        <row r="421">
          <cell r="C421" t="str">
            <v>FORTE_RALLENTAMENTO_CORSIA_2-Allarme forte rallentamento corsia di marcia</v>
          </cell>
        </row>
        <row r="422">
          <cell r="C422" t="str">
            <v>FORTE_RALLENTAMENTO_CORSIA_3-Allarme forte rallentamento corsia veloce</v>
          </cell>
        </row>
        <row r="423">
          <cell r="C423" t="str">
            <v>FORTE_RALLENTAMENTO_DIR_NORD-Allarme forte rallentamento direzione Nord</v>
          </cell>
        </row>
        <row r="424">
          <cell r="C424" t="str">
            <v>FORTE_RALLENTAMENTO_DIR_SUD-Allarme forte rallentamento direzione Sud</v>
          </cell>
        </row>
        <row r="425">
          <cell r="C425" t="str">
            <v>FUMO-Allarme fumo</v>
          </cell>
        </row>
        <row r="426">
          <cell r="C426" t="str">
            <v>FUMO-Allarme fumo</v>
          </cell>
        </row>
        <row r="427">
          <cell r="C427" t="str">
            <v>FUMO_CORSIA_1-Allarme fumo corsia di emergenza</v>
          </cell>
        </row>
        <row r="428">
          <cell r="C428" t="str">
            <v>FUMO_CORSIA_1-Allarme fumo corsia di emergenza</v>
          </cell>
        </row>
        <row r="429">
          <cell r="C429" t="str">
            <v>FUMO_CORSIA_2-Allarme fumo corsia di marcia</v>
          </cell>
        </row>
        <row r="430">
          <cell r="C430" t="str">
            <v>FUMO_CORSIA_2-Allarme fumo corsia di marcia</v>
          </cell>
        </row>
        <row r="431">
          <cell r="C431" t="str">
            <v>FUMO_CORSIA_3-Allarme fumo corsia veloce</v>
          </cell>
        </row>
        <row r="432">
          <cell r="C432" t="str">
            <v>FUMO_CORSIA_3-Allarme fumo corsia veloce</v>
          </cell>
        </row>
        <row r="433">
          <cell r="C433" t="str">
            <v>FUSIBILE-Allarme fusibile</v>
          </cell>
        </row>
        <row r="434">
          <cell r="C434" t="str">
            <v>HYDROMETRIC_STATION_ALARM_HIGH-Stazione in Allarme High</v>
          </cell>
        </row>
        <row r="435">
          <cell r="C435" t="str">
            <v>HYDROMETRIC_STATION_ALARM_LOW-Stazione in Allarme Low</v>
          </cell>
        </row>
        <row r="436">
          <cell r="C436" t="str">
            <v>HYDROMETRIC_STATION_ALARM_MEDIUM-Stazione in Allarme Medium</v>
          </cell>
        </row>
        <row r="437">
          <cell r="C437" t="str">
            <v>INCENDIO_IN_GALLERIA-Allarme incendio in galleria</v>
          </cell>
        </row>
        <row r="438">
          <cell r="C438" t="str">
            <v>INCENDIO_IN_GALLERIA-Allarme incendio in galleria</v>
          </cell>
        </row>
        <row r="439">
          <cell r="C439" t="str">
            <v>INCENDIO_IN_GALLERIA-Allarme incendio in galleria</v>
          </cell>
        </row>
        <row r="440">
          <cell r="C440" t="str">
            <v>INCIDENTE-Allarme attivazione pannello incidente</v>
          </cell>
        </row>
        <row r="441">
          <cell r="C441" t="str">
            <v>INTERRUTTORE_GENERALE-Allarme interruttore generale</v>
          </cell>
        </row>
        <row r="442">
          <cell r="C442" t="str">
            <v>MANCATA_APERTURA-Allarme mancata apertura serranda</v>
          </cell>
        </row>
        <row r="443">
          <cell r="C443" t="str">
            <v>MANCATA_CHIUSURA-Allarme mancata chiusura serranda</v>
          </cell>
        </row>
        <row r="444">
          <cell r="C444" t="str">
            <v>MANCATO_AVVIO_ELETTROPOMPA-Allarme mancato avvio elettropompa</v>
          </cell>
        </row>
        <row r="445">
          <cell r="C445" t="str">
            <v>MANCATO_AVVIO_MOTOPOMPA-Allarme mancato avvio motopompa</v>
          </cell>
        </row>
        <row r="446">
          <cell r="C446" t="str">
            <v>MANOMISSIONE-Allarme manomissione</v>
          </cell>
        </row>
        <row r="447">
          <cell r="C447" t="str">
            <v>MANOMISSIONE-Allarme manomissione</v>
          </cell>
        </row>
        <row r="448">
          <cell r="C448" t="str">
            <v>MISURA_FAULT-Allarme misurazione fallita</v>
          </cell>
        </row>
        <row r="449">
          <cell r="C449" t="str">
            <v>MISURA_FAULT-Allarme misurazione fallita</v>
          </cell>
        </row>
        <row r="450">
          <cell r="C450" t="str">
            <v>MISURA_FAULT-Allarme misurazione fallita</v>
          </cell>
        </row>
        <row r="451">
          <cell r="C451" t="str">
            <v>MISURA_FAULT-Allarme misurazione fallita</v>
          </cell>
        </row>
        <row r="452">
          <cell r="C452" t="str">
            <v>MISURA_FUORI_SOGLIA-Misura fuori soglia</v>
          </cell>
        </row>
        <row r="453">
          <cell r="C453" t="str">
            <v>MISURA_FUORI_SOGLIA_AN_INFERIORE_SUPERATA-Misura fuori soglia AN inferiore superata</v>
          </cell>
        </row>
        <row r="454">
          <cell r="C454" t="str">
            <v>MISURA_FUORI_SOGLIA_AN_SUPERIORE_SUPERATA-Misura fuori soglia AN superiore superata</v>
          </cell>
        </row>
        <row r="455">
          <cell r="C455" t="str">
            <v>MISURA_FUORI_SOGLIA_CO_INFERIORE_SUPERATA-Misura fuori soglia CO inferiore superata</v>
          </cell>
        </row>
        <row r="456">
          <cell r="C456" t="str">
            <v>MISURA_FUORI_SOGLIA_CO_SUPERIORE_SUPERATA-Misura fuori soglia CO superiore superata</v>
          </cell>
        </row>
        <row r="457">
          <cell r="C457" t="str">
            <v>MISURA_FUORI_SOGLIA_CORRENTE_INFERIORE_SUPERATA-Misura fuori soglia corrente inferiore superata</v>
          </cell>
        </row>
        <row r="458">
          <cell r="C458" t="str">
            <v>MISURA_FUORI_SOGLIA_CORRENTE_SUPERIORE_SUPERATA-Misura fuori soglia corrente superiore superata</v>
          </cell>
        </row>
        <row r="459">
          <cell r="C459" t="str">
            <v>MISURA_FUORI_SOGLIA_INFERIORE-Misura fuori soglia inferiore</v>
          </cell>
        </row>
        <row r="460">
          <cell r="C460" t="str">
            <v>MISURA_FUORI_SOGLIA_INFERIORE_SUPERATA-Misura fuori soglia inferiore</v>
          </cell>
        </row>
        <row r="461">
          <cell r="C461" t="str">
            <v>MISURA_FUORI_SOGLIA_METRICA_SUPERIORE_NORD-Misura soglia metrica superiore superata nord</v>
          </cell>
        </row>
        <row r="462">
          <cell r="C462" t="str">
            <v>MISURA_FUORI_SOGLIA_METRICA_SUPERIORE_SUD-Misura soglia metrica superiore superata sud</v>
          </cell>
        </row>
        <row r="463">
          <cell r="C463" t="str">
            <v>MISURA_FUORI_SOGLIA_NO_INFERIORE_SUPERATA-Misura fuori soglia NO inferiore superata</v>
          </cell>
        </row>
        <row r="464">
          <cell r="C464" t="str">
            <v>MISURA_FUORI_SOGLIA_NO_SUPERIORE_SUPERATA-Misura fuori soglia NO superiore superata</v>
          </cell>
        </row>
        <row r="465">
          <cell r="C465" t="str">
            <v>MISURA_FUORI_SOGLIA_OP_INFERIORE_SUPERATA-Misura fuori soglia OP inferiore superata</v>
          </cell>
        </row>
        <row r="466">
          <cell r="C466" t="str">
            <v>MISURA_FUORI_SOGLIA_OP_SUPERIORE_SUPERATA-Misura fuori soglia OP superiore superata</v>
          </cell>
        </row>
        <row r="467">
          <cell r="C467" t="str">
            <v>MISURA_FUORI_SOGLIA_PRESSIONE_INFERIORE_SUPERATA-Misura fuori soglia pressione inferiore superata</v>
          </cell>
        </row>
        <row r="468">
          <cell r="C468" t="str">
            <v>MISURA_FUORI_SOGLIA_PRESSIONE_SUPERIORE_SUPERATA-Misura fuori soglia pressione superiore superata</v>
          </cell>
        </row>
        <row r="469">
          <cell r="C469" t="str">
            <v>MISURA_FUORI_SOGLIA_SERBATOIO_ACQUA_INFERIORE_SUPERATA-Misura fuori soglia serbatoio acqua inferiore superata</v>
          </cell>
        </row>
        <row r="470">
          <cell r="C470" t="str">
            <v>MISURA_FUORI_SOGLIA_SERBATOIO_ACQUA_SUPERIORE_SUPERATA-Misura fuori soglia serbatoio acqua superiore superata</v>
          </cell>
        </row>
        <row r="471">
          <cell r="C471" t="str">
            <v>MISURA_FUORI_SOGLIA_SUPERIORE-Misura fuori soglia superiore</v>
          </cell>
        </row>
        <row r="472">
          <cell r="C472" t="str">
            <v>MISURA_FUORI_SOGLIA_T_INFERIORE_SUPERATA-Misura fuori soglia T inferiore superata</v>
          </cell>
        </row>
        <row r="473">
          <cell r="C473" t="str">
            <v>MISURA_FUORI_SOGLIA_T_SUPERIORE_SUPERATA-Misura fuori soglia T superiore superata</v>
          </cell>
        </row>
        <row r="474">
          <cell r="C474" t="str">
            <v>MISURA_FUORI_SOGLIA_VIBRAZIONE_INFERIORE_SUPERATA-Misura fuori soglia vibrazione inferiore superata</v>
          </cell>
        </row>
        <row r="475">
          <cell r="C475" t="str">
            <v>MISURA_FUORI_SOGLIA_VIBRAZIONE_SUPERIORE_SUPERATA-Misura fuori soglia vibrazione superiore superata</v>
          </cell>
        </row>
        <row r="476">
          <cell r="C476" t="str">
            <v>OP_GUASTO-Allarme guasto sensore OP</v>
          </cell>
        </row>
        <row r="477">
          <cell r="C477" t="str">
            <v>PEDONE-Allarme pedone</v>
          </cell>
        </row>
        <row r="478">
          <cell r="C478" t="str">
            <v>PEDONE-Allarme pedone</v>
          </cell>
        </row>
        <row r="479">
          <cell r="C479" t="str">
            <v>PEDONE_CORSIA_1-Allarme pedone corsia di emergenza</v>
          </cell>
        </row>
        <row r="480">
          <cell r="C480" t="str">
            <v>PEDONE_CORSIA_1-Allarme pedone corsia di emergenza</v>
          </cell>
        </row>
        <row r="481">
          <cell r="C481" t="str">
            <v>PEDONE_CORSIA_2-Allarme pedone corsia di marcia</v>
          </cell>
        </row>
        <row r="482">
          <cell r="C482" t="str">
            <v>PEDONE_CORSIA_2-Allarme pedone corsia di marcia</v>
          </cell>
        </row>
        <row r="483">
          <cell r="C483" t="str">
            <v>PEDONE_CORSIA_3-Allarme pedone corsia veloce</v>
          </cell>
        </row>
        <row r="484">
          <cell r="C484" t="str">
            <v>PEDONE_CORSIA_3-Allarme pedone corsia veloce</v>
          </cell>
        </row>
        <row r="485">
          <cell r="C485" t="str">
            <v>PORTA_QUADRO_ALIMENTAZIONE-Allarme porta quadro alimentazione</v>
          </cell>
        </row>
        <row r="486">
          <cell r="C486" t="str">
            <v>PORTA_QUADRO_ALIMENTAZIONE-Allarme porta quadro alimentazione</v>
          </cell>
        </row>
        <row r="487">
          <cell r="C487" t="str">
            <v>PRE_ALLARME-Preallarme</v>
          </cell>
        </row>
        <row r="488">
          <cell r="C488" t="str">
            <v>PRE_ALLARME-Preallarme</v>
          </cell>
        </row>
        <row r="489">
          <cell r="C489" t="str">
            <v>PRE_ALLARME_GRADIENTE-Preallarme gradiente termico</v>
          </cell>
        </row>
        <row r="490">
          <cell r="C490" t="str">
            <v>PRESSOSTATO-Allarme pressostato</v>
          </cell>
        </row>
        <row r="491">
          <cell r="C491" t="str">
            <v>RELE_MINIMA_TENSIONE-Allarme rele minima tensione</v>
          </cell>
        </row>
        <row r="492">
          <cell r="C492" t="str">
            <v>SCATTO_PROTEZIONE-Allarme scatto protezione magnetotermica</v>
          </cell>
        </row>
        <row r="493">
          <cell r="C493" t="str">
            <v>SCATTO_TERMICO_SCT_SALVA_MOTORE-Allarme scatto termico salva motore</v>
          </cell>
        </row>
        <row r="494">
          <cell r="C494" t="str">
            <v>SERRANDA_IN_APERTURA-Allarme serranda in apertura</v>
          </cell>
        </row>
        <row r="495">
          <cell r="C495" t="str">
            <v>SERRANDA_IN_CHIUSURA-Allarme serranda in chiusura</v>
          </cell>
        </row>
        <row r="496">
          <cell r="C496" t="str">
            <v>SEZIONATORE-Allarme sezionatore</v>
          </cell>
        </row>
        <row r="497">
          <cell r="C497" t="str">
            <v>SGANCIO-Allarme pulsante di sgancio</v>
          </cell>
        </row>
        <row r="498">
          <cell r="C498" t="str">
            <v>SGANCIO-Allarme pulsante di sgancio</v>
          </cell>
        </row>
        <row r="499">
          <cell r="C499" t="str">
            <v>SGANCIO-Allarme pulsante di sgancio</v>
          </cell>
        </row>
        <row r="500">
          <cell r="C500" t="str">
            <v>SGANCIO-Allarme pulsante di sgancio</v>
          </cell>
        </row>
        <row r="501">
          <cell r="C501" t="str">
            <v>SGANCIO_PREMUTO-Allarme pulsante di sgancio premuto</v>
          </cell>
        </row>
        <row r="502">
          <cell r="C502" t="str">
            <v>SMARTROAD_AID_FAST_VEHICLE-Veicolo veloce</v>
          </cell>
        </row>
        <row r="503">
          <cell r="C503" t="str">
            <v>SMARTROAD_AID_LANE_CHANGE-Cambio di corsia</v>
          </cell>
        </row>
        <row r="504">
          <cell r="C504" t="str">
            <v>SMARTROAD_AID_LOST_OBJECT-Perdita carico</v>
          </cell>
        </row>
        <row r="505">
          <cell r="C505" t="str">
            <v>SMARTROAD_AID_LOW_VISIBILITY-Nebbia o fumo</v>
          </cell>
        </row>
        <row r="506">
          <cell r="C506" t="str">
            <v>SMARTROAD_AID_PEDESTRIAN-Presenza pedone</v>
          </cell>
        </row>
        <row r="507">
          <cell r="C507" t="str">
            <v>SMARTROAD_AID_QUEUE-Coda</v>
          </cell>
        </row>
        <row r="508">
          <cell r="C508" t="str">
            <v>SMARTROAD_AID_SLOW_VEHICLE-Veicolo lento</v>
          </cell>
        </row>
        <row r="509">
          <cell r="C509" t="str">
            <v>SMARTROAD_AID_SLOWDOWN-Rallentamento</v>
          </cell>
        </row>
        <row r="510">
          <cell r="C510" t="str">
            <v>SMARTROAD_AID_STATIONARY_VEHICLE-Veicolo fermo</v>
          </cell>
        </row>
        <row r="511">
          <cell r="C511" t="str">
            <v>SMARTROAD_AID_SUDDEN_SLOWDOWN-Rallentamento improvviso</v>
          </cell>
        </row>
        <row r="512">
          <cell r="C512" t="str">
            <v>SMARTROAD_AID_WRONG_DIRECTION-Contromano</v>
          </cell>
        </row>
        <row r="513">
          <cell r="C513" t="str">
            <v>SMARTROAD_BUILDING_BATTERY_PERCENTAGE-Batteria del dispositivo sotto il 30%</v>
          </cell>
        </row>
        <row r="514">
          <cell r="C514" t="str">
            <v>SMARTROAD_BUILDING_OVERTURN-Dispositivo ribaltato</v>
          </cell>
        </row>
        <row r="515">
          <cell r="C515" t="str">
            <v>SMARTROAD_BUILDING_SHIFT-Dispositivo spostato</v>
          </cell>
        </row>
        <row r="516">
          <cell r="C516" t="str">
            <v>SMARTROAD_BUILDING_SHOCK-Dispositivo urtato</v>
          </cell>
        </row>
        <row r="517">
          <cell r="C517" t="str">
            <v>SMARTROAD_WEATHER_FALLINGSNOW-Neve</v>
          </cell>
        </row>
        <row r="518">
          <cell r="C518" t="str">
            <v>SMARTROAD_WEATHER_LAST_DATA-Connessione perduta</v>
          </cell>
        </row>
        <row r="519">
          <cell r="C519" t="str">
            <v>SMARTROAD_WEATHER_RAIN-Pioggia</v>
          </cell>
        </row>
        <row r="520">
          <cell r="C520" t="str">
            <v>SMARTROAD_WEATHER_SNOWY_ROAD-Presenza di neve sulla strada</v>
          </cell>
        </row>
        <row r="521">
          <cell r="C521" t="str">
            <v>SMARTROAD_WEATHER_TEMPERATURE-Bassa temperatura</v>
          </cell>
        </row>
        <row r="522">
          <cell r="C522" t="str">
            <v>SMARTROAD_WEATHER_TOTAL_RAIN-Precipitazioni intense [mm]</v>
          </cell>
        </row>
        <row r="523">
          <cell r="C523" t="str">
            <v>SMARTROAD_WEATHER_VISIBILITY-Bassa visibilità</v>
          </cell>
        </row>
        <row r="524">
          <cell r="C524" t="str">
            <v>TELECAMERA_SPOSTATA_CORSIA_1-Allarme telecamera spostata corsia di emergenza</v>
          </cell>
        </row>
        <row r="525">
          <cell r="C525" t="str">
            <v>TELECAMERA_SPOSTATA_CORSIA_2-Allarme telecamera spostata corsia di marcia</v>
          </cell>
        </row>
        <row r="526">
          <cell r="C526" t="str">
            <v>TELECAMERA_SPOSTATA_CORSIA_3-Allarme telecamera spostata corsia veloce</v>
          </cell>
        </row>
        <row r="527">
          <cell r="C527" t="str">
            <v>TEMPERATURA-Allarme temperatura</v>
          </cell>
        </row>
        <row r="528">
          <cell r="C528" t="str">
            <v>TRAFFICO_RALLENTATO-Allarme traffico rallentato</v>
          </cell>
        </row>
        <row r="529">
          <cell r="C529" t="str">
            <v>TRAFFICO_RALLENTATO-Allarme traffico rallentato</v>
          </cell>
        </row>
        <row r="530">
          <cell r="C530" t="str">
            <v>VEICOLO_CONTROMANO-Allarme veicolo contromano</v>
          </cell>
        </row>
        <row r="531">
          <cell r="C531" t="str">
            <v>VEICOLO_CONTROMANO-Allarme veicolo contromano</v>
          </cell>
        </row>
        <row r="532">
          <cell r="C532" t="str">
            <v>VEICOLO_CONTROMANO_CORSIA_1-Allarme veicolo contromano corsia di emergenza</v>
          </cell>
        </row>
        <row r="533">
          <cell r="C533" t="str">
            <v>VEICOLO_CONTROMANO_CORSIA_1-Allarme veicolo contromano corsia di emergenza</v>
          </cell>
        </row>
        <row r="534">
          <cell r="C534" t="str">
            <v>VEICOLO_CONTROMANO_CORSIA_2-Allarme veicolo contromano corsia di marcia</v>
          </cell>
        </row>
        <row r="535">
          <cell r="C535" t="str">
            <v>VEICOLO_CONTROMANO_CORSIA_2-Allarme veicolo contromano corsia di marcia</v>
          </cell>
        </row>
        <row r="536">
          <cell r="C536" t="str">
            <v>VEICOLO_CONTROMANO_CORSIA_3-Allarme veicolo contromano corsia veloce</v>
          </cell>
        </row>
        <row r="537">
          <cell r="C537" t="str">
            <v>VEICOLO_CONTROMANO_CORSIA_3-Allarme veicolo contromano corsia veloce</v>
          </cell>
        </row>
        <row r="538">
          <cell r="C538" t="str">
            <v>VEICOLO_FERMO-Allarme veicolo fermo</v>
          </cell>
        </row>
        <row r="539">
          <cell r="C539" t="str">
            <v>VEICOLO_FERMO-Allarme veicolo fermo</v>
          </cell>
        </row>
        <row r="540">
          <cell r="C540" t="str">
            <v>VEICOLO_FERMO_CORSIA_1-Allarme veicolo fermo corsia di emergenza</v>
          </cell>
        </row>
        <row r="541">
          <cell r="C541" t="str">
            <v>VEICOLO_FERMO_CORSIA_1-Allarme veicolo fermo corsia di emergenza</v>
          </cell>
        </row>
        <row r="542">
          <cell r="C542" t="str">
            <v>VEICOLO_FERMO_CORSIA_2-Allarme veicolo fermo corsia di marcia</v>
          </cell>
        </row>
        <row r="543">
          <cell r="C543" t="str">
            <v>VEICOLO_FERMO_CORSIA_2-Allarme veicolo fermo corsia di marcia</v>
          </cell>
        </row>
        <row r="544">
          <cell r="C544" t="str">
            <v>VEICOLO_FERMO_CORSIA_3-Allarme veicolo fermo corsia veloce</v>
          </cell>
        </row>
        <row r="545">
          <cell r="C545" t="str">
            <v>VEICOLO_FERMO_CORSIA_3-Allarme veicolo fermo corsia veloce</v>
          </cell>
        </row>
        <row r="546">
          <cell r="C546" t="str">
            <v>VEICOLO_FERMO_PIAZZOLA-Allarme veicolo fermo in piazzola</v>
          </cell>
        </row>
        <row r="547">
          <cell r="C547" t="str">
            <v>VEICOLO_INVERSIONE_CORSIA_1-Allarme inversione in corsia emergenza</v>
          </cell>
        </row>
        <row r="548">
          <cell r="C548" t="str">
            <v>VEICOLO_INVERSIONE_CORSIA_2-Allarme inversione in corsia marcia</v>
          </cell>
        </row>
        <row r="549">
          <cell r="C549" t="str">
            <v>VEICOLO_INVERSIONE_CORSIA_3-Allarme inversione in corsia sorpasso</v>
          </cell>
        </row>
        <row r="550">
          <cell r="C550" t="str">
            <v>VEICOLO_LENTO_CORSIA_1-Allarme veicolo lento corsia di emergenza</v>
          </cell>
        </row>
        <row r="551">
          <cell r="C551" t="str">
            <v>VEICOLO_LENTO_CORSIA_1-Allarme veicolo lento corsia di emergenza</v>
          </cell>
        </row>
        <row r="552">
          <cell r="C552" t="str">
            <v>VEICOLO_LENTO_CORSIA_2-Allarme veicolo lento corsia di marcia</v>
          </cell>
        </row>
        <row r="553">
          <cell r="C553" t="str">
            <v>VEICOLO_LENTO_CORSIA_2-Allarme veicolo lento corsia di marcia</v>
          </cell>
        </row>
        <row r="554">
          <cell r="C554" t="str">
            <v>VEICOLO_LENTO_CORSIA_3-Allarme veicolo lento corsia veloce</v>
          </cell>
        </row>
        <row r="555">
          <cell r="C555" t="str">
            <v>VEICOLO_LENTO_CORSIA_3-Allarme veicolo lento corsia veloce</v>
          </cell>
        </row>
        <row r="556">
          <cell r="C556" t="str">
            <v>VENTILATORE_IN_ANOMALIA-Allarme ventilatore</v>
          </cell>
        </row>
        <row r="557">
          <cell r="C557" t="str">
            <v>ALR_TIMEOUT-Allarme timeout</v>
          </cell>
        </row>
        <row r="558">
          <cell r="C558" t="str">
            <v>PRE_ALLARME_INCENDIO-Preallarme incendio da sensori</v>
          </cell>
        </row>
        <row r="559">
          <cell r="C559" t="str">
            <v>PRE_ALLARME_INCENDIO-Preallarme incendio da sensori</v>
          </cell>
        </row>
        <row r="560">
          <cell r="C560" t="str">
            <v>ALLARME_DA_SOS_DIR_NORD-Allarme SOS premuto dir. nord</v>
          </cell>
        </row>
        <row r="561">
          <cell r="C561" t="str">
            <v>ALLARME_DA_SOS_DIR_SUD-Allarme SOS premuto dir. sud</v>
          </cell>
        </row>
        <row r="562">
          <cell r="C562" t="str">
            <v>ALLARME_PRESSIONE_POMPA-Allarme pressione pompa</v>
          </cell>
        </row>
        <row r="563">
          <cell r="C563" t="str">
            <v>ALR_113_DIR_NORD-Allarme SOS pulsante 113 dir. nord</v>
          </cell>
        </row>
        <row r="564">
          <cell r="C564" t="str">
            <v>ALR_113_DIR_SUD-Allarme SOS pulsante 113 dir. sud</v>
          </cell>
        </row>
        <row r="565">
          <cell r="C565" t="str">
            <v>ALR_115_DIR_NORD-Allarme SOS pulsante 115 dir. nord</v>
          </cell>
        </row>
        <row r="566">
          <cell r="C566" t="str">
            <v>ALR_115_DIR_SUD-Allarme SOS pulsante 115 dir. sud</v>
          </cell>
        </row>
        <row r="567">
          <cell r="C567" t="str">
            <v>ALR_118_DIR_NORD-Allarme SOS pulsante 118 dir. nord</v>
          </cell>
        </row>
        <row r="568">
          <cell r="C568" t="str">
            <v>ALR_118_DIR_SUD-Allarme SOS pulsante 118 dir. sud</v>
          </cell>
        </row>
        <row r="569">
          <cell r="C569" t="str">
            <v>ALR_803116_DIR_NORD-Allarme SOS soccorso meccanico dir. Nord</v>
          </cell>
        </row>
        <row r="570">
          <cell r="C570" t="str">
            <v>ALR_803116_DIR_SUD-Allarme SOS soccorso meccanico dir. Sud</v>
          </cell>
        </row>
        <row r="571">
          <cell r="C571" t="str">
            <v>ALR_ALIMENTAZIONE_DA_BATTERIA-Allarme alimentazione da batteria</v>
          </cell>
        </row>
        <row r="572">
          <cell r="C572" t="str">
            <v>ALR_ALLINEAMENTO-Allarme allineamento ventilatore</v>
          </cell>
        </row>
        <row r="573">
          <cell r="C573" t="str">
            <v>ALR_ANOMALIA_COMANDO_DIR_DX-Allarme anomalia mancato comando dx</v>
          </cell>
        </row>
        <row r="574">
          <cell r="C574" t="str">
            <v>ALR_ANOMALIA_COMANDO_DIR_SX-Allarme anomalia mancato comando sx</v>
          </cell>
        </row>
        <row r="575">
          <cell r="C575" t="str">
            <v>ALR_ANOMALIA_DA_QUADRO-Allarme anomalia da quadro</v>
          </cell>
        </row>
        <row r="576">
          <cell r="C576" t="str">
            <v>ALR_ANOMALIA_DA_QUADRO-Allarme anomalia da quadro</v>
          </cell>
        </row>
        <row r="577">
          <cell r="C577" t="str">
            <v>ALR_ANOMALIA_DA_QUADRO-Allarme anomalia da quadro</v>
          </cell>
        </row>
        <row r="578">
          <cell r="C578" t="str">
            <v>ALR_ANTA_SOS-Allarme apertura anta colonnina SOS</v>
          </cell>
        </row>
        <row r="579">
          <cell r="C579" t="str">
            <v>ALR_ASSENZA_ALIMENTAZIONE-Allarme assenza alimentazione</v>
          </cell>
        </row>
        <row r="580">
          <cell r="C580" t="str">
            <v>ALR_ASSENZA_ALIMENTAZIONE-Allarme assenza alimentazione</v>
          </cell>
        </row>
        <row r="581">
          <cell r="C581" t="str">
            <v>ALR_ASSENZA_ALIMENTAZIONE-Allarme assenza alimentazione</v>
          </cell>
        </row>
        <row r="582">
          <cell r="C582" t="str">
            <v>ALR_ASSENZA_TENSIONE_2_IMP-Allarme assenza tensione dispositivo</v>
          </cell>
        </row>
        <row r="583">
          <cell r="C583" t="str">
            <v>ALR_ASSENZA_TENSIONE_24V-Allarme assenza tensione 24V</v>
          </cell>
        </row>
        <row r="584">
          <cell r="C584" t="str">
            <v>ALR_ASSENZA_TENSIONE_400V-Allarme assenza tensione 400V</v>
          </cell>
        </row>
        <row r="585">
          <cell r="C585" t="str">
            <v>ALR_ASSENZA_TENSIONE_400V-Allarme assenza tensione 400V</v>
          </cell>
        </row>
        <row r="586">
          <cell r="C586" t="str">
            <v>ALR_ASSENZA_TENSIONE_48V-Allarme assenza tensione 48V</v>
          </cell>
        </row>
        <row r="587">
          <cell r="C587" t="str">
            <v>ALR_ASSENZA_TENSIONE_690V-Allarme assenza tensione 690V</v>
          </cell>
        </row>
        <row r="588">
          <cell r="C588" t="str">
            <v>ALR_ASSENZA_TENSIONE_690V-Allarme assenza tensione 690V</v>
          </cell>
        </row>
        <row r="589">
          <cell r="C589" t="str">
            <v>ALR_ASSENZA_TENSIONE_ALIM_PALI-Allarme assenza tensione dispositivo alimentazione pali</v>
          </cell>
        </row>
        <row r="590">
          <cell r="C590" t="str">
            <v>ALR_ASSENZA_TENSIONE_ALIM_PALI-Allarme assenza tensione dispositivo alimentazione pali</v>
          </cell>
        </row>
        <row r="591">
          <cell r="C591" t="str">
            <v>ALR_ASSENZA_TENSIONE_ALIM_TORRI-Allarme assenza tensione dispositivo alimentazione torri</v>
          </cell>
        </row>
        <row r="592">
          <cell r="C592" t="str">
            <v>ALR_ASSENZA_TENSIONE_ALIM_TORRI-Allarme assenza tensione dispositivo alimentazione torri</v>
          </cell>
        </row>
        <row r="593">
          <cell r="C593" t="str">
            <v>ALR_ASSENZA_TENSIONE_AUX-Allarme assenza tensione aux</v>
          </cell>
        </row>
        <row r="594">
          <cell r="C594" t="str">
            <v>ALR_ASSENZA_TENSIONE_FASE_L1-Allarme assenza tensione dispositivo fase L1</v>
          </cell>
        </row>
        <row r="595">
          <cell r="C595" t="str">
            <v>ALR_ASSENZA_TENSIONE_FASE_L1-Allarme assenza tensione dispositivo fase L1</v>
          </cell>
        </row>
        <row r="596">
          <cell r="C596" t="str">
            <v>ALR_ASSENZA_TENSIONE_FASE_L1-Allarme assenza tensione dispositivo fase L1</v>
          </cell>
        </row>
        <row r="597">
          <cell r="C597" t="str">
            <v>ALR_ASSENZA_TENSIONE_FASE_L2-Allarme assenza tensione dispositivo fase L2</v>
          </cell>
        </row>
        <row r="598">
          <cell r="C598" t="str">
            <v>ALR_ASSENZA_TENSIONE_FASE_L2-Allarme assenza tensione dispositivo fase L2</v>
          </cell>
        </row>
        <row r="599">
          <cell r="C599" t="str">
            <v>ALR_ASSENZA_TENSIONE_FASE_L2-Allarme assenza tensione dispositivo fase L2</v>
          </cell>
        </row>
        <row r="600">
          <cell r="C600" t="str">
            <v>ALR_ASSENZA_TENSIONE_FASE_L3-Allarme assenza tensione dispositivo fase L3</v>
          </cell>
        </row>
        <row r="601">
          <cell r="C601" t="str">
            <v>ALR_ASSENZA_TENSIONE_FASE_L3-Allarme assenza tensione dispositivo fase L3</v>
          </cell>
        </row>
        <row r="602">
          <cell r="C602" t="str">
            <v>ALR_ASSENZA_TENSIONE_FASE_L3-Allarme assenza tensione dispositivo fase L3</v>
          </cell>
        </row>
        <row r="603">
          <cell r="C603" t="str">
            <v>ALR_ASSENZA_TENSIONE_LINEA_GE-Allarme assenza tensione dispositivo linea GE</v>
          </cell>
        </row>
        <row r="604">
          <cell r="C604" t="str">
            <v>ALR_ASSENZA_TENSIONE_LINEA_GE-Allarme assenza tensione dispositivo linea GE</v>
          </cell>
        </row>
        <row r="605">
          <cell r="C605" t="str">
            <v>ALR_ASSENZA_TENSIONE_LINEA_RETE-Allarme assenza tensione dispositivo linea rete</v>
          </cell>
        </row>
        <row r="606">
          <cell r="C606" t="str">
            <v>ALR_ASSENZA_TENSIONE_LINEA_RETE-Allarme assenza tensione dispositivo linea rete</v>
          </cell>
        </row>
        <row r="607">
          <cell r="C607" t="str">
            <v>ALR_ASSENZA_TENSIONE_LINEA_RETE-Allarme assenza tensione dispositivo linea rete</v>
          </cell>
        </row>
        <row r="608">
          <cell r="C608" t="str">
            <v>ALR_ASSENZA_TENSIONE_LINEA_RETE-Allarme assenza tensione dispositivo linea rete</v>
          </cell>
        </row>
        <row r="609">
          <cell r="C609" t="str">
            <v>ALR_ASSENZA_TENSIONE_LINEA_UTENZE-Allarme assenza tensione dispositivo linea utenze</v>
          </cell>
        </row>
        <row r="610">
          <cell r="C610" t="str">
            <v>ALR_ASSENZA_TENSIONE_RAMO1-Allarme assenza tensione ramo 1</v>
          </cell>
        </row>
        <row r="611">
          <cell r="C611" t="str">
            <v>ALR_ASSENZA_TENSIONE_RAMO2-Allarme assenza tensione ramo 2</v>
          </cell>
        </row>
        <row r="612">
          <cell r="C612" t="str">
            <v>ALR_ASSENZA_TENSIONE_VERSO_CE_NORD-Allarme assenza tensione dispositivo verso cabina nord</v>
          </cell>
        </row>
        <row r="613">
          <cell r="C613" t="str">
            <v>ALR_ASSENZA_TENSIONE_VERSO_CE_NORD-Allarme assenza tensione dispositivo verso cabina nord</v>
          </cell>
        </row>
        <row r="614">
          <cell r="C614" t="str">
            <v>ALR_ASSENZA_TENSIONE_VERSO_CE_SUD-Allarme assenza tensione dispositivo verso cabina sud</v>
          </cell>
        </row>
        <row r="615">
          <cell r="C615" t="str">
            <v>ALR_ASSENZA_TENSIONE_VERSO_CE_SUD-Allarme assenza tensione dispositivo verso cabina sud</v>
          </cell>
        </row>
        <row r="616">
          <cell r="C616" t="str">
            <v>ALR_AVARIA_GRAVE-Allarme avaria grave</v>
          </cell>
        </row>
        <row r="617">
          <cell r="C617" t="str">
            <v>ALR_BATTERIA_ALIMENTATORI_SCARICA-Allarme batteria alimentatori scarica</v>
          </cell>
        </row>
        <row r="618">
          <cell r="C618" t="str">
            <v>ALR_BYPASS_NORD_1-Allarme bypass 1 dir. nord</v>
          </cell>
        </row>
        <row r="619">
          <cell r="C619" t="str">
            <v>ALR_BYPASS_NORD_2-Allarme bypass 2 dir. nord</v>
          </cell>
        </row>
        <row r="620">
          <cell r="C620" t="str">
            <v>ALR_BYPASS_NORD_3-Allarme bypass 3 dir. nord</v>
          </cell>
        </row>
        <row r="621">
          <cell r="C621" t="str">
            <v>ALR_BYPASS_SUD_1-Allarme bypass 1 dir. sud</v>
          </cell>
        </row>
        <row r="622">
          <cell r="C622" t="str">
            <v>ALR_BYPASS_SUD_2-Allarme bypass 2 dir. sud</v>
          </cell>
        </row>
        <row r="623">
          <cell r="C623" t="str">
            <v>ALR_BYPASS_SUD_3-Allarme bypass 3 dir. sud</v>
          </cell>
        </row>
        <row r="624">
          <cell r="C624" t="str">
            <v>ALR_CANALE-Allarme canale</v>
          </cell>
        </row>
        <row r="625">
          <cell r="C625" t="str">
            <v>ALR_CANALE-Allarme canale</v>
          </cell>
        </row>
        <row r="626">
          <cell r="C626" t="str">
            <v>ALR_CANALE-Allarme canale</v>
          </cell>
        </row>
        <row r="627">
          <cell r="C627" t="str">
            <v>ALR_CANALE-Allarme canale</v>
          </cell>
        </row>
        <row r="628">
          <cell r="C628" t="str">
            <v>ALR_CANALE-Allarme canale</v>
          </cell>
        </row>
        <row r="629">
          <cell r="C629" t="str">
            <v>ALR_CANALE_1-Allarme canale 1</v>
          </cell>
        </row>
        <row r="630">
          <cell r="C630" t="str">
            <v>ALR_CANALE_2-Allarme canale 2</v>
          </cell>
        </row>
        <row r="631">
          <cell r="C631" t="str">
            <v>ALR_CANALE_3-Allarme canale 3</v>
          </cell>
        </row>
        <row r="632">
          <cell r="C632" t="str">
            <v>ALR_CANALE_4-Allarme canale 4</v>
          </cell>
        </row>
        <row r="633">
          <cell r="C633" t="str">
            <v>ALR_CANALE_5-Allarme canale 5</v>
          </cell>
        </row>
        <row r="634">
          <cell r="C634" t="str">
            <v>ALR_CAVO_ROTTO-Allarme Cavo Rotto</v>
          </cell>
        </row>
        <row r="635">
          <cell r="C635" t="str">
            <v>ALR_CAVO_ROTTO-Allarme Cavo Rotto</v>
          </cell>
        </row>
        <row r="636">
          <cell r="C636" t="str">
            <v>ALR_CAVO_SCOLLEGATO-Allarme cavo scollegato</v>
          </cell>
        </row>
        <row r="637">
          <cell r="C637" t="str">
            <v>ALR_CENTRALE_INCENDIO_1_IN_STOP-Allarme centrale incendio 1 in stop</v>
          </cell>
        </row>
        <row r="638">
          <cell r="C638" t="str">
            <v>ALR_CHIAMATA_ATTIVATA-Allarme chiamata attivata</v>
          </cell>
        </row>
        <row r="639">
          <cell r="C639" t="str">
            <v>ALR_CHIUSURA_TENSIONE_DC_ALTA-Allarme tensione DC alta</v>
          </cell>
        </row>
        <row r="640">
          <cell r="C640" t="str">
            <v>ALR_CHIUSURA_TENSIONE_DC_ALTA-Allarme tensione DC alta</v>
          </cell>
        </row>
        <row r="641">
          <cell r="C641" t="str">
            <v>ALR_CHIUSURA_TENSIONE_DC_BASSA-Allarme tensione DC bassa</v>
          </cell>
        </row>
        <row r="642">
          <cell r="C642" t="str">
            <v>ALR_CHIUSURA_TENSIONE_DC_BASSA-Allarme tensione DC bassa</v>
          </cell>
        </row>
        <row r="643">
          <cell r="C643" t="str">
            <v>ALR_CIRCUITO_APERTO-Allarme circuito aperto</v>
          </cell>
        </row>
        <row r="644">
          <cell r="C644" t="str">
            <v>ALR_CIRCUITO_INTERROTTO-Allarme circuito interrotto</v>
          </cell>
        </row>
        <row r="645">
          <cell r="C645" t="str">
            <v>ALR_COMPRESSORE_ARIA_GE-Allarme compressore aria gruppo elettrogeno</v>
          </cell>
        </row>
        <row r="646">
          <cell r="C646" t="str">
            <v>ALR_COMUNICAZIONE_DIAGNOSTICA-Allarme comunicazione diagnostica</v>
          </cell>
        </row>
        <row r="647">
          <cell r="C647" t="str">
            <v>ALR_COMUNICAZIONE_DIAGNOSTICA-Allarme comunicazione diagnostica</v>
          </cell>
        </row>
        <row r="648">
          <cell r="C648" t="str">
            <v>ALR_COMUNICAZIONE_DIAGNOSTICA-Allarme comunicazione diagnostica</v>
          </cell>
        </row>
        <row r="649">
          <cell r="C649" t="str">
            <v>ALR_COMUNICAZIONE_DIR_NORD-Allarme comunicazione dispositivo dir. nord</v>
          </cell>
        </row>
        <row r="650">
          <cell r="C650" t="str">
            <v>ALR_COMUNICAZIONE_DIR_SUD-Allarme comunicazione dispositivo dir. sud</v>
          </cell>
        </row>
        <row r="651">
          <cell r="C651" t="str">
            <v>ALR_COMUNICAZIONE_DOPPIA-Allarme comunicazione doppia</v>
          </cell>
        </row>
        <row r="652">
          <cell r="C652" t="str">
            <v>ALR_COMUNICAZIONE_I_O-Allarme comunicazione I/O</v>
          </cell>
        </row>
        <row r="653">
          <cell r="C653" t="str">
            <v>ALR_COMUNICAZIONE_INCENDIO_1-Allarme comunicazione incendio 1</v>
          </cell>
        </row>
        <row r="654">
          <cell r="C654" t="str">
            <v>ALR_COMUNICAZIONE_INCENDIO_2-Allarme comunicazione incendio 2</v>
          </cell>
        </row>
        <row r="655">
          <cell r="C655" t="str">
            <v>ALR_COMUNICAZIONE_SEMPLICE-Allarme comunicazione semplice</v>
          </cell>
        </row>
        <row r="656">
          <cell r="C656" t="str">
            <v>ALR_COMUNICAZIONE_SISTEMA-Allarme comunicazione sistema</v>
          </cell>
        </row>
        <row r="657">
          <cell r="C657" t="str">
            <v>ALR_COMUNICAZIONE_SISTEMA-Allarme comunicazione sistema</v>
          </cell>
        </row>
        <row r="658">
          <cell r="C658" t="str">
            <v>ALR_COMUNICAZIONE_VERSO_CE_NORD-Allarme comunicazione dispositivo verso cabina nord</v>
          </cell>
        </row>
        <row r="659">
          <cell r="C659" t="str">
            <v>ALR_COMUNICAZIONE_VERSO_CE_SUD-Allarme comunicazione dispositivo verso cabina sud</v>
          </cell>
        </row>
        <row r="660">
          <cell r="C660" t="str">
            <v>ALR_CONFLITTO_IP-Allarme allarme conflitto IP</v>
          </cell>
        </row>
        <row r="661">
          <cell r="C661" t="str">
            <v>ALR_CUMULATIVO_CONTATTORE-Allarme cumulativo contattore</v>
          </cell>
        </row>
        <row r="662">
          <cell r="C662" t="str">
            <v>ALR_CUMULATIVO_ELETTROVALVOLA-Allarme cumulativo elettrovalvola</v>
          </cell>
        </row>
        <row r="663">
          <cell r="C663" t="str">
            <v>ALR_CUMULATIVO_EMERGENZA_DIR_NORD_1-Allarme emergenza bypass 1 dir. nord</v>
          </cell>
        </row>
        <row r="664">
          <cell r="C664" t="str">
            <v>ALR_CUMULATIVO_EMERGENZA_DIR_NORD_1-Allarme emergenza bypass 1 dir. nord</v>
          </cell>
        </row>
        <row r="665">
          <cell r="C665" t="str">
            <v>ALR_CUMULATIVO_EMERGENZA_DIR_NORD_2-Allarme emergenza bypass 2 dir. nord</v>
          </cell>
        </row>
        <row r="666">
          <cell r="C666" t="str">
            <v>ALR_CUMULATIVO_EMERGENZA_DIR_NORD_2-Allarme emergenza bypass 2 dir. nord</v>
          </cell>
        </row>
        <row r="667">
          <cell r="C667" t="str">
            <v>ALR_CUMULATIVO_EMERGENZA_DIR_NORD_3-Allarme emergenza bypass 3 dir. nord</v>
          </cell>
        </row>
        <row r="668">
          <cell r="C668" t="str">
            <v>ALR_CUMULATIVO_EMERGENZA_DIR_SUD_1-Allarme emergenza bypass 1 dir. sud</v>
          </cell>
        </row>
        <row r="669">
          <cell r="C669" t="str">
            <v>ALR_CUMULATIVO_EMERGENZA_DIR_SUD_1-Allarme emergenza bypass 1 dir. sud</v>
          </cell>
        </row>
        <row r="670">
          <cell r="C670" t="str">
            <v>ALR_CUMULATIVO_EMERGENZA_DIR_SUD_2-Allarme emergenza bypass 2 dir. sud</v>
          </cell>
        </row>
        <row r="671">
          <cell r="C671" t="str">
            <v>ALR_CUMULATIVO_EMERGENZA_DIR_SUD_2-Allarme emergenza bypass 2 dir. sud</v>
          </cell>
        </row>
        <row r="672">
          <cell r="C672" t="str">
            <v>ALR_CUMULATIVO_EMERGENZA_DIR_SUD_3-Allarme emergenza bypass 3 dir. sud</v>
          </cell>
        </row>
        <row r="673">
          <cell r="C673" t="str">
            <v>ALR_CUMULATIVO_INCENDIO-Allarme cumulativo incendio</v>
          </cell>
        </row>
        <row r="674">
          <cell r="C674" t="str">
            <v>ALR_CUMULATIVO_INCENDIO-Allarme cumulativo incendio</v>
          </cell>
        </row>
        <row r="675">
          <cell r="C675" t="str">
            <v>ALR_CUMULATIVO_INCENDIO_CABINA_CANNA_NORD-Allarme cumulativo incendio cabina canna nord</v>
          </cell>
        </row>
        <row r="676">
          <cell r="C676" t="str">
            <v>ALR_CUMULATIVO_INCENDIO_CABINA_CANNA_NORD-Allarme cumulativo incendio cabina canna nord</v>
          </cell>
        </row>
        <row r="677">
          <cell r="C677" t="str">
            <v>ALR_CUMULATIVO_INCENDIO_CABINA_CANNA_SUD-Allarme cumulativo incendio cabina canna sud</v>
          </cell>
        </row>
        <row r="678">
          <cell r="C678" t="str">
            <v>ALR_CUMULATIVO_INCENDIO_CABINA_CANNA_SUD-Allarme cumulativo incendio cabina canna sud</v>
          </cell>
        </row>
        <row r="679">
          <cell r="C679" t="str">
            <v>ALR_CUMULATIVO_INCENDIO_CANNA_NORD-Allarme cumulativo incendio canna nord</v>
          </cell>
        </row>
        <row r="680">
          <cell r="C680" t="str">
            <v>ALR_CUMULATIVO_INCENDIO_CANNA_NORD-Allarme cumulativo incendio canna nord</v>
          </cell>
        </row>
        <row r="681">
          <cell r="C681" t="str">
            <v>ALR_CUMULATIVO_INCENDIO_CANNA_SUD-Allarme cumulativo incendio canna sud</v>
          </cell>
        </row>
        <row r="682">
          <cell r="C682" t="str">
            <v>ALR_CUMULATIVO_INCENDIO_CANNA_SUD-Allarme cumulativo incendio canna sud</v>
          </cell>
        </row>
        <row r="683">
          <cell r="C683" t="str">
            <v>ALR_CUMULATIVO_INTERRUTTORE-Allarme cumulativo interruttore</v>
          </cell>
        </row>
        <row r="684">
          <cell r="C684" t="str">
            <v>ALR_DIFFERENZIALE_SCATTATO-Allarme differenziale scattato</v>
          </cell>
        </row>
        <row r="685">
          <cell r="C685" t="str">
            <v>ALR_DIREZIONE_AN_SOPRA_SOGLIA-Allarme direzione AN sopra soglia</v>
          </cell>
        </row>
        <row r="686">
          <cell r="C686" t="str">
            <v>ALR_DIREZIONE_AN_SOTTO_SOGLIA-Allarme direzione AN sotto soglia</v>
          </cell>
        </row>
        <row r="687">
          <cell r="C687" t="str">
            <v>ALR_DOSSENA_1-Allarme Dossena 1</v>
          </cell>
        </row>
        <row r="688">
          <cell r="C688" t="str">
            <v>ALR_DOSSENA_2-Allarme Dossena 2</v>
          </cell>
        </row>
        <row r="689">
          <cell r="C689" t="str">
            <v>ALR_ELETTROVALVOLA_CHIUSA-Allarme elettrovalvola antincendio chiusa</v>
          </cell>
        </row>
        <row r="690">
          <cell r="C690" t="str">
            <v>ALR_ERRORE_ACCESSO-Allarme errore accesso</v>
          </cell>
        </row>
        <row r="691">
          <cell r="C691" t="str">
            <v>ALR_ERRORE_ACCESSO-Allarme errore accesso</v>
          </cell>
        </row>
        <row r="692">
          <cell r="C692" t="str">
            <v>ALR_ERRORE_ACCESSO-Allarme errore accesso</v>
          </cell>
        </row>
        <row r="693">
          <cell r="C693" t="str">
            <v>ALR_ERRORE_COMUNICAZIONE_PERMANENTE-Allarme Comunicazione Reverberi Permanente</v>
          </cell>
        </row>
        <row r="694">
          <cell r="C694" t="str">
            <v>ALR_ERRORE_COMUNICAZIONE_RINFORZO-Allarme Comunicazione Reverberi Rinforzo</v>
          </cell>
        </row>
        <row r="695">
          <cell r="C695" t="str">
            <v>ALR_ERRORE_ESTERNO-Allarme errore esterno</v>
          </cell>
        </row>
        <row r="696">
          <cell r="C696" t="str">
            <v>ALR_ERRORE_ESTERNO-Allarme errore esterno</v>
          </cell>
        </row>
        <row r="697">
          <cell r="C697" t="str">
            <v>ALR_ERRORE_LOGICO-Allarme errore logico</v>
          </cell>
        </row>
        <row r="698">
          <cell r="C698" t="str">
            <v>ALR_ERRORE_LOGICO-Allarme errore logico</v>
          </cell>
        </row>
        <row r="699">
          <cell r="C699" t="str">
            <v>ALR_ERRORE_LOGICO-Allarme errore logico</v>
          </cell>
        </row>
        <row r="700">
          <cell r="C700" t="str">
            <v>ALR_ERRORE_LOGICO-Allarme errore logico</v>
          </cell>
        </row>
        <row r="701">
          <cell r="C701" t="str">
            <v>ALR_ERRORE_LOGICO-Allarme errore logico</v>
          </cell>
        </row>
        <row r="702">
          <cell r="C702" t="str">
            <v>ALR_ERRORE_LOGICO-Allarme errore logico</v>
          </cell>
        </row>
        <row r="703">
          <cell r="C703" t="str">
            <v>ALR_ERRORE_MARCIA-Allarme errore marcia ventilatore</v>
          </cell>
        </row>
        <row r="704">
          <cell r="C704" t="str">
            <v xml:space="preserve">ALR_ESTERNO_02-Allarme Esterno 02 </v>
          </cell>
        </row>
        <row r="705">
          <cell r="C705" t="str">
            <v>ALR_FATTIBILITA_CMD_DA_CAMPO-Allarme fattibilità comandi da campo</v>
          </cell>
        </row>
        <row r="706">
          <cell r="C706" t="str">
            <v>ALR_FATTIBILITA_CMD_DA_SUPERVISIONE-Allarme fattibilità comandi da supervisione</v>
          </cell>
        </row>
        <row r="707">
          <cell r="C707" t="str">
            <v>ALR_FC-Allarme freccia-croce</v>
          </cell>
        </row>
        <row r="708">
          <cell r="C708" t="str">
            <v>ALR_FINECORSA_STACCO-Allarme finecorsa stacco</v>
          </cell>
        </row>
        <row r="709">
          <cell r="C709" t="str">
            <v>ALR_FLUSSOSTATO-Allarme flussostato</v>
          </cell>
        </row>
        <row r="710">
          <cell r="C710" t="str">
            <v>ALR_FORZA_REMOTO-Allarme forzatura remoto</v>
          </cell>
        </row>
        <row r="711">
          <cell r="C711" t="str">
            <v>ALR_FREQUENZA_IN_USCITA-Allarme frequenza in uscita</v>
          </cell>
        </row>
        <row r="712">
          <cell r="C712" t="str">
            <v>ALR_FUSIBILE_DA_QE-Allarme fusibile da QE</v>
          </cell>
        </row>
        <row r="713">
          <cell r="C713" t="str">
            <v>ALR_FUSIBILE_DA_QE-Allarme fusibile da QE</v>
          </cell>
        </row>
        <row r="714">
          <cell r="C714" t="str">
            <v>ALR_FUSIBILE_DA_TR-Allarme fusibile da TR</v>
          </cell>
        </row>
        <row r="715">
          <cell r="C715" t="str">
            <v>ALR_GE_SOVRACCARICO-Allarme GE sovraccarico</v>
          </cell>
        </row>
        <row r="716">
          <cell r="C716" t="str">
            <v>ALR_GENERALE_2_IMP-Allarme generale dispositivo</v>
          </cell>
        </row>
        <row r="717">
          <cell r="C717" t="str">
            <v>ALR_GENERALE_2_IMP-Allarme generale dispositivo</v>
          </cell>
        </row>
        <row r="718">
          <cell r="C718" t="str">
            <v>ALR_GENERALE_2_IMP-Allarme generale dispositivo</v>
          </cell>
        </row>
        <row r="719">
          <cell r="C719" t="str">
            <v>ALR_GENERALE_2_IMP-Allarme generale dispositivo</v>
          </cell>
        </row>
        <row r="720">
          <cell r="C720" t="str">
            <v>ALR_GENERALE_2_IMP-Allarme generale dispositivo</v>
          </cell>
        </row>
        <row r="721">
          <cell r="C721" t="str">
            <v>ALR_GENERALE_2_IMP-Allarme generale dispositivo</v>
          </cell>
        </row>
        <row r="722">
          <cell r="C722" t="str">
            <v>ALR_GENERALE_2_IMP-Allarme generale dispositivo</v>
          </cell>
        </row>
        <row r="723">
          <cell r="C723" t="str">
            <v>ALR_GENERALE_2_IMP-Allarme generale dispositivo</v>
          </cell>
        </row>
        <row r="724">
          <cell r="C724" t="str">
            <v>ALR_GENERALE_2_IMP-Allarme generale dispositivo</v>
          </cell>
        </row>
        <row r="725">
          <cell r="C725" t="str">
            <v>ALR_GENERALE_2_IMP-Allarme generale dispositivo</v>
          </cell>
        </row>
        <row r="726">
          <cell r="C726" t="str">
            <v>ALR_GENERALE_2_IMP-Allarme generale dispositivo</v>
          </cell>
        </row>
        <row r="727">
          <cell r="C727" t="str">
            <v>ALR_GENERALE_2_IMP-Allarme generale dispositivo</v>
          </cell>
        </row>
        <row r="728">
          <cell r="C728" t="str">
            <v>ALR_GENERALE_UPS_QCA-Allarme generale UPS da QCA</v>
          </cell>
        </row>
        <row r="729">
          <cell r="C729" t="str">
            <v>ALR_GUASTO_CENTRALINA_SENSORI-Allarme guasto centralina sensori</v>
          </cell>
        </row>
        <row r="730">
          <cell r="C730" t="str">
            <v>ALR_GUASTO_DRIVER-Allarme guasto driver</v>
          </cell>
        </row>
        <row r="731">
          <cell r="C731" t="str">
            <v>ALR_GUASTO_LAMPADE-Allarme guasto lampade</v>
          </cell>
        </row>
        <row r="732">
          <cell r="C732" t="str">
            <v>ALR_GUASTO_LAMPADE-Allarme guasto lampade</v>
          </cell>
        </row>
        <row r="733">
          <cell r="C733" t="str">
            <v>ALR_GUASTO_SIRENA-Allarme guasto sirena</v>
          </cell>
        </row>
        <row r="734">
          <cell r="C734" t="str">
            <v>ALR_GUASTO_TVCC-Allarme guasto telecamera</v>
          </cell>
        </row>
        <row r="735">
          <cell r="C735" t="str">
            <v>ALR_GUASTO_VERSO_CE_NORD-Allarme guasto dispositivo verso cabina nord</v>
          </cell>
        </row>
        <row r="736">
          <cell r="C736" t="str">
            <v>ALR_GUASTO_VERSO_CE_NORD-Allarme guasto dispositivo verso cabina nord</v>
          </cell>
        </row>
        <row r="737">
          <cell r="C737" t="str">
            <v>ALR_GUASTO_VERSO_CE_SUD-Allarme guasto dispositivo verso cabina sud</v>
          </cell>
        </row>
        <row r="738">
          <cell r="C738" t="str">
            <v>ALR_GUASTO_VERSO_CE_SUD-Allarme guasto dispositivo verso cabina sud</v>
          </cell>
        </row>
        <row r="739">
          <cell r="C739" t="str">
            <v>ALR_INCENDIO_ALTRA_CANNA-Allarme incendio altra canna</v>
          </cell>
        </row>
        <row r="740">
          <cell r="C740" t="str">
            <v>ALR_INCENDIO_DA_FORZATURA-Allarme incendio in galleria da forzatura</v>
          </cell>
        </row>
        <row r="741">
          <cell r="C741" t="str">
            <v>ALR_INCENDIO_VENTILATORE-Allarme incendio ventilatore</v>
          </cell>
        </row>
        <row r="742">
          <cell r="C742" t="str">
            <v xml:space="preserve">ALR_INCIDENTE_CORSIA_NORD-Allarme incidente corsia Nord </v>
          </cell>
        </row>
        <row r="743">
          <cell r="C743" t="str">
            <v xml:space="preserve">ALR_INCIDENTE_CORSIA_SUD-Allarme incidente corsia Sud </v>
          </cell>
        </row>
        <row r="744">
          <cell r="C744" t="str">
            <v>ALR_INCIDENTE_DX-Allarme incidente lato destro</v>
          </cell>
        </row>
        <row r="745">
          <cell r="C745" t="str">
            <v>ALR_INCIDENTE_DX_QUADRI-Allarme incidente lato destro quadri</v>
          </cell>
        </row>
        <row r="746">
          <cell r="C746" t="str">
            <v>ALR_INCIDENTE_SX-Allarme incidente lato sinistro</v>
          </cell>
        </row>
        <row r="747">
          <cell r="C747" t="str">
            <v>ALR_INCIDENTE_SX_QUADRI-Allarme incidente lato sinistro quadri</v>
          </cell>
        </row>
        <row r="748">
          <cell r="C748" t="str">
            <v>ALR_INGR_ANALOGICO-Allarme ingresso analogico</v>
          </cell>
        </row>
        <row r="749">
          <cell r="C749" t="str">
            <v>ALR_INGR_ANALOGICO-Allarme ingresso analogico</v>
          </cell>
        </row>
        <row r="750">
          <cell r="C750" t="str">
            <v>ALR_INSERIMENTO_UNITA-Allarme inserimento unità</v>
          </cell>
        </row>
        <row r="751">
          <cell r="C751" t="str">
            <v xml:space="preserve">ALR_INT-Allarme Interruttore </v>
          </cell>
        </row>
        <row r="752">
          <cell r="C752" t="str">
            <v>ALR_INVERTER_GUASTO-Allarme Inverter guasto</v>
          </cell>
        </row>
        <row r="753">
          <cell r="C753" t="str">
            <v>ALR_INVERTER_GUASTO-Allarme Inverter guasto</v>
          </cell>
        </row>
        <row r="754">
          <cell r="C754" t="str">
            <v>ALR_LAVAGGIO_CASO_1_NORD-Allarme lavaggio caso 1 Nord</v>
          </cell>
        </row>
        <row r="755">
          <cell r="C755" t="str">
            <v>ALR_LAVAGGIO_CASO_1_SUD-Allarme lavaggio caso 1 Sud</v>
          </cell>
        </row>
        <row r="756">
          <cell r="C756" t="str">
            <v>ALR_LAVAGGIO_CASO_2_NORD-Allarme lavaggio caso 2 Nord</v>
          </cell>
        </row>
        <row r="757">
          <cell r="C757" t="str">
            <v>ALR_LAVAGGIO_CASO_2_SUD-Allarme lavaggio caso 2 Sud</v>
          </cell>
        </row>
        <row r="758">
          <cell r="C758" t="str">
            <v>ALR_LAVAGGIO_CASO_3_NORD-Allarme lavaggio caso 3 Nord</v>
          </cell>
        </row>
        <row r="759">
          <cell r="C759" t="str">
            <v>ALR_LAVAGGIO_CASO_3_SUD-Allarme lavaggio caso 3 Sud</v>
          </cell>
        </row>
        <row r="760">
          <cell r="C760" t="str">
            <v>ALR_LIVELLO_ACQUA_MINIMO-Allarme livello acqua minimo</v>
          </cell>
        </row>
        <row r="761">
          <cell r="C761" t="str">
            <v>ALR_LIVELLO_ACQUA_PIENO-Allarme livello acqua pieno</v>
          </cell>
        </row>
        <row r="762">
          <cell r="C762" t="str">
            <v>ALR_LIVELLO_ACQUA_PIENO-Allarme livello acqua pieno</v>
          </cell>
        </row>
        <row r="763">
          <cell r="C763" t="str">
            <v>ALR_LOGICA_BLOCCATA-Allarme logica bloccata</v>
          </cell>
        </row>
        <row r="764">
          <cell r="C764" t="str">
            <v>ALR_MANCANZA_SEGNALE_VIDEO-Allarme mancanza segnale video</v>
          </cell>
        </row>
        <row r="765">
          <cell r="C765" t="str">
            <v>ALR_MANCANZA_SEGNALE_VIDEO-Allarme mancanza segnale video</v>
          </cell>
        </row>
        <row r="766">
          <cell r="C766" t="str">
            <v>ALR_MANCANZA_SEGNALE_VIDEO-Allarme mancanza segnale video</v>
          </cell>
        </row>
        <row r="767">
          <cell r="C767" t="str">
            <v>ALR_MANCATA_APERTURA_INTERRUTTORE-Allarme mancata apertura interruttore</v>
          </cell>
        </row>
        <row r="768">
          <cell r="C768" t="str">
            <v>ALR_MANCATA_ATTIVAZIONE-Allarme mancata attivazione</v>
          </cell>
        </row>
        <row r="769">
          <cell r="C769" t="str">
            <v>ALR_MANCATA_ATTIVAZIONE-Allarme mancata attivazione</v>
          </cell>
        </row>
        <row r="770">
          <cell r="C770" t="str">
            <v>ALR_MANCATA_ATTIVAZIONE-Allarme mancata attivazione</v>
          </cell>
        </row>
        <row r="771">
          <cell r="C771" t="str">
            <v>ALR_MANCATA_ATTIVAZIONE_CE1-Allarme mancata attivazione CE1</v>
          </cell>
        </row>
        <row r="772">
          <cell r="C772" t="str">
            <v>ALR_MANCATA_ATTIVAZIONE_CE2-Allarme mancata attivazione CE2</v>
          </cell>
        </row>
        <row r="773">
          <cell r="C773" t="str">
            <v>ALR_MANCATA_CHIUSURA_INTERRUTTORE-Allarme mancata interruttore</v>
          </cell>
        </row>
        <row r="774">
          <cell r="C774" t="str">
            <v>ALR_MANCATA_DISATTIVAZIONE-Allarme mancata disattivazione</v>
          </cell>
        </row>
        <row r="775">
          <cell r="C775" t="str">
            <v>ALR_MANCATA_DISATTIVAZIONE-Allarme mancata disattivazione</v>
          </cell>
        </row>
        <row r="776">
          <cell r="C776" t="str">
            <v>ALR_MANCATA_DISATTIVAZIONE-Allarme mancata disattivazione</v>
          </cell>
        </row>
        <row r="777">
          <cell r="C777" t="str">
            <v>ALR_MANCATA_DISATTIVAZIONE_CE1-Allarme mancata disattivazione CE1</v>
          </cell>
        </row>
        <row r="778">
          <cell r="C778" t="str">
            <v>ALR_MANCATA_DISATTIVAZIONE_CE2-Allarme mancata disattivazione CE2</v>
          </cell>
        </row>
        <row r="779">
          <cell r="C779" t="str">
            <v>ALR_MANCATO_COMANDO_ACCENSIONE-Allarme mancato comando accensione</v>
          </cell>
        </row>
        <row r="780">
          <cell r="C780" t="str">
            <v>ALR_MANCATO_COMANDO_ACCENSIONE-Allarme mancato comando accensione</v>
          </cell>
        </row>
        <row r="781">
          <cell r="C781" t="str">
            <v>ALR_MANCATO_COMANDO_ACCENSIONE-Allarme mancato comando accensione</v>
          </cell>
        </row>
        <row r="782">
          <cell r="C782" t="str">
            <v>ALR_MANCATO_COMANDO_ACCENSIONE-Allarme mancato comando accensione</v>
          </cell>
        </row>
        <row r="783">
          <cell r="C783" t="str">
            <v>ALR_MANCATO_COMANDO_ACCENSIONE-Allarme mancato comando accensione</v>
          </cell>
        </row>
        <row r="784">
          <cell r="C784" t="str">
            <v>ALR_MANCATO_COMANDO_ACCENSIONE-Allarme mancato comando accensione</v>
          </cell>
        </row>
        <row r="785">
          <cell r="C785" t="str">
            <v>ALR_MANCATO_COMANDO_DIR_DX-Allarme mancato comando dx</v>
          </cell>
        </row>
        <row r="786">
          <cell r="C786" t="str">
            <v>ALR_MANCATO_COMANDO_DIR_SX-Allarme mancato comando sx</v>
          </cell>
        </row>
        <row r="787">
          <cell r="C787" t="str">
            <v>ALR_MANCATO_COMANDO_SPEGNIMENTO-Allarme mancato comando spegnimento</v>
          </cell>
        </row>
        <row r="788">
          <cell r="C788" t="str">
            <v>ALR_MANCATO_COMANDO_SPEGNIMENTO-Allarme mancato comando spegnimento</v>
          </cell>
        </row>
        <row r="789">
          <cell r="C789" t="str">
            <v>ALR_MANCATO_COMANDO_SPEGNIMENTO-Allarme mancato comando spegnimento</v>
          </cell>
        </row>
        <row r="790">
          <cell r="C790" t="str">
            <v>ALR_MANCATO_COMANDO_SPEGNIMENTO-Allarme mancato comando spegnimento</v>
          </cell>
        </row>
        <row r="791">
          <cell r="C791" t="str">
            <v>ALR_MANCATO_COMANDO_SPEGNIMENTO-Allarme mancato comando spegnimento</v>
          </cell>
        </row>
        <row r="792">
          <cell r="C792" t="str">
            <v>ALR_MANCATO_PRERISCALDO_GE-Allarme mancato preriscaldo gruppo elettrogeno</v>
          </cell>
        </row>
        <row r="793">
          <cell r="C793" t="str">
            <v>ALR_MASSIMA_CORRENTE-Allarme corrente massima</v>
          </cell>
        </row>
        <row r="794">
          <cell r="C794" t="str">
            <v>ALR_MAX_TENSIONE-Allarme massima tensione</v>
          </cell>
        </row>
        <row r="795">
          <cell r="C795" t="str">
            <v>ALR_MEMORIA-Allarme memoria</v>
          </cell>
        </row>
        <row r="796">
          <cell r="C796" t="str">
            <v>ALR_MEMORIA-Allarme memoria</v>
          </cell>
        </row>
        <row r="797">
          <cell r="C797" t="str">
            <v>ALR_MEMORIA-Allarme memoria</v>
          </cell>
        </row>
        <row r="798">
          <cell r="C798" t="str">
            <v>ALR_MEMORIA-Allarme memoria</v>
          </cell>
        </row>
        <row r="799">
          <cell r="C799" t="str">
            <v>ALR_MEMORIA-Allarme memoria</v>
          </cell>
        </row>
        <row r="800">
          <cell r="C800" t="str">
            <v>ALR_MEMORIA_113-Allarme memoria 113</v>
          </cell>
        </row>
        <row r="801">
          <cell r="C801" t="str">
            <v>ALR_MEMORIA_115-Allarme memoria 115</v>
          </cell>
        </row>
        <row r="802">
          <cell r="C802" t="str">
            <v>ALR_MEMORIA_118-Allarme memoria 118</v>
          </cell>
        </row>
        <row r="803">
          <cell r="C803" t="str">
            <v>ALR_MEMORIA_803116-Allarme memoria SOS soccorso meccanico</v>
          </cell>
        </row>
        <row r="804">
          <cell r="C804" t="str">
            <v>ALR_MEMORIA_CO-Allarme memoria CO</v>
          </cell>
        </row>
        <row r="805">
          <cell r="C805" t="str">
            <v>ALR_MEMORIA_ESTINTORE_2_ESTRATTO-Allarme memoria estintore 2 estratto</v>
          </cell>
        </row>
        <row r="806">
          <cell r="C806" t="str">
            <v>ALR_MEMORIA_ESTINTORE_ESTRATTO-Allarme memoria estintore estratto</v>
          </cell>
        </row>
        <row r="807">
          <cell r="C807" t="str">
            <v>ALR_MEMORIA_OP-Allarme memoria OP</v>
          </cell>
        </row>
        <row r="808">
          <cell r="C808" t="str">
            <v>ALR_MEMORIA_PORTA_MANICHETTA-Allarme memoria porta manichetta aperta</v>
          </cell>
        </row>
        <row r="809">
          <cell r="C809" t="str">
            <v>ALR_MEMORIA_PULSANTE_CHIAMATA_SOS-Allarme memoria pulsante chiamata sos</v>
          </cell>
        </row>
        <row r="810">
          <cell r="C810" t="str">
            <v>ALR_MEZZI_PESANTI_DX-Allarme mezzi pesanti lato destro quadri</v>
          </cell>
        </row>
        <row r="811">
          <cell r="C811" t="str">
            <v>ALR_MEZZI_PESANTI_DX_QUADRI-Allarme mezzi pesanti lato destro</v>
          </cell>
        </row>
        <row r="812">
          <cell r="C812" t="str">
            <v>ALR_MEZZI_PESANTI_SX-Allarme mezzi pesanti lato sinistro quadri</v>
          </cell>
        </row>
        <row r="813">
          <cell r="C813" t="str">
            <v>ALR_MEZZI_PESANTI_SX_QUADRI-Allarme mezzi pesanti lato sinistro</v>
          </cell>
        </row>
        <row r="814">
          <cell r="C814" t="str">
            <v>ALR_MINIMO_LIVELLO_ASPIRAZIONE-Allarme Minimo Livello Aspirazione</v>
          </cell>
        </row>
        <row r="815">
          <cell r="C815" t="str">
            <v>ALR_MISURA_METRICA-Allarme Guasto Misura Metrica</v>
          </cell>
        </row>
        <row r="816">
          <cell r="C816" t="str">
            <v>ALR_MOLLE_SCARICHE-Allarme molle scariche</v>
          </cell>
        </row>
        <row r="817">
          <cell r="C817" t="str">
            <v>ALR_NO-Allarme guasto sensore NO</v>
          </cell>
        </row>
        <row r="818">
          <cell r="C818" t="str">
            <v>ALR_NON_PRONTO-Allarme dispositivo non pronto</v>
          </cell>
        </row>
        <row r="819">
          <cell r="C819" t="str">
            <v>ALR_NON_RAGGIUNGIBILE-Dispositivo non raggiungibile</v>
          </cell>
        </row>
        <row r="820">
          <cell r="C820" t="str">
            <v>ALR_NUM_VENTILATORI_INSUFFICIENTI-Allarme numero ventilatori insufficienti da avviare</v>
          </cell>
        </row>
        <row r="821">
          <cell r="C821" t="str">
            <v>ALR_OGGETTO_DISPERSO_CORSIA_1-Allarme oggetto disperso corsia di emergenza</v>
          </cell>
        </row>
        <row r="822">
          <cell r="C822" t="str">
            <v>ALR_OGGETTO_DISPERSO_CORSIA_1-Allarme oggetto disperso corsia di emergenza</v>
          </cell>
        </row>
        <row r="823">
          <cell r="C823" t="str">
            <v>ALR_OGGETTO_DISPERSO_DIR_NORD-Allarme oggetto disperso dir. nord</v>
          </cell>
        </row>
        <row r="824">
          <cell r="C824" t="str">
            <v>ALR_OGGETTO_DISPERSO_DIR_SUD-Allarme oggetto disperso dir. sud</v>
          </cell>
        </row>
        <row r="825">
          <cell r="C825" t="str">
            <v>ALR_PEDONE_IN_PIAZZOLA_NORD-Allarme pedone in piazzola nord</v>
          </cell>
        </row>
        <row r="826">
          <cell r="C826" t="str">
            <v>ALR_PEDONE_IN_PIAZZOLA_SUD-Allarme pedone in piazzola sud</v>
          </cell>
        </row>
        <row r="827">
          <cell r="C827" t="str">
            <v>ALR_PERDITA_VIDEO_CORSIA_LENTA-Allarme perdita video corsia lenta</v>
          </cell>
        </row>
        <row r="828">
          <cell r="C828" t="str">
            <v>ALR_PICCHETTI-Allarme picchetti</v>
          </cell>
        </row>
        <row r="829">
          <cell r="C829" t="str">
            <v>ALR_PITTO-Allarme pittogramma PMV</v>
          </cell>
        </row>
        <row r="830">
          <cell r="C830" t="str">
            <v>ALR_PMV-Allarme pannello messaggio variabile</v>
          </cell>
        </row>
        <row r="831">
          <cell r="C831" t="str">
            <v>ALR_PORTA_APERTA_DX-Allarme porta aperta dx</v>
          </cell>
        </row>
        <row r="832">
          <cell r="C832" t="str">
            <v>ALR_PORTA_APERTA_SX-Allarme porta aperta sx</v>
          </cell>
        </row>
        <row r="833">
          <cell r="C833" t="str">
            <v>ALR_POSIZIONE_INCENDIO_SOPRA_SOGLIA-Allarme posizione incendio sopra soglia</v>
          </cell>
        </row>
        <row r="834">
          <cell r="C834" t="str">
            <v>ALR_POSIZIONE_INCENDIO_SOTTO_SOGLIA-Allarme posizione incendio sotto soglia</v>
          </cell>
        </row>
        <row r="835">
          <cell r="C835" t="str">
            <v>ALR_PREALLARME_VIBRAZIONe-Preallarme vibrazione</v>
          </cell>
        </row>
        <row r="836">
          <cell r="C836" t="str">
            <v>ALR_PRESSIONE-Allarme pressione</v>
          </cell>
        </row>
        <row r="837">
          <cell r="C837" t="str">
            <v>ALR_PRESSIONE-Allarme pressione</v>
          </cell>
        </row>
        <row r="838">
          <cell r="C838" t="str">
            <v>ALR_PRESSIONE-Allarme pressione</v>
          </cell>
        </row>
        <row r="839">
          <cell r="C839" t="str">
            <v>ALR_PRESSIONE-Allarme pressione</v>
          </cell>
        </row>
        <row r="840">
          <cell r="C840" t="str">
            <v>ALR_PRESSURIZZAZIONE-Allarme pressurizzazione</v>
          </cell>
        </row>
        <row r="841">
          <cell r="C841" t="str">
            <v>ALR_PRESSURIZZAZIONE-Allarme pressurizzazione</v>
          </cell>
        </row>
        <row r="842">
          <cell r="C842" t="str">
            <v>ALR_PRESSURIZZAZIONE-Allarme pressurizzazione</v>
          </cell>
        </row>
        <row r="843">
          <cell r="C843" t="str">
            <v>ALR_PRIORITA_MICROFONO_ATTIVA-Allarme priorità microfono attiva</v>
          </cell>
        </row>
        <row r="844">
          <cell r="C844" t="str">
            <v>ALR_PROTEZIONE_INTERVENUTA_POMPA-Allarme protezione intervenuta pompa</v>
          </cell>
        </row>
        <row r="845">
          <cell r="C845" t="str">
            <v xml:space="preserve">ALR_PULSANTE_ARRESTO-Allarme Pulsante D'arresto </v>
          </cell>
        </row>
        <row r="846">
          <cell r="C846" t="str">
            <v>ALR_QIG_SCATTATO_INT-Allarme interruttore</v>
          </cell>
        </row>
        <row r="847">
          <cell r="C847" t="str">
            <v>ALR_RICHIESTA_AVVIAMENTO_POMPE-Allarme richiesta avviamento pompe</v>
          </cell>
        </row>
        <row r="848">
          <cell r="C848" t="str">
            <v>ALR_RICHIESTA_SOCCORSO_DIR_NORD-Allarme richiesta soccorso dir. nord</v>
          </cell>
        </row>
        <row r="849">
          <cell r="C849" t="str">
            <v>ALR_RICHIESTA_SOCCORSO_DIR_NORD-Allarme richiesta soccorso dir. nord</v>
          </cell>
        </row>
        <row r="850">
          <cell r="C850" t="str">
            <v>ALR_RICHIESTA_SOCCORSO_DIR_NORD_1-Allarme richiesta soccorso dir. nord bypass 1</v>
          </cell>
        </row>
        <row r="851">
          <cell r="C851" t="str">
            <v>ALR_RICHIESTA_SOCCORSO_DIR_NORD_2-Allarme richiesta soccorso dir. nord bypass 2</v>
          </cell>
        </row>
        <row r="852">
          <cell r="C852" t="str">
            <v>ALR_RICHIESTA_SOCCORSO_DIR_NORD_3-Allarme richiesta soccorso dir. nord bypass 3</v>
          </cell>
        </row>
        <row r="853">
          <cell r="C853" t="str">
            <v>ALR_RICHIESTA_SOCCORSO_DIR_SUD-Allarme richiesta soccorso dir. sud</v>
          </cell>
        </row>
        <row r="854">
          <cell r="C854" t="str">
            <v>ALR_RICHIESTA_SOCCORSO_DIR_SUD-Allarme richiesta soccorso dir. sud</v>
          </cell>
        </row>
        <row r="855">
          <cell r="C855" t="str">
            <v>ALR_RICHIESTA_SOCCORSO_DIR_SUD_1-Allarme richiesta soccorso dir. sud bypass 1</v>
          </cell>
        </row>
        <row r="856">
          <cell r="C856" t="str">
            <v>ALR_RICHIESTA_SOCCORSO_DIR_SUD_2-Allarme richiesta soccorso dir. sud bypass 2</v>
          </cell>
        </row>
        <row r="857">
          <cell r="C857" t="str">
            <v>ALR_RICHIESTA_SOCCORSO_DIR_SUD_3-Allarme richiesta soccorso dir. sud bypass 3</v>
          </cell>
        </row>
        <row r="858">
          <cell r="C858" t="str">
            <v>ALR_RICHIESTO_AVVIO_POMPA_SOS-Allarme richiesto avvio pompa SOS</v>
          </cell>
        </row>
        <row r="859">
          <cell r="C859" t="str">
            <v>ALR_RIFASAMENTO_QUADRO-Allarme rifasamento quadro</v>
          </cell>
        </row>
        <row r="860">
          <cell r="C860" t="str">
            <v>ALR_RIFASAMENTO_QUADRO-Allarme rifasamento quadro</v>
          </cell>
        </row>
        <row r="861">
          <cell r="C861" t="str">
            <v>ALR_RILEVATORE-Allarme rilevatore</v>
          </cell>
        </row>
        <row r="862">
          <cell r="C862" t="str">
            <v>ALR_RILEVATORE_2_IMP-Allarme rilevatore</v>
          </cell>
        </row>
        <row r="863">
          <cell r="C863" t="str">
            <v>ALR_RISERVA_GRUPPO_ELETTROGENO-Allarme Gruppo Elettrogeno in riserva</v>
          </cell>
        </row>
        <row r="864">
          <cell r="C864" t="str">
            <v>ALR_RISERVA_GRUPPO_ELETTROGENO-Allarme Gruppo Elettrogeno in riserva</v>
          </cell>
        </row>
        <row r="865">
          <cell r="C865" t="str">
            <v>ALR_RISERVA_IDRICA_POMPA_SOS-Allarme riserva idrica pompa SOS</v>
          </cell>
        </row>
        <row r="866">
          <cell r="C866" t="str">
            <v>ALR_SCALDIGLIA_MOTORE-Allarme scaldiglia motore</v>
          </cell>
        </row>
        <row r="867">
          <cell r="C867" t="str">
            <v>ALR_SCARICATORI_TENSIONE-Allarme scaricatori di sovratensione</v>
          </cell>
        </row>
        <row r="868">
          <cell r="C868" t="str">
            <v>ALR_SCARSA_VISIB_FUMO-Allarme scarsa visibilità/fumo</v>
          </cell>
        </row>
        <row r="869">
          <cell r="C869" t="str">
            <v>ALR_SEMAFORO_GIALLO_GUASTO-Allarme semaforo giallo guasto</v>
          </cell>
        </row>
        <row r="870">
          <cell r="C870" t="str">
            <v>ALR_SEMAFORO_ROSSO_GUASTO-Allarme semaforo rosso guasto</v>
          </cell>
        </row>
        <row r="871">
          <cell r="C871" t="str">
            <v>ALR_SEMAFORO_VERDE_GUASTO-Allarme semaforo verde guasto</v>
          </cell>
        </row>
        <row r="872">
          <cell r="C872" t="str">
            <v>ALR_SENSORE_RADAR-Allarme sensore Radar</v>
          </cell>
        </row>
        <row r="873">
          <cell r="C873" t="str">
            <v>ALR_SENSORE_SCOLLEGATO-Allarme sensore scollegato</v>
          </cell>
        </row>
        <row r="874">
          <cell r="C874" t="str">
            <v>ALR_SENSORE_SCOLLEGATO-Allarme sensore scollegato</v>
          </cell>
        </row>
        <row r="875">
          <cell r="C875" t="str">
            <v>ALR_SEQUENZA_FASE_ERRATA-Allarme sequenza fase errata</v>
          </cell>
        </row>
        <row r="876">
          <cell r="C876" t="str">
            <v>ALR_SERBATOIO_ACQUA_VUOTO-Allarme serbatoio acqua vuoto</v>
          </cell>
        </row>
        <row r="877">
          <cell r="C877" t="str">
            <v>ALR_SHUTDOWN_IMMINENTE-Allarme shutdown imminente</v>
          </cell>
        </row>
        <row r="878">
          <cell r="C878" t="str">
            <v>ALR_SHUTDOWN_IN_ATTESA-Allarme shutdown in attesa</v>
          </cell>
        </row>
        <row r="879">
          <cell r="C879" t="str">
            <v>ALR_SIMULATO_1-Allarme simulato 1</v>
          </cell>
        </row>
        <row r="880">
          <cell r="C880" t="str">
            <v>ALR_SIMULATO_2-Allarme simulato 2</v>
          </cell>
        </row>
        <row r="881">
          <cell r="C881" t="str">
            <v>ALR_SIMULATO_3-Allarme simulato 3</v>
          </cell>
        </row>
        <row r="882">
          <cell r="C882" t="str">
            <v>ALR_SIMULAZIONE-Allarme simulazione</v>
          </cell>
        </row>
        <row r="883">
          <cell r="C883" t="str">
            <v>ALR_SINCRONIZZAZIONE_PLC-Allarme sincronizzazione PLC</v>
          </cell>
        </row>
        <row r="884">
          <cell r="C884" t="str">
            <v>ALR_SOCCORRITORE-Allarme soccorritore</v>
          </cell>
        </row>
        <row r="885">
          <cell r="C885" t="str">
            <v>ALR_SONDA_ASSORBIMENTO-Allarme sonda assorbimento</v>
          </cell>
        </row>
        <row r="886">
          <cell r="C886" t="str">
            <v>ALR_SONDA_VIBRAZIONE-Allarme sonda vibrazione</v>
          </cell>
        </row>
        <row r="887">
          <cell r="C887" t="str">
            <v>ALR_SOSTITUZIONE_BATTERIA-Allarme sostituzione batteria</v>
          </cell>
        </row>
        <row r="888">
          <cell r="C888" t="str">
            <v>ALR_SOSTITUZIONE_BATTERIA-Allarme sostituzione batteria</v>
          </cell>
        </row>
        <row r="889">
          <cell r="C889" t="str">
            <v>ALR_SOVRAPOTENZA_IN_INGRESSO-Allarme sovrapotenza In Ingresso</v>
          </cell>
        </row>
        <row r="890">
          <cell r="C890" t="str">
            <v>ALR_SOVRAVELOCITA_GE-Allarme sovravelocità gruppo elettrogeno</v>
          </cell>
        </row>
        <row r="891">
          <cell r="C891" t="str">
            <v>ALR_SPEGNIMENTO-Allarme spegnimento</v>
          </cell>
        </row>
        <row r="892">
          <cell r="C892" t="str">
            <v>ALR_SPEGNIMENTO-Allarme spegnimento</v>
          </cell>
        </row>
        <row r="893">
          <cell r="C893" t="str">
            <v>ALR_SPEGNIMENTO-Allarme spegnimento</v>
          </cell>
        </row>
        <row r="894">
          <cell r="C894" t="str">
            <v>ALR_SUPERAMENTO_SOGLIA_1-Allarme superamento soglia 1</v>
          </cell>
        </row>
        <row r="895">
          <cell r="C895" t="str">
            <v>ALR_SUPERAMENTO_SOGLIA_2-Allarme superamento soglia 2</v>
          </cell>
        </row>
        <row r="896">
          <cell r="C896" t="str">
            <v>ALR_SUPERAMENTO_SOGLIA_3-Allarme superamento soglia 3</v>
          </cell>
        </row>
        <row r="897">
          <cell r="C897" t="str">
            <v>ALR_SUPERAMENTO_SOGLIA_4-Allarme superamento soglia 4</v>
          </cell>
        </row>
        <row r="898">
          <cell r="C898" t="str">
            <v>ALR_SUPERAMENTO_SOGLIA_5-Allarme superamento soglia 5</v>
          </cell>
        </row>
        <row r="899">
          <cell r="C899" t="str">
            <v>ALR_SUPERAMENTO_SOGLIA_6-Allarme superamento soglia 6</v>
          </cell>
        </row>
        <row r="900">
          <cell r="C900" t="str">
            <v>ALR_SWITCH_PRIMARIO-Allarme switch su primario</v>
          </cell>
        </row>
        <row r="901">
          <cell r="C901" t="str">
            <v>ALR_TEMPERATURA_ALTA_REATTORE_PRINCIPALE-Allarme alta temperatura reattore principale</v>
          </cell>
        </row>
        <row r="902">
          <cell r="C902" t="str">
            <v>ALR_TEMPERATURA_ALTA_REATTORE_SERIE-Allarme alta temperatura reattore serie</v>
          </cell>
        </row>
        <row r="903">
          <cell r="C903" t="str">
            <v>ALR_TEMPERATURA_ALTA_SENSORE_TEMPERATURA-Allarme alta temperatura Sensore di temperatura</v>
          </cell>
        </row>
        <row r="904">
          <cell r="C904" t="str">
            <v>ALR_TEMPERATURA_PIASTRA-Allarme sovratemperatura piastra</v>
          </cell>
        </row>
        <row r="905">
          <cell r="C905" t="str">
            <v>ALR_TENSIONE_IN_INGRESSO-Allarme stabilizzatore di tensione in ingresso</v>
          </cell>
        </row>
        <row r="906">
          <cell r="C906" t="str">
            <v>ALR_TENSIONE_IN_INGRESSO-Allarme stabilizzatore di tensione in ingresso</v>
          </cell>
        </row>
        <row r="907">
          <cell r="C907" t="str">
            <v>ALR_TENSIONE_IN_USCITA-Allarme stabilizzatore di tensione in uscita</v>
          </cell>
        </row>
        <row r="908">
          <cell r="C908" t="str">
            <v>ALR_TERMICA-Allarme termica</v>
          </cell>
        </row>
        <row r="909">
          <cell r="C909" t="str">
            <v>ALR_TERMICA-Allarme termica</v>
          </cell>
        </row>
        <row r="910">
          <cell r="C910" t="str">
            <v>ALR_TERMICO_VENTILATORE-Allarme termico ventilatore</v>
          </cell>
        </row>
        <row r="911">
          <cell r="C911" t="str">
            <v>ALR_TEST_FALLITO-Allarme test fallito</v>
          </cell>
        </row>
        <row r="912">
          <cell r="C912" t="str">
            <v>ALR_TEST_FALLITO-Allarme test fallito</v>
          </cell>
        </row>
        <row r="913">
          <cell r="C913" t="str">
            <v>ALR_TIME_OUT_ASPIRAZIONE-Allarme time-out aspirazione</v>
          </cell>
        </row>
        <row r="914">
          <cell r="C914" t="str">
            <v>ALR_TIME_OUT_IMMISSIONE-Allarme time-out immissione</v>
          </cell>
        </row>
        <row r="915">
          <cell r="C915" t="str">
            <v>ALR_TIMEOUT_INT_LINEA_2-Allarme interruttore linea 2 aperto</v>
          </cell>
        </row>
        <row r="916">
          <cell r="C916" t="str">
            <v>ALR_TIMEOUT_INT_LINEA-1-Allarme interruttore linea 1 aperto</v>
          </cell>
        </row>
        <row r="917">
          <cell r="C917" t="str">
            <v>ALR_TLC_CONTESTO-Allarme telecamera di contesto</v>
          </cell>
        </row>
        <row r="918">
          <cell r="C918" t="str">
            <v>ALR_TLC_TERMICA-Allarme telecamera Termica</v>
          </cell>
        </row>
        <row r="919">
          <cell r="C919" t="str">
            <v>ALR_TRIP_I-Allarme Corrente</v>
          </cell>
        </row>
        <row r="920">
          <cell r="C920" t="str">
            <v>ALR_TRIP_IE-Allarme Corrente Nominale</v>
          </cell>
        </row>
        <row r="921">
          <cell r="C921" t="str">
            <v>ALR_UPS_BLOCCATO-Allarme ups bloccato</v>
          </cell>
        </row>
        <row r="922">
          <cell r="C922" t="str">
            <v>ALR_UPS_IN_BATTERIA-Allarme UPS in batteria</v>
          </cell>
        </row>
        <row r="923">
          <cell r="C923" t="str">
            <v>ALR_UPS_IN_BYPASS-Allarme UPS in bypass</v>
          </cell>
        </row>
        <row r="924">
          <cell r="C924" t="str">
            <v>ALR_UPS_INVERTER_ATTIVO-Allarme inverter Attivo</v>
          </cell>
        </row>
        <row r="925">
          <cell r="C925" t="str">
            <v>ALR_UPS_SOVRA-CARICO_IN_INGRESSO-Allarme UPS Inverter sovra carico in ingresso</v>
          </cell>
        </row>
        <row r="926">
          <cell r="C926" t="str">
            <v>ALR_VENTILATORI_IN_AUMENTO-Allarme ventilatori in aumento</v>
          </cell>
        </row>
        <row r="927">
          <cell r="C927" t="str">
            <v>ALR_VENTILATORI_IN_DIMINIZIONE-Allarme ventilatori in diminuzione</v>
          </cell>
        </row>
        <row r="928">
          <cell r="C928" t="str">
            <v>ALR_VENTILATORI_STABILI-Allarme ventilatori stabili</v>
          </cell>
        </row>
        <row r="929">
          <cell r="C929" t="str">
            <v>ALR_VIBRA_BASAMENTO-Allarme vibrazioni basamento</v>
          </cell>
        </row>
        <row r="930">
          <cell r="C930" t="str">
            <v>ALR_VIBRA_CARCASSA-Allarme vibrazioni carcassa</v>
          </cell>
        </row>
        <row r="931">
          <cell r="C931" t="str">
            <v>ALR_VIBRAZIONE_CUSCINETTO-Allarme vibrazione cuscinetto</v>
          </cell>
        </row>
        <row r="932">
          <cell r="C932" t="str">
            <v>ALR-CUM-VENT-NORD-Allarme cumulativo ventilatore Nord</v>
          </cell>
        </row>
        <row r="933">
          <cell r="C933" t="str">
            <v>ALR-CUM-VENT-SUD-Allarme cumulativo ventilatore Sud</v>
          </cell>
        </row>
        <row r="934">
          <cell r="C934" t="str">
            <v>ANOMALIA_DISPOSITIVO_CE1-Allarme dispositivo in errore CE1</v>
          </cell>
        </row>
        <row r="935">
          <cell r="C935" t="str">
            <v>ANOMALIA_DISPOSITIVO_CE2-Allarme dispositivo in errore CE2</v>
          </cell>
        </row>
        <row r="936">
          <cell r="C936" t="str">
            <v>ANOMALIA_ILLUMINAZIONE_DIR_NORD-Allarme anomalia illuminazione dir. nord</v>
          </cell>
        </row>
        <row r="937">
          <cell r="C937" t="str">
            <v>ANOMALIA_ILLUMINAZIONE_DIR_NORD-Allarme anomalia illuminazione dir. nord</v>
          </cell>
        </row>
        <row r="938">
          <cell r="C938" t="str">
            <v>ANOMALIA_ILLUMINAZIONE_DIR_NORD_1-Allarme anomalia illuminazione dir. nord bypass 1</v>
          </cell>
        </row>
        <row r="939">
          <cell r="C939" t="str">
            <v>ANOMALIA_ILLUMINAZIONE_DIR_NORD_2-Allarme anomalia illuminazione dir. nord bypass 2</v>
          </cell>
        </row>
        <row r="940">
          <cell r="C940" t="str">
            <v>ANOMALIA_ILLUMINAZIONE_DIR_NORD_3-Allarme anomalia illuminazione dir. nord bypass 3</v>
          </cell>
        </row>
        <row r="941">
          <cell r="C941" t="str">
            <v>ANOMALIA_ILLUMINAZIONE_DIR_SUD-Allarme anomalia illuminazione dir. sud</v>
          </cell>
        </row>
        <row r="942">
          <cell r="C942" t="str">
            <v>ANOMALIA_ILLUMINAZIONE_DIR_SUD-Allarme anomalia illuminazione dir. sud</v>
          </cell>
        </row>
        <row r="943">
          <cell r="C943" t="str">
            <v>ANOMALIA_ILLUMINAZIONE_DIR_SUD_1-Allarme anomalia illuminazione dir. sud bypass 1</v>
          </cell>
        </row>
        <row r="944">
          <cell r="C944" t="str">
            <v>ANOMALIA_ILLUMINAZIONE_DIR_SUD_2-Allarme anomalia illuminazione dir. sud bypass 2</v>
          </cell>
        </row>
        <row r="945">
          <cell r="C945" t="str">
            <v>ANOMALIA_ILLUMINAZIONE_DIR_SUD_3-Allarme anomalia illuminazione dir. sud bypass 3</v>
          </cell>
        </row>
        <row r="946">
          <cell r="C946" t="str">
            <v>ANOMALIA_PLC-Anomalia plc</v>
          </cell>
        </row>
        <row r="947">
          <cell r="C947" t="str">
            <v>CAMERA_FAULT_DIR_NORD-Allarme camera KO dir. nord</v>
          </cell>
        </row>
        <row r="948">
          <cell r="C948" t="str">
            <v>CAMERA_FAULT_DIR_SUD-Allarme camera KO dir. sud</v>
          </cell>
        </row>
        <row r="949">
          <cell r="C949" t="str">
            <v>CODA_CORSIA_1-Allarme coda in corsia di emergenza</v>
          </cell>
        </row>
        <row r="950">
          <cell r="C950" t="str">
            <v>CODA_CORSIA_LENTA-Allarme coda in corsia lenta</v>
          </cell>
        </row>
        <row r="951">
          <cell r="C951" t="str">
            <v>CODA_CORSIA_MARCIA_NORD-Allarme coda in corsia di marcia dir. nord</v>
          </cell>
        </row>
        <row r="952">
          <cell r="C952" t="str">
            <v>CODA_CORSIA_MARCIA_NORD-Allarme coda in corsia di marcia dir. nord</v>
          </cell>
        </row>
        <row r="953">
          <cell r="C953" t="str">
            <v>CODA_CORSIA_MARCIA_SUD-Allarme coda in corsia di marcia dir. sud</v>
          </cell>
        </row>
        <row r="954">
          <cell r="C954" t="str">
            <v>CODA_CORSIA_MARCIA_SUD-Allarme coda in corsia di marcia dir. sud</v>
          </cell>
        </row>
        <row r="955">
          <cell r="C955" t="str">
            <v>CODA_CORSIA_SORPASSO_NORD-Allarme coda in corsia di sorpasso dir. nord</v>
          </cell>
        </row>
        <row r="956">
          <cell r="C956" t="str">
            <v>CODA_CORSIA_SORPASSO_NORD-Allarme coda in corsia di sorpasso dir. nord</v>
          </cell>
        </row>
        <row r="957">
          <cell r="C957" t="str">
            <v>CODA_CORSIA_SORPASSO_SUD-Allarme coda in corsia di sorpasso dir. sud</v>
          </cell>
        </row>
        <row r="958">
          <cell r="C958" t="str">
            <v>CODA_CORSIA_SORPASSO_SUD-Allarme coda in corsia di sorpasso dir. sud</v>
          </cell>
        </row>
        <row r="959">
          <cell r="C959" t="str">
            <v>FORTE_RALLENTAMENTO_CORSIA_LENTA-Allarme forte rallentamento corsia lenta</v>
          </cell>
        </row>
        <row r="960">
          <cell r="C960" t="str">
            <v>FORTE_RALLENTAMENTO_CORSIA_MARCIA_NORD-Allarme forte rallentamento corsia di marcia nord</v>
          </cell>
        </row>
        <row r="961">
          <cell r="C961" t="str">
            <v>FORTE_RALLENTAMENTO_CORSIA_MARCIA_SUD-Allarme forte rallentamento corsia di marcia sud</v>
          </cell>
        </row>
        <row r="962">
          <cell r="C962" t="str">
            <v>FUMO_CORSIA_LENTA-Allarme fumo corsia lenta</v>
          </cell>
        </row>
        <row r="963">
          <cell r="C963" t="str">
            <v>FUMO_DIR_NORD-Allarme fumo dir. nord</v>
          </cell>
        </row>
        <row r="964">
          <cell r="C964" t="str">
            <v>FUMO_DIR_NORD-Allarme fumo dir. nord</v>
          </cell>
        </row>
        <row r="965">
          <cell r="C965" t="str">
            <v>FUMO_DIR_SUD-Allarme fumo dir. sud</v>
          </cell>
        </row>
        <row r="966">
          <cell r="C966" t="str">
            <v>FUMO_DIR_SUD-Allarme fumo dir. sud</v>
          </cell>
        </row>
        <row r="967">
          <cell r="C967" t="str">
            <v>INCENDIO_CORSIA_1-Allarme incendio corsia di emergenza</v>
          </cell>
        </row>
        <row r="968">
          <cell r="C968" t="str">
            <v>INCENDIO_CORSIA_2-Allarme incendio corsia di marcia</v>
          </cell>
        </row>
        <row r="969">
          <cell r="C969" t="str">
            <v>INCENDIO_CORSIA_3-Allarme incendio corsia veloce</v>
          </cell>
        </row>
        <row r="970">
          <cell r="C970" t="str">
            <v>LIVELLO_ACQUA_TROPPO_PIENO-Allarme livello acqua troppo pieno</v>
          </cell>
        </row>
        <row r="971">
          <cell r="C971" t="str">
            <v>MANCATO_AVVIO_POMPA-Allarme Mancato Avviamento pompa pilota</v>
          </cell>
        </row>
        <row r="972">
          <cell r="C972" t="str">
            <v>MANCATO_AVVIO_POMPA_SOS-Allarme mancato avvio pompa SOS</v>
          </cell>
        </row>
        <row r="973">
          <cell r="C973" t="str">
            <v>MANOMISSIONE_DIR_NORD-Allarme manomissione dir. nord</v>
          </cell>
        </row>
        <row r="974">
          <cell r="C974" t="str">
            <v>MANOMISSIONE_DIR_SUD-Allarme manomissione dir. sud</v>
          </cell>
        </row>
        <row r="975">
          <cell r="C975" t="str">
            <v>MISURA_DIR_FAULT-Allarme misurazione direzione fallita</v>
          </cell>
        </row>
        <row r="976">
          <cell r="C976" t="str">
            <v>MISURA_FUORI_SOGLIA_CO_INFERIORE_SUPERATA_TRAFFICO_CONGESTIONATO_NORD-Misura fuori soglia CO inferiore superata traffico congestionato Nord</v>
          </cell>
        </row>
        <row r="977">
          <cell r="C977" t="str">
            <v>MISURA_FUORI_SOGLIA_CO_INFERIORE_SUPERATA_TRAFFICO_CONGESTIONATO_SUD-Misura fuori soglia CO inferiore superata traffico congestionato Sud</v>
          </cell>
        </row>
        <row r="978">
          <cell r="C978" t="str">
            <v>MISURA_FUORI_SOGLIA_CO_INFERIORE_SUPERATA_TRAFFICO_FLUIDO_NORD-Misura fuori soglia CO inferiore superata traffico fluido Nord</v>
          </cell>
        </row>
        <row r="979">
          <cell r="C979" t="str">
            <v>MISURA_FUORI_SOGLIA_CO_INFERIORE_SUPERATA_TRAFFICO_FLUIDO_SUD-Misura fuori soglia CO inferiore superata traffico fluido Sud</v>
          </cell>
        </row>
        <row r="980">
          <cell r="C980" t="str">
            <v>MISURA_FUORI_SOGLIA_NO_INFERIORE_SUPERATA_TRAFFICO_CONGESTIONATO_NORD-Misura fuori soglia NO inferiore superata traffico congestionato Nord</v>
          </cell>
        </row>
        <row r="981">
          <cell r="C981" t="str">
            <v>MISURA_FUORI_SOGLIA_NO_INFERIORE_SUPERATA_TRAFFICO_CONGESTIONATO_SUD-Misura fuori soglia NO inferiore superata traffico congestionato Sud</v>
          </cell>
        </row>
        <row r="982">
          <cell r="C982" t="str">
            <v>MISURA_FUORI_SOGLIA_NO_INFERIORE_SUPERATA_TRAFFICO_FLUIDO_NORD-Misura fuori soglia NO inferiore superata traffico fluido Nord</v>
          </cell>
        </row>
        <row r="983">
          <cell r="C983" t="str">
            <v>MISURA_FUORI_SOGLIA_OP_INFERIORE_SUPERATA_TRAFFICO_CONGESTIONATO_NORD-Misura fuori soglia OP inferiore superata traffico congestionato Nord</v>
          </cell>
        </row>
        <row r="984">
          <cell r="C984" t="str">
            <v>MISURA_FUORI_SOGLIA_OP_INFERIORE_SUPERATA_TRAFFICO_CONGESTIONATO_SUD-Misura fuori soglia OP inferiore superata traffico congestionato Sud</v>
          </cell>
        </row>
        <row r="985">
          <cell r="C985" t="str">
            <v>MISURA_FUORI_SOGLIA_OP_INFERIORE_SUPERATA_TRAFFICO_FLUIDO_NORD-Misura fuori soglia OP inferiore superata traffico fluido Nord</v>
          </cell>
        </row>
        <row r="986">
          <cell r="C986" t="str">
            <v>MISURA_FUORI_SOGLIA_OP_INFERIORE_SUPERATA_TRAFFICO_FLUIDO_SUD-Misura fuori soglia OP inferiore superata traffico fluido Sud</v>
          </cell>
        </row>
        <row r="987">
          <cell r="C987" t="str">
            <v>PEDONE_CORSIA_LENTA-Allarme pedone corsia lenta</v>
          </cell>
        </row>
        <row r="988">
          <cell r="C988" t="str">
            <v>PEDONE_CORSIA_MARCIA_NORD-Allarme pedone corsia di marcia nord</v>
          </cell>
        </row>
        <row r="989">
          <cell r="C989" t="str">
            <v>PEDONE_CORSIA_MARCIA_NORD-Allarme pedone corsia di marcia nord</v>
          </cell>
        </row>
        <row r="990">
          <cell r="C990" t="str">
            <v>PEDONE_CORSIA_MARCIA_SUD-Allarme pedone corsia di marcia sud</v>
          </cell>
        </row>
        <row r="991">
          <cell r="C991" t="str">
            <v>PEDONE_CORSIA_MARCIA_SUD-Allarme pedone corsia di marcia sud</v>
          </cell>
        </row>
        <row r="992">
          <cell r="C992" t="str">
            <v>PEDONE_DIR_NORD-Allarme presenza pedone direzione Nord</v>
          </cell>
        </row>
        <row r="993">
          <cell r="C993" t="str">
            <v>PEDONE_DIR_NORD-Allarme presenza pedone direzione Nord</v>
          </cell>
        </row>
        <row r="994">
          <cell r="C994" t="str">
            <v>PEDONE_DIR_SUD-Allarme presenza pedone direzione Sud</v>
          </cell>
        </row>
        <row r="995">
          <cell r="C995" t="str">
            <v>PEDONE_DIR_SUD-Allarme presenza pedone direzione Sud</v>
          </cell>
        </row>
        <row r="996">
          <cell r="C996" t="str">
            <v>PRE_ALLARME_INCENDIO_NORD-Preallarme incendio direzione nord</v>
          </cell>
        </row>
        <row r="997">
          <cell r="C997" t="str">
            <v>PRE_ALLARME_INCENDIO_SUD-Preallarme incendio direzione sud</v>
          </cell>
        </row>
        <row r="998">
          <cell r="C998" t="str">
            <v>PRE_ALR_CENTRALINA-Preallarme centralina</v>
          </cell>
        </row>
        <row r="999">
          <cell r="C999" t="str">
            <v>PREALLARME_CENTRALINA_FAULT-Preallarme centralina termometrica trasformatore</v>
          </cell>
        </row>
        <row r="1000">
          <cell r="C1000" t="str">
            <v>PREALLARME_VIBRA_BASAMENTO-Preallarme vibrazioni basamento</v>
          </cell>
        </row>
        <row r="1001">
          <cell r="C1001" t="str">
            <v>PREALLARME_VIBRA_CARCASSA-Preallarme vibrazioni carcassa</v>
          </cell>
        </row>
        <row r="1002">
          <cell r="C1002" t="str">
            <v>SCATTO_TERMICO_SCT-Allarme scatto protezione magnetotermica</v>
          </cell>
        </row>
        <row r="1003">
          <cell r="C1003" t="str">
            <v>SCATTO_TERMICO_SCT-Allarme scatto protezione magnetotermica</v>
          </cell>
        </row>
        <row r="1004">
          <cell r="C1004" t="str">
            <v>SCATTO_TERMICO_SCT-Allarme scatto protezione magnetotermica</v>
          </cell>
        </row>
        <row r="1005">
          <cell r="C1005" t="str">
            <v>SCATTO_TERMICO_SCT-Allarme scatto protezione magnetotermica</v>
          </cell>
        </row>
        <row r="1006">
          <cell r="C1006" t="str">
            <v>SERRANDA_IN_APERTURA_MEDIA-Allarme serranda in apertura media</v>
          </cell>
        </row>
        <row r="1007">
          <cell r="C1007" t="str">
            <v>TELECAMERA_SPOSTATA-Allarme telecamera spostata</v>
          </cell>
        </row>
        <row r="1008">
          <cell r="C1008" t="str">
            <v>TELECAMERA_SPOSTATA-Allarme telecamera spostata</v>
          </cell>
        </row>
        <row r="1009">
          <cell r="C1009" t="str">
            <v>TELECAMERA_SPOSTATA_DIR_NORD-Allarme telecamera spostata dir. Nord</v>
          </cell>
        </row>
        <row r="1010">
          <cell r="C1010" t="str">
            <v>TELECAMERA_SPOSTATA_DIR_NORD-Allarme telecamera spostata dir. Nord</v>
          </cell>
        </row>
        <row r="1011">
          <cell r="C1011" t="str">
            <v>TELECAMERA_SPOSTATA_DIR_SUD-Allarme telecamera spostata dir. Sud</v>
          </cell>
        </row>
        <row r="1012">
          <cell r="C1012" t="str">
            <v>TELECAMERA_SPOSTATA_DIR_SUD-Allarme telecamera spostata dir. Sud</v>
          </cell>
        </row>
        <row r="1013">
          <cell r="C1013" t="str">
            <v>TRAFFICO_BLOCCATO_DIR_NORD-Allarme traffico bloccato direzione Nord</v>
          </cell>
        </row>
        <row r="1014">
          <cell r="C1014" t="str">
            <v>TRAFFICO_BLOCCATO_DIR_SUD-Allarme traffico bloccato direzione Sud</v>
          </cell>
        </row>
        <row r="1015">
          <cell r="C1015" t="str">
            <v>VEICOLO_CONTROMANO_CORSIA_LENTA-Allarme veicolo contromano corsia lenta</v>
          </cell>
        </row>
        <row r="1016">
          <cell r="C1016" t="str">
            <v>VEICOLO_CONTROMANO_CORSIA_MARCIA_NORD-Allarme veicolo contromano corsia di marcia nord</v>
          </cell>
        </row>
        <row r="1017">
          <cell r="C1017" t="str">
            <v>VEICOLO_CONTROMANO_CORSIA_MARCIA_NORD-Allarme veicolo contromano corsia di marcia nord</v>
          </cell>
        </row>
        <row r="1018">
          <cell r="C1018" t="str">
            <v>VEICOLO_CONTROMANO_CORSIA_MARCIA_SUD-Allarme veicolo contromano corsia di marcia sud</v>
          </cell>
        </row>
        <row r="1019">
          <cell r="C1019" t="str">
            <v>VEICOLO_CONTROMANO_CORSIA_MARCIA_SUD-Allarme veicolo contromano corsia di marcia sud</v>
          </cell>
        </row>
        <row r="1020">
          <cell r="C1020" t="str">
            <v>VEICOLO_FERMO_CORSIA_LENTA-Allarme veicolo fermo corsia lenta</v>
          </cell>
        </row>
        <row r="1021">
          <cell r="C1021" t="str">
            <v>VEICOLO_FERMO_CORSIA_MARCIA_NORD-Allarme veicolo fermo corsia di marcia nord</v>
          </cell>
        </row>
        <row r="1022">
          <cell r="C1022" t="str">
            <v>VEICOLO_FERMO_CORSIA_MARCIA_NORD-Allarme veicolo fermo corsia di marcia nord</v>
          </cell>
        </row>
        <row r="1023">
          <cell r="C1023" t="str">
            <v>VEICOLO_FERMO_CORSIA_MARCIA_SUD-Allarme veicolo fermo corsia di marcia sud</v>
          </cell>
        </row>
        <row r="1024">
          <cell r="C1024" t="str">
            <v>VEICOLO_FERMO_CORSIA_MARCIA_SUD-Allarme veicolo fermo corsia di marcia sud</v>
          </cell>
        </row>
        <row r="1025">
          <cell r="C1025" t="str">
            <v>VEICOLO_FERMO_DIR_NORD-Allarme Veicolo Fermo direzione Nord</v>
          </cell>
        </row>
        <row r="1026">
          <cell r="C1026" t="str">
            <v>VEICOLO_FERMO_DIR_NORD-Allarme Veicolo Fermo direzione Nord</v>
          </cell>
        </row>
        <row r="1027">
          <cell r="C1027" t="str">
            <v>VEICOLO_FERMO_DIR_SUD-Allarme Veicolo Fermo direzione Sud</v>
          </cell>
        </row>
        <row r="1028">
          <cell r="C1028" t="str">
            <v>VEICOLO_FERMO_DIR_SUD-Allarme Veicolo Fermo direzione Sud</v>
          </cell>
        </row>
        <row r="1029">
          <cell r="C1029" t="str">
            <v>VEICOLO_LENTO-Allarme veicolo lento</v>
          </cell>
        </row>
        <row r="1030">
          <cell r="C1030" t="str">
            <v>VEICOLO_LENTO-Allarme veicolo lento</v>
          </cell>
        </row>
        <row r="1031">
          <cell r="C1031" t="str">
            <v>VEICOLO_LENTO_CORSIA_MARCIA_NORD-Allarme veicolo lento corsia di marcia nord</v>
          </cell>
        </row>
        <row r="1032">
          <cell r="C1032" t="str">
            <v>VEICOLO_LENTO_CORSIA_MARCIA_NORD-Allarme veicolo lento corsia di marcia nord</v>
          </cell>
        </row>
        <row r="1033">
          <cell r="C1033" t="str">
            <v>VEICOLO_LENTO_CORSIA_MARCIA_SUD-Allarme veicolo lento corsia di marcia sud</v>
          </cell>
        </row>
        <row r="1034">
          <cell r="C1034" t="str">
            <v>VEICOLO_LENTO_CORSIA_MARCIA_SUD-Allarme veicolo lento corsia di marcia sud</v>
          </cell>
        </row>
        <row r="1035">
          <cell r="C1035" t="str">
            <v>ALR_GUASTO_2_IMP-Allarme guasto dispositivo</v>
          </cell>
        </row>
        <row r="1036">
          <cell r="C1036" t="str">
            <v>ALR_AVVIAMENTO_IN_CORSO-Allarme avviamento in corso</v>
          </cell>
        </row>
        <row r="1037">
          <cell r="C1037" t="str">
            <v>ALR_ARRESTO_IN_CORSO-Allarme arresto in corso</v>
          </cell>
        </row>
        <row r="1038">
          <cell r="C1038" t="str">
            <v>ALR_FAULT_MODULO_1-Allarme fault modulo 1</v>
          </cell>
        </row>
        <row r="1039">
          <cell r="C1039" t="str">
            <v>ALR_FAULT_MODULO_2-Allarme fault modulo 2</v>
          </cell>
        </row>
        <row r="1040">
          <cell r="C1040" t="str">
            <v>ALR_FAULT_MODULO_3-Allarme fault modulo 3</v>
          </cell>
        </row>
        <row r="1041">
          <cell r="C1041" t="str">
            <v>ALR_FAULT_MODULO_4-Allarme fault modulo 4</v>
          </cell>
        </row>
        <row r="1042">
          <cell r="C1042" t="str">
            <v>ALR_FAULT_MODULO_5-Allarme fault modulo 5</v>
          </cell>
        </row>
        <row r="1043">
          <cell r="C1043" t="str">
            <v>ALR_FAULT_MODULO_6-Allarme fault modulo 6</v>
          </cell>
        </row>
        <row r="1044">
          <cell r="C1044" t="str">
            <v>ALR_FAULT_MODULO_7-Allarme fault modulo 7</v>
          </cell>
        </row>
        <row r="1045">
          <cell r="C1045" t="str">
            <v>ALR_FAULT_MODULO_8-Allarme fault modulo 8</v>
          </cell>
        </row>
        <row r="1046">
          <cell r="C1046" t="str">
            <v>ALR_FAULT_MODULO_9-Allarme fault modulo 9</v>
          </cell>
        </row>
        <row r="1047">
          <cell r="C1047" t="str">
            <v>ALR_CPU-Allarme CPU</v>
          </cell>
        </row>
        <row r="1048">
          <cell r="C1048" t="str">
            <v>ALR_SEZ_SCATTATO-Allarme sezionatore scattato</v>
          </cell>
        </row>
        <row r="1049">
          <cell r="C1049" t="str">
            <v>ALR-MULTI-FAULT-Allarme multimetro fault</v>
          </cell>
        </row>
        <row r="1050">
          <cell r="C1050" t="str">
            <v>ALR_GENERICO-Allarme dispositivo</v>
          </cell>
        </row>
        <row r="1051">
          <cell r="C1051" t="str">
            <v>CENTRALINA_TRIP_I-Centralina trip</v>
          </cell>
        </row>
        <row r="1052">
          <cell r="C1052" t="str">
            <v>CENTRALINA_TRIP-Centralina trip</v>
          </cell>
        </row>
        <row r="1053">
          <cell r="C1053" t="str">
            <v>CENTRALINA_TRIP_GRUPPO-Centralina trip Gruppo</v>
          </cell>
        </row>
        <row r="1054">
          <cell r="C1054" t="str">
            <v>ALR_GUASTO_2_IMP-Allarme guasto dispositivo</v>
          </cell>
        </row>
        <row r="1055">
          <cell r="C1055" t="str">
            <v>ALR_NON_PRONTO-Allarme dispositivo non pronto</v>
          </cell>
        </row>
        <row r="1056">
          <cell r="C1056" t="str">
            <v>ALR_COMUNICAZIONE_2_IMP-Allarme comunicazione dispositivo</v>
          </cell>
        </row>
        <row r="1057">
          <cell r="C1057" t="str">
            <v>ALR_SURRISCALDAMENTO-Allarme surriscaldamento</v>
          </cell>
        </row>
        <row r="1058">
          <cell r="C1058" t="str">
            <v>ALR_FAULT_CORSIA_3-Allarme fault corsia veloce</v>
          </cell>
        </row>
        <row r="1059">
          <cell r="C1059" t="str">
            <v>ALR_FAULT_CORSIA_1-Allarme fault corsia di emergenza</v>
          </cell>
        </row>
        <row r="1060">
          <cell r="C1060" t="str">
            <v>ALR_FAULT_CORSIA_2-Allarme fault corsia di marcia</v>
          </cell>
        </row>
        <row r="1061">
          <cell r="C1061" t="str">
            <v>ALR_KO_CORSIA_1-Allarme non attiva corsia di emergenza</v>
          </cell>
        </row>
        <row r="1062">
          <cell r="C1062" t="str">
            <v>ALR_KO_CORSIA_2-Allarme non attiva corsia di marcia</v>
          </cell>
        </row>
        <row r="1063">
          <cell r="C1063" t="str">
            <v>ALR_KO_CORSIA_3-Allarme non attiva corsia veloce</v>
          </cell>
        </row>
        <row r="1064">
          <cell r="C1064" t="str">
            <v>ALR-SLOT-1-Allarme Slot 1</v>
          </cell>
        </row>
        <row r="1065">
          <cell r="C1065" t="str">
            <v>ALR-SLOT-2-Allarme Slot 2</v>
          </cell>
        </row>
        <row r="1066">
          <cell r="C1066" t="str">
            <v>ALR-SLOT-3-Allarme Slot 3</v>
          </cell>
        </row>
        <row r="1067">
          <cell r="C1067" t="str">
            <v>ALR_COMUNICAZIONE_MODULO-Allarme comunicazione modulo</v>
          </cell>
        </row>
        <row r="1068">
          <cell r="C1068" t="str">
            <v>INCENDIO_IN_GALLERIA_DA_TLC_NORD-Allarme incendio in galleria da TLC Nord</v>
          </cell>
        </row>
        <row r="1069">
          <cell r="C1069" t="str">
            <v>INCENDIO_IN_GALLERIA_DA_TLC_SUD-Allarme incendio in galleria da TLC Sud</v>
          </cell>
        </row>
        <row r="1070">
          <cell r="C1070" t="str">
            <v>ALR_COMUNICAZIONE_PORTA_1-Allarme comunicazione porta 1</v>
          </cell>
        </row>
        <row r="1071">
          <cell r="C1071" t="str">
            <v>ALR_COMUNICAZIONE_PORTA_2-Allarme comunicazione porta 2</v>
          </cell>
        </row>
        <row r="1072">
          <cell r="C1072" t="str">
            <v>ALR_COMUNICAZIONE_PORTA_3-Allarme comunicazione porta 3</v>
          </cell>
        </row>
        <row r="1073">
          <cell r="C1073" t="str">
            <v>ALR_MALFUNZIONAMENTO-Allarme malfunzionamento</v>
          </cell>
        </row>
        <row r="1074">
          <cell r="C1074" t="str">
            <v>ALR_TIMEOUT_LUCE_GIALLA_LAMPEGGIANTE-Allarme timeout semaforo luce gialla lampeggiante</v>
          </cell>
        </row>
        <row r="1075">
          <cell r="C1075" t="str">
            <v>ALR_ROTTURA_CAVO_2-Allarme rottura cavo termosensibile 2</v>
          </cell>
        </row>
        <row r="1076">
          <cell r="C1076" t="str">
            <v>ALR_GUASTO_FIBRA_2-Allarme guasto fibra 2</v>
          </cell>
        </row>
        <row r="1077">
          <cell r="C1077" t="str">
            <v>ALR_GALLEGGIANTE_VANO_TECNICO-Chiusura Allarme galleggiante vano tecnico</v>
          </cell>
        </row>
        <row r="1078">
          <cell r="C1078" t="str">
            <v>ALLARME_PRESSIONE-Allarme pressione</v>
          </cell>
        </row>
        <row r="1079">
          <cell r="C1079" t="str">
            <v>ALR_DISPOSITIVO_BLOCCATO-Allarme dipositivo bloccato/non dispoibile</v>
          </cell>
        </row>
        <row r="1080">
          <cell r="C1080" t="str">
            <v>ALR_GAS-Allarme GAS</v>
          </cell>
        </row>
        <row r="1081">
          <cell r="C1081" t="str">
            <v>ALR-SLOT-4-Allarme Slot 4</v>
          </cell>
        </row>
        <row r="1082">
          <cell r="C1082" t="str">
            <v>ALR-SLOT-5-Allarme Slot 5</v>
          </cell>
        </row>
        <row r="1083">
          <cell r="C1083" t="str">
            <v>ALR-SLOT-6-Allarme Slot 6</v>
          </cell>
        </row>
        <row r="1084">
          <cell r="C1084" t="str">
            <v>ALR-SLOT-7-Allarme Slot 7</v>
          </cell>
        </row>
        <row r="1085">
          <cell r="C1085" t="str">
            <v>ALR-SLOT-8-Allarme Slot 8</v>
          </cell>
        </row>
        <row r="1086">
          <cell r="C1086" t="str">
            <v>ALR-SLOT-9-Allarme Slot 9</v>
          </cell>
        </row>
        <row r="1087">
          <cell r="C1087" t="str">
            <v>ALR-SLOT-10-Allarme Slot 10</v>
          </cell>
        </row>
        <row r="1088">
          <cell r="C1088" t="str">
            <v>ALR-SLOT-11-Allarme Slot 11</v>
          </cell>
        </row>
        <row r="1089">
          <cell r="C1089" t="str">
            <v>ALR-SLOT-12-Allarme Slot 12</v>
          </cell>
        </row>
        <row r="1090">
          <cell r="C1090" t="str">
            <v>ALR-SLOT-0-Allarme Slot 0</v>
          </cell>
        </row>
        <row r="1091">
          <cell r="C1091" t="str">
            <v>ALR_COMUNICAZIONE_2_IMP-Allarme comunicazione dispositivo</v>
          </cell>
        </row>
        <row r="1092">
          <cell r="C1092" t="str">
            <v>ALR_MANCATA_ACCENSIONE_LUCE_GIALLA-Allarme mancata accensione luce gialla</v>
          </cell>
        </row>
        <row r="1093">
          <cell r="C1093" t="str">
            <v>ALR_MANCATA_ACCENSIONE_LUCE_ROSSA-Allarme mancata accensione luce rossa</v>
          </cell>
        </row>
        <row r="1094">
          <cell r="C1094" t="str">
            <v>ALR_MANCATA_ACCENSIONE_LUCE_VERDE-Allarme mancata accensione luce verde</v>
          </cell>
        </row>
        <row r="1095">
          <cell r="C1095" t="str">
            <v>ALR_RIFASAMENTO_QUADRO_2-Allarme rifasamento quadro_2</v>
          </cell>
        </row>
        <row r="1096">
          <cell r="C1096" t="str">
            <v>ALR_MANCATO_AVVIO_VENTILATORE-Allarme mancato avvio ventilatore</v>
          </cell>
        </row>
        <row r="1097">
          <cell r="C1097" t="str">
            <v>ALR_MANCATO_ARRESTO-Allarme mancato arresto ventilatore</v>
          </cell>
        </row>
        <row r="1098">
          <cell r="C1098" t="str">
            <v>ALR_GUASTO_2_IMP-Allarme guasto dispositivo</v>
          </cell>
        </row>
        <row r="1099">
          <cell r="C1099" t="str">
            <v>ALR_GUASTO_2_IMP-Allarme guasto dispositivo</v>
          </cell>
        </row>
        <row r="1100">
          <cell r="C1100" t="str">
            <v>ALR_AVARIA_INGRESSI_DIGITALI_PLC-Allarme avaria Scheda Ingressi Digitali PLC</v>
          </cell>
        </row>
        <row r="1101">
          <cell r="C1101"/>
        </row>
        <row r="1102">
          <cell r="C1102"/>
        </row>
        <row r="1103">
          <cell r="C1103"/>
        </row>
        <row r="1104">
          <cell r="C1104"/>
        </row>
        <row r="1105">
          <cell r="C1105"/>
        </row>
        <row r="1106">
          <cell r="C1106"/>
        </row>
        <row r="1107">
          <cell r="C1107"/>
        </row>
        <row r="1108">
          <cell r="C1108"/>
        </row>
        <row r="1109">
          <cell r="C1109"/>
        </row>
        <row r="1110">
          <cell r="C1110"/>
        </row>
        <row r="1111">
          <cell r="C1111"/>
        </row>
        <row r="1112">
          <cell r="C1112"/>
        </row>
        <row r="1113">
          <cell r="C1113"/>
        </row>
        <row r="1114">
          <cell r="C1114"/>
        </row>
        <row r="1115">
          <cell r="C1115"/>
        </row>
        <row r="1116">
          <cell r="C1116"/>
        </row>
        <row r="1117">
          <cell r="C1117"/>
        </row>
        <row r="1118">
          <cell r="C1118"/>
        </row>
      </sheetData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rancesca Cimitile Cortese" id="{1E188BF3-2615-41B4-90B0-F6D2499CFA89}" userId="Francesca Cimitile Cortese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5" dT="2024-10-21T08:18:28.12" personId="{1E188BF3-2615-41B4-90B0-F6D2499CFA89}" id="{33DA4FE4-8F32-4EA5-8D09-4505633E199E}">
    <text>Correggere a sistema refuso su "disponibile" mancava la lettera n</text>
  </threadedComment>
  <threadedComment ref="F49" dT="2024-10-18T13:21:11.33" personId="{1E188BF3-2615-41B4-90B0-F6D2499CFA89}" id="{A2FEC82D-0F74-4F47-AE40-EDBBF05F59F9}">
    <text>Allarme Duplicato con quello alla riga 47?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078" dT="2024-10-21T08:18:28.12" personId="{1E188BF3-2615-41B4-90B0-F6D2499CFA89}" id="{95377B3A-7CE6-4961-92AA-4A55445F7875}">
    <text>Correggere a sistema refuso su "disponibile" mancava la lettera n</text>
  </threadedComment>
  <threadedComment ref="G1082" dT="2024-10-18T13:21:11.33" personId="{1E188BF3-2615-41B4-90B0-F6D2499CFA89}" id="{5AAFD8D1-2660-47DF-9F6B-09517DF22C3E}">
    <text>Allarme Duplicato con quello alla riga 47?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0475-AAE6-4E29-872B-322D653504F0}">
  <sheetPr>
    <tabColor rgb="FFFF0000"/>
  </sheetPr>
  <dimension ref="A1:P1034"/>
  <sheetViews>
    <sheetView showGridLines="0" topLeftCell="H1" zoomScale="70" zoomScaleNormal="70" workbookViewId="0">
      <pane ySplit="1" topLeftCell="A1003" activePane="bottomLeft" state="frozen"/>
      <selection pane="bottomLeft" activeCell="E200" sqref="E200"/>
    </sheetView>
  </sheetViews>
  <sheetFormatPr defaultColWidth="9.28515625" defaultRowHeight="15" x14ac:dyDescent="0.25"/>
  <cols>
    <col min="1" max="1" width="75.42578125" style="6" customWidth="1"/>
    <col min="2" max="2" width="48" style="6" customWidth="1"/>
    <col min="3" max="4" width="11.7109375" customWidth="1"/>
    <col min="5" max="5" width="36.85546875" style="60" customWidth="1"/>
    <col min="6" max="6" width="39" style="6" customWidth="1"/>
    <col min="7" max="7" width="81.140625" style="6" bestFit="1" customWidth="1"/>
    <col min="8" max="8" width="29.7109375" style="6" bestFit="1" customWidth="1"/>
    <col min="9" max="9" width="59.5703125" style="6" bestFit="1" customWidth="1"/>
    <col min="10" max="10" width="31.7109375" style="18" bestFit="1" customWidth="1"/>
    <col min="11" max="11" width="34.42578125" style="6" bestFit="1" customWidth="1"/>
    <col min="12" max="12" width="42.42578125" style="18" bestFit="1" customWidth="1"/>
    <col min="13" max="13" width="26.42578125" style="18" bestFit="1" customWidth="1"/>
    <col min="14" max="14" width="34.5703125" style="18" bestFit="1" customWidth="1"/>
    <col min="15" max="15" width="30.5703125" style="18" bestFit="1" customWidth="1"/>
    <col min="16" max="16" width="24.28515625" style="6" bestFit="1" customWidth="1"/>
    <col min="17" max="16384" width="9.28515625" style="6"/>
  </cols>
  <sheetData>
    <row r="1" spans="1:16" s="3" customFormat="1" ht="15.75" x14ac:dyDescent="0.25">
      <c r="A1" s="83" t="s">
        <v>0</v>
      </c>
      <c r="B1" s="83" t="s">
        <v>1</v>
      </c>
      <c r="C1" t="s">
        <v>2</v>
      </c>
      <c r="D1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</row>
    <row r="2" spans="1:16" customFormat="1" ht="15" customHeight="1" x14ac:dyDescent="0.25">
      <c r="A2" t="str">
        <f>CONCATENATE(F2,"-",G2)</f>
        <v>ALL_PLC_RACK-Allarme plc rack</v>
      </c>
      <c r="B2" t="str">
        <f>VLOOKUP(A2,'EXPORT IRIS PROD 13-11-2024'!A:A,1,0)</f>
        <v>ALL_PLC_RACK-Allarme plc rack</v>
      </c>
      <c r="C2" t="str">
        <f>VLOOKUP(F2,'EXPORT IRIS PROD 13-11-2024'!F:F,1,0)</f>
        <v>ALL_PLC_RACK</v>
      </c>
      <c r="D2" t="str">
        <f>VLOOKUP(G2,'EXPORT IRIS PROD 13-11-2024'!D:D,1,0)</f>
        <v>Allarme plc rack</v>
      </c>
      <c r="E2" s="37" t="s">
        <v>16</v>
      </c>
      <c r="F2" s="38" t="s">
        <v>17</v>
      </c>
      <c r="G2" s="38" t="s">
        <v>18</v>
      </c>
      <c r="H2" s="39" t="s">
        <v>19</v>
      </c>
      <c r="I2" s="39" t="s">
        <v>20</v>
      </c>
      <c r="J2" s="40" t="s">
        <v>21</v>
      </c>
      <c r="K2" s="41" t="s">
        <v>22</v>
      </c>
      <c r="L2" s="42" t="s">
        <v>23</v>
      </c>
      <c r="M2" s="43" t="s">
        <v>24</v>
      </c>
      <c r="N2" s="42" t="s">
        <v>25</v>
      </c>
      <c r="O2" s="42" t="s">
        <v>21</v>
      </c>
      <c r="P2" s="44"/>
    </row>
    <row r="3" spans="1:16" ht="15" customHeight="1" x14ac:dyDescent="0.25">
      <c r="A3" t="str">
        <f t="shared" ref="A3:A66" si="0">CONCATENATE(F3,"-",G3)</f>
        <v>ALLARME_DA_SOS-Allarme SOS premuto</v>
      </c>
      <c r="B3" t="str">
        <f>VLOOKUP(A3,'EXPORT IRIS PROD 13-11-2024'!A:A,1,0)</f>
        <v>ALLARME_DA_SOS-Allarme SOS premuto</v>
      </c>
      <c r="C3" t="str">
        <f>VLOOKUP(F3,'EXPORT IRIS PROD 13-11-2024'!F:F,1,0)</f>
        <v>ALLARME_DA_SOS</v>
      </c>
      <c r="D3" t="str">
        <f>VLOOKUP(G3,'EXPORT IRIS PROD 13-11-2024'!D:D,1,0)</f>
        <v>Allarme SOS premuto</v>
      </c>
      <c r="E3" s="37" t="s">
        <v>26</v>
      </c>
      <c r="F3" s="38" t="s">
        <v>27</v>
      </c>
      <c r="G3" s="45" t="s">
        <v>28</v>
      </c>
      <c r="H3" s="46" t="s">
        <v>29</v>
      </c>
      <c r="I3" s="46" t="s">
        <v>30</v>
      </c>
      <c r="J3" s="47" t="s">
        <v>31</v>
      </c>
      <c r="K3" s="48" t="s">
        <v>32</v>
      </c>
      <c r="L3" s="43">
        <v>1</v>
      </c>
      <c r="M3" s="43" t="s">
        <v>33</v>
      </c>
      <c r="N3" s="43" t="s">
        <v>34</v>
      </c>
      <c r="O3" s="43" t="s">
        <v>31</v>
      </c>
      <c r="P3" s="49"/>
    </row>
    <row r="4" spans="1:16" customFormat="1" ht="15" customHeight="1" x14ac:dyDescent="0.25">
      <c r="A4" t="str">
        <f t="shared" si="0"/>
        <v>ALLARME_GENERICO-allarme generico</v>
      </c>
      <c r="B4" t="str">
        <f>VLOOKUP(A4,'EXPORT IRIS PROD 13-11-2024'!A:A,1,0)</f>
        <v>ALLARME_GENERICO-allarme generico</v>
      </c>
      <c r="C4" t="str">
        <f>VLOOKUP(F4,'EXPORT IRIS PROD 13-11-2024'!F:F,1,0)</f>
        <v>ALLARME_GENERICO</v>
      </c>
      <c r="D4" t="str">
        <f>VLOOKUP(G4,'EXPORT IRIS PROD 13-11-2024'!D:D,1,0)</f>
        <v>allarme generico</v>
      </c>
      <c r="E4" s="37" t="s">
        <v>35</v>
      </c>
      <c r="F4" s="38" t="s">
        <v>36</v>
      </c>
      <c r="G4" s="38" t="s">
        <v>37</v>
      </c>
      <c r="H4" s="39" t="s">
        <v>38</v>
      </c>
      <c r="I4" s="50" t="s">
        <v>39</v>
      </c>
      <c r="J4" s="40" t="s">
        <v>21</v>
      </c>
      <c r="K4" s="41" t="s">
        <v>22</v>
      </c>
      <c r="L4" s="42" t="s">
        <v>23</v>
      </c>
      <c r="M4" s="43" t="s">
        <v>24</v>
      </c>
      <c r="N4" s="42" t="s">
        <v>25</v>
      </c>
      <c r="O4" s="42" t="s">
        <v>21</v>
      </c>
      <c r="P4" s="44"/>
    </row>
    <row r="5" spans="1:16" x14ac:dyDescent="0.25">
      <c r="A5" t="str">
        <f t="shared" si="0"/>
        <v>ALLARME_INCENDIO_CABINA-Allarme incendio in cabina</v>
      </c>
      <c r="B5" t="str">
        <f>VLOOKUP(A5,'EXPORT IRIS PROD 13-11-2024'!A:A,1,0)</f>
        <v>ALLARME_INCENDIO_CABINA-Allarme incendio in cabina</v>
      </c>
      <c r="C5" t="str">
        <f>VLOOKUP(F5,'EXPORT IRIS PROD 13-11-2024'!F:F,1,0)</f>
        <v>ALLARME_INCENDIO_CABINA</v>
      </c>
      <c r="D5" t="str">
        <f>VLOOKUP(G5,'EXPORT IRIS PROD 13-11-2024'!D:D,1,0)</f>
        <v>Allarme incendio in cabina</v>
      </c>
      <c r="E5" s="37" t="s">
        <v>40</v>
      </c>
      <c r="F5" s="38" t="s">
        <v>41</v>
      </c>
      <c r="G5" s="45" t="s">
        <v>42</v>
      </c>
      <c r="H5" s="46" t="s">
        <v>43</v>
      </c>
      <c r="I5" s="46" t="s">
        <v>44</v>
      </c>
      <c r="J5" s="47" t="s">
        <v>31</v>
      </c>
      <c r="K5" s="48" t="s">
        <v>32</v>
      </c>
      <c r="L5" s="43">
        <v>2</v>
      </c>
      <c r="M5" s="43" t="s">
        <v>45</v>
      </c>
      <c r="N5" s="43" t="s">
        <v>46</v>
      </c>
      <c r="O5" s="43" t="s">
        <v>31</v>
      </c>
      <c r="P5" s="49"/>
    </row>
    <row r="6" spans="1:16" ht="15" customHeight="1" x14ac:dyDescent="0.25">
      <c r="A6" t="str">
        <f t="shared" si="0"/>
        <v>ALLARME_INCENDIO_DA_SENSORE-Allarme incendio da sensori</v>
      </c>
      <c r="B6" t="str">
        <f>VLOOKUP(A6,'EXPORT IRIS PROD 13-11-2024'!A:A,1,0)</f>
        <v>ALLARME_INCENDIO_DA_SENSORE-Allarme incendio da sensori</v>
      </c>
      <c r="C6" t="str">
        <f>VLOOKUP(F6,'EXPORT IRIS PROD 13-11-2024'!F:F,1,0)</f>
        <v>ALLARME_INCENDIO_DA_SENSORE</v>
      </c>
      <c r="D6" t="str">
        <f>VLOOKUP(G6,'EXPORT IRIS PROD 13-11-2024'!D:D,1,0)</f>
        <v>Allarme incendio da sensori</v>
      </c>
      <c r="E6" s="37" t="s">
        <v>47</v>
      </c>
      <c r="F6" s="38" t="s">
        <v>48</v>
      </c>
      <c r="G6" s="45" t="s">
        <v>49</v>
      </c>
      <c r="H6" s="46" t="s">
        <v>50</v>
      </c>
      <c r="I6" s="46" t="s">
        <v>51</v>
      </c>
      <c r="J6" s="47" t="s">
        <v>31</v>
      </c>
      <c r="K6" s="48" t="s">
        <v>32</v>
      </c>
      <c r="L6" s="43">
        <v>2</v>
      </c>
      <c r="M6" s="43" t="s">
        <v>45</v>
      </c>
      <c r="N6" s="43" t="s">
        <v>46</v>
      </c>
      <c r="O6" s="43" t="s">
        <v>31</v>
      </c>
      <c r="P6" s="49"/>
    </row>
    <row r="7" spans="1:16" ht="15" customHeight="1" x14ac:dyDescent="0.25">
      <c r="A7" t="str">
        <f t="shared" si="0"/>
        <v>ALLARME_INCENDIO_DA_SENSORE-Allarme incendio da sensori</v>
      </c>
      <c r="B7" t="str">
        <f>VLOOKUP(A7,'EXPORT IRIS PROD 13-11-2024'!A:A,1,0)</f>
        <v>ALLARME_INCENDIO_DA_SENSORE-Allarme incendio da sensori</v>
      </c>
      <c r="C7" t="str">
        <f>VLOOKUP(F7,'EXPORT IRIS PROD 13-11-2024'!F:F,1,0)</f>
        <v>ALLARME_INCENDIO_DA_SENSORE</v>
      </c>
      <c r="D7" t="str">
        <f>VLOOKUP(G7,'EXPORT IRIS PROD 13-11-2024'!D:D,1,0)</f>
        <v>Allarme incendio da sensori</v>
      </c>
      <c r="E7" s="37" t="s">
        <v>47</v>
      </c>
      <c r="F7" s="38" t="s">
        <v>48</v>
      </c>
      <c r="G7" s="45" t="s">
        <v>49</v>
      </c>
      <c r="H7" s="46" t="s">
        <v>50</v>
      </c>
      <c r="I7" s="46" t="s">
        <v>52</v>
      </c>
      <c r="J7" s="47" t="s">
        <v>31</v>
      </c>
      <c r="K7" s="48" t="s">
        <v>32</v>
      </c>
      <c r="L7" s="43">
        <v>2</v>
      </c>
      <c r="M7" s="43" t="s">
        <v>45</v>
      </c>
      <c r="N7" s="43" t="s">
        <v>46</v>
      </c>
      <c r="O7" s="43" t="s">
        <v>31</v>
      </c>
      <c r="P7" s="49"/>
    </row>
    <row r="8" spans="1:16" customFormat="1" ht="15" customHeight="1" x14ac:dyDescent="0.25">
      <c r="A8" t="str">
        <f t="shared" si="0"/>
        <v>ALR_1_GRUPPO_ELETTROGENO-Allarme centralina gestione elettronica GE - alarm1</v>
      </c>
      <c r="B8" t="str">
        <f>VLOOKUP(A8,'EXPORT IRIS PROD 13-11-2024'!A:A,1,0)</f>
        <v>ALR_1_GRUPPO_ELETTROGENO-Allarme centralina gestione elettronica GE - alarm1</v>
      </c>
      <c r="C8" t="str">
        <f>VLOOKUP(F8,'EXPORT IRIS PROD 13-11-2024'!F:F,1,0)</f>
        <v>ALR_1_GRUPPO_ELETTROGENO</v>
      </c>
      <c r="D8" t="str">
        <f>VLOOKUP(G8,'EXPORT IRIS PROD 13-11-2024'!D:D,1,0)</f>
        <v>Allarme centralina gestione elettronica GE - alarm1</v>
      </c>
      <c r="E8" s="37" t="s">
        <v>53</v>
      </c>
      <c r="F8" s="38" t="s">
        <v>54</v>
      </c>
      <c r="G8" s="38" t="s">
        <v>55</v>
      </c>
      <c r="H8" s="39" t="s">
        <v>56</v>
      </c>
      <c r="I8" s="39" t="s">
        <v>57</v>
      </c>
      <c r="J8" s="40" t="s">
        <v>21</v>
      </c>
      <c r="K8" s="41" t="s">
        <v>22</v>
      </c>
      <c r="L8" s="42" t="s">
        <v>23</v>
      </c>
      <c r="M8" s="43" t="s">
        <v>24</v>
      </c>
      <c r="N8" s="42" t="s">
        <v>25</v>
      </c>
      <c r="O8" s="42" t="s">
        <v>21</v>
      </c>
      <c r="P8" s="44"/>
    </row>
    <row r="9" spans="1:16" ht="15" customHeight="1" x14ac:dyDescent="0.25">
      <c r="A9" t="str">
        <f t="shared" si="0"/>
        <v>ALR_113-Allarme SOS pulsante 113</v>
      </c>
      <c r="B9" t="str">
        <f>VLOOKUP(A9,'EXPORT IRIS PROD 13-11-2024'!A:A,1,0)</f>
        <v>ALR_113-Allarme SOS pulsante 113</v>
      </c>
      <c r="C9" t="str">
        <f>VLOOKUP(F9,'EXPORT IRIS PROD 13-11-2024'!F:F,1,0)</f>
        <v>ALR_113</v>
      </c>
      <c r="D9" t="str">
        <f>VLOOKUP(G9,'EXPORT IRIS PROD 13-11-2024'!D:D,1,0)</f>
        <v>Allarme SOS pulsante 113</v>
      </c>
      <c r="E9" s="37" t="s">
        <v>26</v>
      </c>
      <c r="F9" s="38" t="s">
        <v>58</v>
      </c>
      <c r="G9" s="45" t="s">
        <v>59</v>
      </c>
      <c r="H9" s="46" t="s">
        <v>29</v>
      </c>
      <c r="I9" s="46" t="s">
        <v>30</v>
      </c>
      <c r="J9" s="47" t="s">
        <v>31</v>
      </c>
      <c r="K9" s="48" t="s">
        <v>32</v>
      </c>
      <c r="L9" s="43">
        <v>1</v>
      </c>
      <c r="M9" s="43" t="s">
        <v>33</v>
      </c>
      <c r="N9" s="43" t="s">
        <v>34</v>
      </c>
      <c r="O9" s="43" t="s">
        <v>31</v>
      </c>
      <c r="P9" s="49"/>
    </row>
    <row r="10" spans="1:16" ht="15" customHeight="1" x14ac:dyDescent="0.25">
      <c r="A10" t="str">
        <f t="shared" si="0"/>
        <v>ALR_115-Allarme SOS pulsante 115</v>
      </c>
      <c r="B10" t="str">
        <f>VLOOKUP(A10,'EXPORT IRIS PROD 13-11-2024'!A:A,1,0)</f>
        <v>ALR_115-Allarme SOS pulsante 115</v>
      </c>
      <c r="C10" t="str">
        <f>VLOOKUP(F10,'EXPORT IRIS PROD 13-11-2024'!F:F,1,0)</f>
        <v>ALR_115</v>
      </c>
      <c r="D10" t="str">
        <f>VLOOKUP(G10,'EXPORT IRIS PROD 13-11-2024'!D:D,1,0)</f>
        <v>Allarme SOS pulsante 115</v>
      </c>
      <c r="E10" s="37" t="s">
        <v>26</v>
      </c>
      <c r="F10" s="38" t="s">
        <v>60</v>
      </c>
      <c r="G10" s="45" t="s">
        <v>61</v>
      </c>
      <c r="H10" s="46" t="s">
        <v>29</v>
      </c>
      <c r="I10" s="46" t="s">
        <v>30</v>
      </c>
      <c r="J10" s="47" t="s">
        <v>31</v>
      </c>
      <c r="K10" s="48" t="s">
        <v>32</v>
      </c>
      <c r="L10" s="43">
        <v>1</v>
      </c>
      <c r="M10" s="43" t="s">
        <v>33</v>
      </c>
      <c r="N10" s="43" t="s">
        <v>34</v>
      </c>
      <c r="O10" s="43" t="s">
        <v>31</v>
      </c>
      <c r="P10" s="49"/>
    </row>
    <row r="11" spans="1:16" ht="15" customHeight="1" x14ac:dyDescent="0.25">
      <c r="A11" t="str">
        <f t="shared" si="0"/>
        <v>ALR_118-Allarme SOS pulsante 118</v>
      </c>
      <c r="B11" t="str">
        <f>VLOOKUP(A11,'EXPORT IRIS PROD 13-11-2024'!A:A,1,0)</f>
        <v>ALR_118-Allarme SOS pulsante 118</v>
      </c>
      <c r="C11" t="str">
        <f>VLOOKUP(F11,'EXPORT IRIS PROD 13-11-2024'!F:F,1,0)</f>
        <v>ALR_118</v>
      </c>
      <c r="D11" t="str">
        <f>VLOOKUP(G11,'EXPORT IRIS PROD 13-11-2024'!D:D,1,0)</f>
        <v>Allarme SOS pulsante 118</v>
      </c>
      <c r="E11" s="37" t="s">
        <v>26</v>
      </c>
      <c r="F11" s="38" t="s">
        <v>62</v>
      </c>
      <c r="G11" s="45" t="s">
        <v>63</v>
      </c>
      <c r="H11" s="46" t="s">
        <v>29</v>
      </c>
      <c r="I11" s="46" t="s">
        <v>30</v>
      </c>
      <c r="J11" s="47" t="s">
        <v>31</v>
      </c>
      <c r="K11" s="48" t="s">
        <v>32</v>
      </c>
      <c r="L11" s="43">
        <v>1</v>
      </c>
      <c r="M11" s="43" t="s">
        <v>33</v>
      </c>
      <c r="N11" s="43" t="s">
        <v>34</v>
      </c>
      <c r="O11" s="43" t="s">
        <v>31</v>
      </c>
      <c r="P11" s="49"/>
    </row>
    <row r="12" spans="1:16" customFormat="1" ht="15" customHeight="1" x14ac:dyDescent="0.25">
      <c r="A12" t="str">
        <f t="shared" si="0"/>
        <v>ALR_2_GRUPPO_ELETTROGENO-Allarme centralina gestione elettronica GE - alarm2</v>
      </c>
      <c r="B12" t="str">
        <f>VLOOKUP(A12,'EXPORT IRIS PROD 13-11-2024'!A:A,1,0)</f>
        <v>ALR_2_GRUPPO_ELETTROGENO-Allarme centralina gestione elettronica GE - alarm2</v>
      </c>
      <c r="C12" t="str">
        <f>VLOOKUP(F12,'EXPORT IRIS PROD 13-11-2024'!F:F,1,0)</f>
        <v>ALR_2_GRUPPO_ELETTROGENO</v>
      </c>
      <c r="D12" t="str">
        <f>VLOOKUP(G12,'EXPORT IRIS PROD 13-11-2024'!D:D,1,0)</f>
        <v>Allarme centralina gestione elettronica GE - alarm2</v>
      </c>
      <c r="E12" s="37" t="s">
        <v>53</v>
      </c>
      <c r="F12" s="38" t="s">
        <v>64</v>
      </c>
      <c r="G12" s="38" t="s">
        <v>65</v>
      </c>
      <c r="H12" s="39" t="s">
        <v>56</v>
      </c>
      <c r="I12" s="39" t="s">
        <v>57</v>
      </c>
      <c r="J12" s="40" t="s">
        <v>21</v>
      </c>
      <c r="K12" s="41" t="s">
        <v>22</v>
      </c>
      <c r="L12" s="42" t="s">
        <v>23</v>
      </c>
      <c r="M12" s="43" t="s">
        <v>24</v>
      </c>
      <c r="N12" s="42" t="s">
        <v>25</v>
      </c>
      <c r="O12" s="42" t="s">
        <v>21</v>
      </c>
      <c r="P12" s="44"/>
    </row>
    <row r="13" spans="1:16" ht="15" customHeight="1" x14ac:dyDescent="0.25">
      <c r="A13" t="str">
        <f t="shared" si="0"/>
        <v>ALR_800116-Allarme SOS soccorso meccanico_800116</v>
      </c>
      <c r="B13" t="str">
        <f>VLOOKUP(A13,'EXPORT IRIS PROD 13-11-2024'!A:A,1,0)</f>
        <v>ALR_800116-Allarme SOS soccorso meccanico_800116</v>
      </c>
      <c r="C13" t="str">
        <f>VLOOKUP(F13,'EXPORT IRIS PROD 13-11-2024'!F:F,1,0)</f>
        <v>ALR_800116</v>
      </c>
      <c r="D13" t="str">
        <f>VLOOKUP(G13,'EXPORT IRIS PROD 13-11-2024'!D:D,1,0)</f>
        <v>Allarme SOS soccorso meccanico_800116</v>
      </c>
      <c r="E13" s="37" t="s">
        <v>26</v>
      </c>
      <c r="F13" s="38" t="s">
        <v>66</v>
      </c>
      <c r="G13" s="45" t="s">
        <v>67</v>
      </c>
      <c r="H13" s="46" t="s">
        <v>29</v>
      </c>
      <c r="I13" s="46" t="s">
        <v>30</v>
      </c>
      <c r="J13" s="47" t="s">
        <v>31</v>
      </c>
      <c r="K13" s="48" t="s">
        <v>32</v>
      </c>
      <c r="L13" s="43">
        <v>1</v>
      </c>
      <c r="M13" s="43" t="s">
        <v>33</v>
      </c>
      <c r="N13" s="43" t="s">
        <v>34</v>
      </c>
      <c r="O13" s="43" t="s">
        <v>31</v>
      </c>
      <c r="P13" s="49"/>
    </row>
    <row r="14" spans="1:16" ht="15" customHeight="1" x14ac:dyDescent="0.25">
      <c r="A14" t="str">
        <f t="shared" si="0"/>
        <v>ALR_803116-Allarme SOS soccorso meccanico_803116</v>
      </c>
      <c r="B14" t="str">
        <f>VLOOKUP(A14,'EXPORT IRIS PROD 13-11-2024'!A:A,1,0)</f>
        <v>ALR_803116-Allarme SOS soccorso meccanico_803116</v>
      </c>
      <c r="C14" t="str">
        <f>VLOOKUP(F14,'EXPORT IRIS PROD 13-11-2024'!F:F,1,0)</f>
        <v>ALR_803116</v>
      </c>
      <c r="D14" t="str">
        <f>VLOOKUP(G14,'EXPORT IRIS PROD 13-11-2024'!D:D,1,0)</f>
        <v>Allarme SOS soccorso meccanico_803116</v>
      </c>
      <c r="E14" s="37" t="s">
        <v>26</v>
      </c>
      <c r="F14" s="38" t="s">
        <v>68</v>
      </c>
      <c r="G14" s="45" t="s">
        <v>69</v>
      </c>
      <c r="H14" s="46" t="s">
        <v>29</v>
      </c>
      <c r="I14" s="46" t="s">
        <v>30</v>
      </c>
      <c r="J14" s="47" t="s">
        <v>31</v>
      </c>
      <c r="K14" s="48" t="s">
        <v>32</v>
      </c>
      <c r="L14" s="43">
        <v>1</v>
      </c>
      <c r="M14" s="43" t="s">
        <v>33</v>
      </c>
      <c r="N14" s="43" t="s">
        <v>34</v>
      </c>
      <c r="O14" s="43" t="s">
        <v>31</v>
      </c>
      <c r="P14" s="49"/>
    </row>
    <row r="15" spans="1:16" x14ac:dyDescent="0.25">
      <c r="A15" t="str">
        <f t="shared" si="0"/>
        <v>ALR_ALLAGAMENTO-Allarme Allagamento</v>
      </c>
      <c r="B15" t="str">
        <f>VLOOKUP(A15,'EXPORT IRIS PROD 13-11-2024'!A:A,1,0)</f>
        <v>ALR_ALLAGAMENTO-Allarme Allagamento</v>
      </c>
      <c r="C15" t="str">
        <f>VLOOKUP(F15,'EXPORT IRIS PROD 13-11-2024'!F:F,1,0)</f>
        <v>ALR_ALLAGAMENTO</v>
      </c>
      <c r="D15" t="str">
        <f>VLOOKUP(G15,'EXPORT IRIS PROD 13-11-2024'!D:D,1,0)</f>
        <v>Allarme Allagamento</v>
      </c>
      <c r="E15" s="37" t="s">
        <v>70</v>
      </c>
      <c r="F15" s="38" t="s">
        <v>71</v>
      </c>
      <c r="G15" s="45" t="s">
        <v>72</v>
      </c>
      <c r="H15" s="46" t="s">
        <v>73</v>
      </c>
      <c r="I15" s="46" t="s">
        <v>74</v>
      </c>
      <c r="J15" s="47" t="s">
        <v>31</v>
      </c>
      <c r="K15" s="48" t="s">
        <v>32</v>
      </c>
      <c r="L15" s="43">
        <v>2</v>
      </c>
      <c r="M15" s="43" t="s">
        <v>33</v>
      </c>
      <c r="N15" s="43" t="s">
        <v>34</v>
      </c>
      <c r="O15" s="43" t="s">
        <v>31</v>
      </c>
      <c r="P15" s="49"/>
    </row>
    <row r="16" spans="1:16" customFormat="1" ht="15" customHeight="1" x14ac:dyDescent="0.25">
      <c r="A16" t="str">
        <f t="shared" si="0"/>
        <v>ALR_ALTERNATORE_IN_SOVRACCARICO_C-Allarme alternatore in sovraccarico C</v>
      </c>
      <c r="B16" t="str">
        <f>VLOOKUP(A16,'EXPORT IRIS PROD 13-11-2024'!A:A,1,0)</f>
        <v>ALR_ALTERNATORE_IN_SOVRACCARICO_C-Allarme alternatore in sovraccarico C</v>
      </c>
      <c r="C16" t="str">
        <f>VLOOKUP(F16,'EXPORT IRIS PROD 13-11-2024'!F:F,1,0)</f>
        <v>ALR_ALTERNATORE_IN_SOVRACCARICO_C</v>
      </c>
      <c r="D16" t="str">
        <f>VLOOKUP(G16,'EXPORT IRIS PROD 13-11-2024'!D:D,1,0)</f>
        <v>Allarme alternatore in sovraccarico C</v>
      </c>
      <c r="E16" s="37" t="s">
        <v>53</v>
      </c>
      <c r="F16" s="38" t="s">
        <v>75</v>
      </c>
      <c r="G16" s="38" t="s">
        <v>76</v>
      </c>
      <c r="H16" s="39" t="s">
        <v>56</v>
      </c>
      <c r="I16" s="39" t="s">
        <v>57</v>
      </c>
      <c r="J16" s="40" t="s">
        <v>21</v>
      </c>
      <c r="K16" s="41" t="s">
        <v>22</v>
      </c>
      <c r="L16" s="42" t="s">
        <v>23</v>
      </c>
      <c r="M16" s="43" t="s">
        <v>24</v>
      </c>
      <c r="N16" s="42" t="s">
        <v>25</v>
      </c>
      <c r="O16" s="42" t="s">
        <v>21</v>
      </c>
      <c r="P16" s="44"/>
    </row>
    <row r="17" spans="1:16" customFormat="1" ht="15" customHeight="1" x14ac:dyDescent="0.25">
      <c r="A17" t="str">
        <f t="shared" si="0"/>
        <v>ALR_ALTERNATORE_IN_SOVRACCARICO_L-Allarme alternatore in sovraccarico L</v>
      </c>
      <c r="B17" t="str">
        <f>VLOOKUP(A17,'EXPORT IRIS PROD 13-11-2024'!A:A,1,0)</f>
        <v>ALR_ALTERNATORE_IN_SOVRACCARICO_L-Allarme alternatore in sovraccarico L</v>
      </c>
      <c r="C17" t="str">
        <f>VLOOKUP(F17,'EXPORT IRIS PROD 13-11-2024'!F:F,1,0)</f>
        <v>ALR_ALTERNATORE_IN_SOVRACCARICO_L</v>
      </c>
      <c r="D17" t="str">
        <f>VLOOKUP(G17,'EXPORT IRIS PROD 13-11-2024'!D:D,1,0)</f>
        <v>Allarme alternatore in sovraccarico L</v>
      </c>
      <c r="E17" s="37" t="s">
        <v>53</v>
      </c>
      <c r="F17" s="38" t="s">
        <v>77</v>
      </c>
      <c r="G17" s="38" t="s">
        <v>78</v>
      </c>
      <c r="H17" s="39" t="s">
        <v>56</v>
      </c>
      <c r="I17" s="39" t="s">
        <v>57</v>
      </c>
      <c r="J17" s="40" t="s">
        <v>21</v>
      </c>
      <c r="K17" s="41" t="s">
        <v>22</v>
      </c>
      <c r="L17" s="42" t="s">
        <v>23</v>
      </c>
      <c r="M17" s="43" t="s">
        <v>24</v>
      </c>
      <c r="N17" s="42" t="s">
        <v>25</v>
      </c>
      <c r="O17" s="42" t="s">
        <v>21</v>
      </c>
      <c r="P17" s="44"/>
    </row>
    <row r="18" spans="1:16" customFormat="1" ht="15" customHeight="1" x14ac:dyDescent="0.25">
      <c r="A18" t="str">
        <f t="shared" si="0"/>
        <v>ALR_ALTERNATORE_NON_ECCITATO-Allarme alternatore non eccitato</v>
      </c>
      <c r="B18" t="str">
        <f>VLOOKUP(A18,'EXPORT IRIS PROD 13-11-2024'!A:A,1,0)</f>
        <v>ALR_ALTERNATORE_NON_ECCITATO-Allarme alternatore non eccitato</v>
      </c>
      <c r="C18" t="str">
        <f>VLOOKUP(F18,'EXPORT IRIS PROD 13-11-2024'!F:F,1,0)</f>
        <v>ALR_ALTERNATORE_NON_ECCITATO</v>
      </c>
      <c r="D18" t="str">
        <f>VLOOKUP(G18,'EXPORT IRIS PROD 13-11-2024'!D:D,1,0)</f>
        <v>Allarme alternatore non eccitato</v>
      </c>
      <c r="E18" s="37" t="s">
        <v>53</v>
      </c>
      <c r="F18" s="38" t="s">
        <v>79</v>
      </c>
      <c r="G18" s="38" t="s">
        <v>80</v>
      </c>
      <c r="H18" s="39" t="s">
        <v>56</v>
      </c>
      <c r="I18" s="39" t="s">
        <v>57</v>
      </c>
      <c r="J18" s="40" t="s">
        <v>21</v>
      </c>
      <c r="K18" s="41" t="s">
        <v>22</v>
      </c>
      <c r="L18" s="42" t="s">
        <v>23</v>
      </c>
      <c r="M18" s="43" t="s">
        <v>24</v>
      </c>
      <c r="N18" s="42" t="s">
        <v>25</v>
      </c>
      <c r="O18" s="42" t="s">
        <v>21</v>
      </c>
      <c r="P18" s="44"/>
    </row>
    <row r="19" spans="1:16" customFormat="1" ht="15" customHeight="1" x14ac:dyDescent="0.25">
      <c r="A19" t="str">
        <f t="shared" si="0"/>
        <v>ALR_ALTO_LIV_GASOLIO_SERB-Allarme livello gasolio alto</v>
      </c>
      <c r="B19" t="str">
        <f>VLOOKUP(A19,'EXPORT IRIS PROD 13-11-2024'!A:A,1,0)</f>
        <v>ALR_ALTO_LIV_GASOLIO_SERB-Allarme livello gasolio alto</v>
      </c>
      <c r="C19" t="str">
        <f>VLOOKUP(F19,'EXPORT IRIS PROD 13-11-2024'!F:F,1,0)</f>
        <v>ALR_ALTO_LIV_GASOLIO_SERB</v>
      </c>
      <c r="D19" t="str">
        <f>VLOOKUP(G19,'EXPORT IRIS PROD 13-11-2024'!D:D,1,0)</f>
        <v>Allarme livello gasolio alto</v>
      </c>
      <c r="E19" s="37" t="s">
        <v>53</v>
      </c>
      <c r="F19" s="38" t="s">
        <v>81</v>
      </c>
      <c r="G19" s="38" t="s">
        <v>82</v>
      </c>
      <c r="H19" s="39" t="s">
        <v>56</v>
      </c>
      <c r="I19" s="39" t="s">
        <v>57</v>
      </c>
      <c r="J19" s="40" t="s">
        <v>21</v>
      </c>
      <c r="K19" s="41" t="s">
        <v>22</v>
      </c>
      <c r="L19" s="42" t="s">
        <v>23</v>
      </c>
      <c r="M19" s="43" t="s">
        <v>24</v>
      </c>
      <c r="N19" s="42" t="s">
        <v>25</v>
      </c>
      <c r="O19" s="42" t="s">
        <v>21</v>
      </c>
      <c r="P19" s="44"/>
    </row>
    <row r="20" spans="1:16" customFormat="1" ht="15" customHeight="1" x14ac:dyDescent="0.25">
      <c r="A20" t="str">
        <f t="shared" si="0"/>
        <v>ALR_ALTO_LIVELLO_POMPA-Allarme alto livello pompa</v>
      </c>
      <c r="B20" t="str">
        <f>VLOOKUP(A20,'EXPORT IRIS PROD 13-11-2024'!A:A,1,0)</f>
        <v>ALR_ALTO_LIVELLO_POMPA-Allarme alto livello pompa</v>
      </c>
      <c r="C20" t="str">
        <f>VLOOKUP(F20,'EXPORT IRIS PROD 13-11-2024'!F:F,1,0)</f>
        <v>ALR_ALTO_LIVELLO_POMPA</v>
      </c>
      <c r="D20" t="str">
        <f>VLOOKUP(G20,'EXPORT IRIS PROD 13-11-2024'!D:D,1,0)</f>
        <v>Allarme alto livello pompa</v>
      </c>
      <c r="E20" s="37" t="s">
        <v>35</v>
      </c>
      <c r="F20" s="38" t="s">
        <v>83</v>
      </c>
      <c r="G20" s="38" t="s">
        <v>84</v>
      </c>
      <c r="H20" s="39" t="s">
        <v>38</v>
      </c>
      <c r="I20" s="39" t="s">
        <v>39</v>
      </c>
      <c r="J20" s="40" t="s">
        <v>21</v>
      </c>
      <c r="K20" s="41" t="s">
        <v>22</v>
      </c>
      <c r="L20" s="42" t="s">
        <v>23</v>
      </c>
      <c r="M20" s="43" t="s">
        <v>24</v>
      </c>
      <c r="N20" s="42" t="s">
        <v>25</v>
      </c>
      <c r="O20" s="42" t="s">
        <v>21</v>
      </c>
      <c r="P20" s="44"/>
    </row>
    <row r="21" spans="1:16" customFormat="1" ht="15" customHeight="1" x14ac:dyDescent="0.25">
      <c r="A21" t="str">
        <f t="shared" si="0"/>
        <v>ALR_ANEMOMETRO-Allarme guasto anemometro</v>
      </c>
      <c r="B21" t="str">
        <f>VLOOKUP(A21,'EXPORT IRIS PROD 13-11-2024'!A:A,1,0)</f>
        <v>ALR_ANEMOMETRO-Allarme guasto anemometro</v>
      </c>
      <c r="C21" t="str">
        <f>VLOOKUP(F21,'EXPORT IRIS PROD 13-11-2024'!F:F,1,0)</f>
        <v>ALR_ANEMOMETRO</v>
      </c>
      <c r="D21" t="str">
        <f>VLOOKUP(G21,'EXPORT IRIS PROD 13-11-2024'!D:D,1,0)</f>
        <v>Allarme guasto anemometro</v>
      </c>
      <c r="E21" s="37" t="s">
        <v>85</v>
      </c>
      <c r="F21" s="38" t="s">
        <v>86</v>
      </c>
      <c r="G21" s="38" t="s">
        <v>87</v>
      </c>
      <c r="H21" s="39" t="s">
        <v>50</v>
      </c>
      <c r="I21" s="39" t="s">
        <v>88</v>
      </c>
      <c r="J21" s="40" t="s">
        <v>21</v>
      </c>
      <c r="K21" s="41" t="s">
        <v>22</v>
      </c>
      <c r="L21" s="42" t="s">
        <v>23</v>
      </c>
      <c r="M21" s="43" t="s">
        <v>24</v>
      </c>
      <c r="N21" s="42" t="s">
        <v>25</v>
      </c>
      <c r="O21" s="42" t="s">
        <v>21</v>
      </c>
      <c r="P21" s="44"/>
    </row>
    <row r="22" spans="1:16" customFormat="1" ht="15" customHeight="1" x14ac:dyDescent="0.25">
      <c r="A22" t="str">
        <f t="shared" si="0"/>
        <v>ALR_ANTA_ESTINTORE_APERTA-Allarme apertura anta estintore colonnina SOS</v>
      </c>
      <c r="B22" t="str">
        <f>VLOOKUP(A22,'EXPORT IRIS PROD 13-11-2024'!A:A,1,0)</f>
        <v>ALR_ANTA_ESTINTORE_APERTA-Allarme apertura anta estintore colonnina SOS</v>
      </c>
      <c r="C22" t="str">
        <f>VLOOKUP(F22,'EXPORT IRIS PROD 13-11-2024'!F:F,1,0)</f>
        <v>ALR_ANTA_ESTINTORE_APERTA</v>
      </c>
      <c r="D22" t="str">
        <f>VLOOKUP(G22,'EXPORT IRIS PROD 13-11-2024'!D:D,1,0)</f>
        <v>Allarme apertura anta estintore colonnina SOS</v>
      </c>
      <c r="E22" s="37" t="s">
        <v>89</v>
      </c>
      <c r="F22" s="38" t="s">
        <v>90</v>
      </c>
      <c r="G22" s="38" t="s">
        <v>91</v>
      </c>
      <c r="H22" s="39" t="s">
        <v>29</v>
      </c>
      <c r="I22" s="39" t="s">
        <v>30</v>
      </c>
      <c r="J22" s="40" t="s">
        <v>21</v>
      </c>
      <c r="K22" s="41" t="s">
        <v>22</v>
      </c>
      <c r="L22" s="42" t="s">
        <v>23</v>
      </c>
      <c r="M22" s="43" t="s">
        <v>24</v>
      </c>
      <c r="N22" s="42" t="s">
        <v>25</v>
      </c>
      <c r="O22" s="42" t="s">
        <v>21</v>
      </c>
      <c r="P22" s="44"/>
    </row>
    <row r="23" spans="1:16" customFormat="1" ht="15" customHeight="1" x14ac:dyDescent="0.25">
      <c r="A23" t="str">
        <f t="shared" si="0"/>
        <v>ALR_ANTE_INFERIORI-Allarme ante inferiori</v>
      </c>
      <c r="B23" t="str">
        <f>VLOOKUP(A23,'EXPORT IRIS PROD 13-11-2024'!A:A,1,0)</f>
        <v>ALR_ANTE_INFERIORI-Allarme ante inferiori</v>
      </c>
      <c r="C23" t="str">
        <f>VLOOKUP(F23,'EXPORT IRIS PROD 13-11-2024'!F:F,1,0)</f>
        <v>ALR_ANTE_INFERIORI</v>
      </c>
      <c r="D23" t="str">
        <f>VLOOKUP(G23,'EXPORT IRIS PROD 13-11-2024'!D:D,1,0)</f>
        <v>Allarme ante inferiori</v>
      </c>
      <c r="E23" s="37" t="s">
        <v>89</v>
      </c>
      <c r="F23" s="38" t="s">
        <v>92</v>
      </c>
      <c r="G23" s="38" t="s">
        <v>93</v>
      </c>
      <c r="H23" s="39" t="s">
        <v>29</v>
      </c>
      <c r="I23" s="39" t="s">
        <v>30</v>
      </c>
      <c r="J23" s="40" t="s">
        <v>21</v>
      </c>
      <c r="K23" s="41" t="s">
        <v>22</v>
      </c>
      <c r="L23" s="42" t="s">
        <v>23</v>
      </c>
      <c r="M23" s="43" t="s">
        <v>24</v>
      </c>
      <c r="N23" s="42" t="s">
        <v>25</v>
      </c>
      <c r="O23" s="42" t="s">
        <v>21</v>
      </c>
      <c r="P23" s="44"/>
    </row>
    <row r="24" spans="1:16" customFormat="1" ht="15" customHeight="1" x14ac:dyDescent="0.25">
      <c r="A24" t="str">
        <f t="shared" si="0"/>
        <v>ALR_ANTE_SUPERIORI-Allarme ante superiori</v>
      </c>
      <c r="B24" t="str">
        <f>VLOOKUP(A24,'EXPORT IRIS PROD 13-11-2024'!A:A,1,0)</f>
        <v>ALR_ANTE_SUPERIORI-Allarme ante superiori</v>
      </c>
      <c r="C24" t="str">
        <f>VLOOKUP(F24,'EXPORT IRIS PROD 13-11-2024'!F:F,1,0)</f>
        <v>ALR_ANTE_SUPERIORI</v>
      </c>
      <c r="D24" t="str">
        <f>VLOOKUP(G24,'EXPORT IRIS PROD 13-11-2024'!D:D,1,0)</f>
        <v>Allarme ante superiori</v>
      </c>
      <c r="E24" s="37" t="s">
        <v>89</v>
      </c>
      <c r="F24" s="38" t="s">
        <v>94</v>
      </c>
      <c r="G24" s="38" t="s">
        <v>95</v>
      </c>
      <c r="H24" s="39" t="s">
        <v>29</v>
      </c>
      <c r="I24" s="39" t="s">
        <v>30</v>
      </c>
      <c r="J24" s="40" t="s">
        <v>21</v>
      </c>
      <c r="K24" s="41" t="s">
        <v>22</v>
      </c>
      <c r="L24" s="42" t="s">
        <v>23</v>
      </c>
      <c r="M24" s="43" t="s">
        <v>24</v>
      </c>
      <c r="N24" s="42" t="s">
        <v>25</v>
      </c>
      <c r="O24" s="42" t="s">
        <v>21</v>
      </c>
      <c r="P24" s="44"/>
    </row>
    <row r="25" spans="1:16" customFormat="1" ht="15" customHeight="1" x14ac:dyDescent="0.25">
      <c r="A25" t="str">
        <f t="shared" si="0"/>
        <v>ALR_APERTURA_IMMOTIVATA_GCB-Allarme apertura immotivata contattore generatore</v>
      </c>
      <c r="B25" t="str">
        <f>VLOOKUP(A25,'EXPORT IRIS PROD 13-11-2024'!A:A,1,0)</f>
        <v>ALR_APERTURA_IMMOTIVATA_GCB-Allarme apertura immotivata contattore generatore</v>
      </c>
      <c r="C25" t="str">
        <f>VLOOKUP(F25,'EXPORT IRIS PROD 13-11-2024'!F:F,1,0)</f>
        <v>ALR_APERTURA_IMMOTIVATA_GCB</v>
      </c>
      <c r="D25" t="str">
        <f>VLOOKUP(G25,'EXPORT IRIS PROD 13-11-2024'!D:D,1,0)</f>
        <v>Allarme apertura immotivata contattore generatore</v>
      </c>
      <c r="E25" s="37" t="s">
        <v>53</v>
      </c>
      <c r="F25" s="38" t="s">
        <v>96</v>
      </c>
      <c r="G25" s="38" t="s">
        <v>97</v>
      </c>
      <c r="H25" s="39" t="s">
        <v>56</v>
      </c>
      <c r="I25" s="39" t="s">
        <v>57</v>
      </c>
      <c r="J25" s="40" t="s">
        <v>21</v>
      </c>
      <c r="K25" s="41" t="s">
        <v>22</v>
      </c>
      <c r="L25" s="42" t="s">
        <v>23</v>
      </c>
      <c r="M25" s="43" t="s">
        <v>24</v>
      </c>
      <c r="N25" s="42" t="s">
        <v>25</v>
      </c>
      <c r="O25" s="42" t="s">
        <v>21</v>
      </c>
      <c r="P25" s="44"/>
    </row>
    <row r="26" spans="1:16" customFormat="1" ht="15" customHeight="1" x14ac:dyDescent="0.25">
      <c r="A26" t="str">
        <f t="shared" si="0"/>
        <v>ALR_APERTURA_IMMOTIVATA_MCB-Allarme apertura immotivata contattore di rete</v>
      </c>
      <c r="B26" t="str">
        <f>VLOOKUP(A26,'EXPORT IRIS PROD 13-11-2024'!A:A,1,0)</f>
        <v>ALR_APERTURA_IMMOTIVATA_MCB-Allarme apertura immotivata contattore di rete</v>
      </c>
      <c r="C26" t="str">
        <f>VLOOKUP(F26,'EXPORT IRIS PROD 13-11-2024'!F:F,1,0)</f>
        <v>ALR_APERTURA_IMMOTIVATA_MCB</v>
      </c>
      <c r="D26" t="str">
        <f>VLOOKUP(G26,'EXPORT IRIS PROD 13-11-2024'!D:D,1,0)</f>
        <v>Allarme apertura immotivata contattore di rete</v>
      </c>
      <c r="E26" s="37" t="s">
        <v>53</v>
      </c>
      <c r="F26" s="38" t="s">
        <v>98</v>
      </c>
      <c r="G26" s="38" t="s">
        <v>99</v>
      </c>
      <c r="H26" s="39" t="s">
        <v>56</v>
      </c>
      <c r="I26" s="39" t="s">
        <v>57</v>
      </c>
      <c r="J26" s="40" t="s">
        <v>21</v>
      </c>
      <c r="K26" s="41" t="s">
        <v>22</v>
      </c>
      <c r="L26" s="42" t="s">
        <v>23</v>
      </c>
      <c r="M26" s="43" t="s">
        <v>24</v>
      </c>
      <c r="N26" s="42" t="s">
        <v>25</v>
      </c>
      <c r="O26" s="42" t="s">
        <v>21</v>
      </c>
      <c r="P26" s="44"/>
    </row>
    <row r="27" spans="1:16" customFormat="1" ht="15" customHeight="1" x14ac:dyDescent="0.25">
      <c r="A27" t="str">
        <f t="shared" si="0"/>
        <v>ALR_ARRESTO_EMERGENZA-Allarme arresto Gruppo Elettrogeno</v>
      </c>
      <c r="B27" t="str">
        <f>VLOOKUP(A27,'EXPORT IRIS PROD 13-11-2024'!A:A,1,0)</f>
        <v>ALR_ARRESTO_EMERGENZA-Allarme arresto Gruppo Elettrogeno</v>
      </c>
      <c r="C27" t="str">
        <f>VLOOKUP(F27,'EXPORT IRIS PROD 13-11-2024'!F:F,1,0)</f>
        <v>ALR_ARRESTO_EMERGENZA</v>
      </c>
      <c r="D27" t="str">
        <f>VLOOKUP(G27,'EXPORT IRIS PROD 13-11-2024'!D:D,1,0)</f>
        <v>Allarme arresto Gruppo Elettrogeno</v>
      </c>
      <c r="E27" s="37" t="s">
        <v>53</v>
      </c>
      <c r="F27" s="38" t="s">
        <v>100</v>
      </c>
      <c r="G27" s="38" t="s">
        <v>101</v>
      </c>
      <c r="H27" s="39" t="s">
        <v>56</v>
      </c>
      <c r="I27" s="39" t="s">
        <v>57</v>
      </c>
      <c r="J27" s="40" t="s">
        <v>21</v>
      </c>
      <c r="K27" s="41" t="s">
        <v>22</v>
      </c>
      <c r="L27" s="42" t="s">
        <v>23</v>
      </c>
      <c r="M27" s="43" t="s">
        <v>24</v>
      </c>
      <c r="N27" s="42" t="s">
        <v>25</v>
      </c>
      <c r="O27" s="42" t="s">
        <v>21</v>
      </c>
      <c r="P27" s="44"/>
    </row>
    <row r="28" spans="1:16" customFormat="1" ht="15" customHeight="1" x14ac:dyDescent="0.25">
      <c r="A28" t="str">
        <f t="shared" si="0"/>
        <v>ALR_ASSENZA_RETE-Allarme assenza rete</v>
      </c>
      <c r="B28" t="str">
        <f>VLOOKUP(A28,'EXPORT IRIS PROD 13-11-2024'!A:A,1,0)</f>
        <v>ALR_ASSENZA_RETE-Allarme assenza rete</v>
      </c>
      <c r="C28" t="str">
        <f>VLOOKUP(F28,'EXPORT IRIS PROD 13-11-2024'!F:F,1,0)</f>
        <v>ALR_ASSENZA_RETE</v>
      </c>
      <c r="D28" t="str">
        <f>VLOOKUP(G28,'EXPORT IRIS PROD 13-11-2024'!D:D,1,0)</f>
        <v>Allarme assenza rete</v>
      </c>
      <c r="E28" s="37" t="s">
        <v>53</v>
      </c>
      <c r="F28" s="38" t="s">
        <v>102</v>
      </c>
      <c r="G28" s="38" t="s">
        <v>103</v>
      </c>
      <c r="H28" s="39" t="s">
        <v>56</v>
      </c>
      <c r="I28" s="39" t="s">
        <v>104</v>
      </c>
      <c r="J28" s="40" t="s">
        <v>21</v>
      </c>
      <c r="K28" s="41" t="s">
        <v>22</v>
      </c>
      <c r="L28" s="42" t="s">
        <v>23</v>
      </c>
      <c r="M28" s="43" t="s">
        <v>24</v>
      </c>
      <c r="N28" s="42" t="s">
        <v>25</v>
      </c>
      <c r="O28" s="42" t="s">
        <v>21</v>
      </c>
      <c r="P28" s="44"/>
    </row>
    <row r="29" spans="1:16" customFormat="1" ht="15" customHeight="1" x14ac:dyDescent="0.25">
      <c r="A29" t="str">
        <f t="shared" si="0"/>
        <v>ALR_ASSENZA_TENSIONE-Allarme assenza tensione dispositivo</v>
      </c>
      <c r="B29" t="str">
        <f>VLOOKUP(A29,'EXPORT IRIS PROD 13-11-2024'!A:A,1,0)</f>
        <v>ALR_ASSENZA_TENSIONE-Allarme assenza tensione dispositivo</v>
      </c>
      <c r="C29" t="str">
        <f>VLOOKUP(F29,'EXPORT IRIS PROD 13-11-2024'!F:F,1,0)</f>
        <v>ALR_ASSENZA_TENSIONE</v>
      </c>
      <c r="D29" t="str">
        <f>VLOOKUP(G29,'EXPORT IRIS PROD 13-11-2024'!D:D,1,0)</f>
        <v>Allarme assenza tensione dispositivo</v>
      </c>
      <c r="E29" s="37" t="s">
        <v>105</v>
      </c>
      <c r="F29" s="38" t="s">
        <v>106</v>
      </c>
      <c r="G29" s="38" t="s">
        <v>107</v>
      </c>
      <c r="H29" s="39" t="s">
        <v>43</v>
      </c>
      <c r="I29" s="39" t="s">
        <v>108</v>
      </c>
      <c r="J29" s="40" t="s">
        <v>31</v>
      </c>
      <c r="K29" s="41" t="s">
        <v>32</v>
      </c>
      <c r="L29" s="42">
        <v>3</v>
      </c>
      <c r="M29" s="43" t="s">
        <v>24</v>
      </c>
      <c r="N29" s="42" t="s">
        <v>25</v>
      </c>
      <c r="O29" s="42" t="s">
        <v>21</v>
      </c>
      <c r="P29" s="44"/>
    </row>
    <row r="30" spans="1:16" customFormat="1" ht="15" customHeight="1" x14ac:dyDescent="0.25">
      <c r="A30" t="str">
        <f t="shared" si="0"/>
        <v>ALR_ASSENZA_TENSIONE_2_IMP-Allarme assenza tensione dispositivo</v>
      </c>
      <c r="B30" t="str">
        <f>VLOOKUP(A30,'EXPORT IRIS PROD 13-11-2024'!A:A,1,0)</f>
        <v>ALR_ASSENZA_TENSIONE_2_IMP-Allarme assenza tensione dispositivo</v>
      </c>
      <c r="C30" t="str">
        <f>VLOOKUP(F30,'EXPORT IRIS PROD 13-11-2024'!F:F,1,0)</f>
        <v>ALR_ASSENZA_TENSIONE_2_IMP</v>
      </c>
      <c r="D30" t="str">
        <f>VLOOKUP(G30,'EXPORT IRIS PROD 13-11-2024'!D:D,1,0)</f>
        <v>Allarme assenza tensione dispositivo</v>
      </c>
      <c r="E30" s="37" t="s">
        <v>109</v>
      </c>
      <c r="F30" s="38" t="s">
        <v>110</v>
      </c>
      <c r="G30" s="38" t="s">
        <v>107</v>
      </c>
      <c r="H30" s="39" t="s">
        <v>111</v>
      </c>
      <c r="I30" s="39" t="s">
        <v>112</v>
      </c>
      <c r="J30" s="40" t="s">
        <v>21</v>
      </c>
      <c r="K30" s="41" t="s">
        <v>22</v>
      </c>
      <c r="L30" s="42" t="s">
        <v>23</v>
      </c>
      <c r="M30" s="43" t="s">
        <v>24</v>
      </c>
      <c r="N30" s="42" t="s">
        <v>25</v>
      </c>
      <c r="O30" s="42" t="s">
        <v>21</v>
      </c>
      <c r="P30" s="44"/>
    </row>
    <row r="31" spans="1:16" customFormat="1" x14ac:dyDescent="0.25">
      <c r="A31" t="str">
        <f t="shared" si="0"/>
        <v>ALR_ASSENZA_TENSIONE_2_IMP-Allarme assenza tensione dispositivo</v>
      </c>
      <c r="B31" t="str">
        <f>VLOOKUP(A31,'EXPORT IRIS PROD 13-11-2024'!A:A,1,0)</f>
        <v>ALR_ASSENZA_TENSIONE_2_IMP-Allarme assenza tensione dispositivo</v>
      </c>
      <c r="C31" t="str">
        <f>VLOOKUP(F31,'EXPORT IRIS PROD 13-11-2024'!F:F,1,0)</f>
        <v>ALR_ASSENZA_TENSIONE_2_IMP</v>
      </c>
      <c r="D31" t="str">
        <f>VLOOKUP(G31,'EXPORT IRIS PROD 13-11-2024'!D:D,1,0)</f>
        <v>Allarme assenza tensione dispositivo</v>
      </c>
      <c r="E31" s="37" t="s">
        <v>53</v>
      </c>
      <c r="F31" s="38" t="s">
        <v>110</v>
      </c>
      <c r="G31" s="38" t="s">
        <v>107</v>
      </c>
      <c r="H31" s="39" t="s">
        <v>56</v>
      </c>
      <c r="I31" s="39" t="s">
        <v>57</v>
      </c>
      <c r="J31" s="40" t="s">
        <v>21</v>
      </c>
      <c r="K31" s="41" t="s">
        <v>22</v>
      </c>
      <c r="L31" s="42" t="s">
        <v>23</v>
      </c>
      <c r="M31" s="43" t="s">
        <v>24</v>
      </c>
      <c r="N31" s="42" t="s">
        <v>25</v>
      </c>
      <c r="O31" s="42" t="s">
        <v>21</v>
      </c>
      <c r="P31" s="44"/>
    </row>
    <row r="32" spans="1:16" customFormat="1" ht="14.25" customHeight="1" x14ac:dyDescent="0.25">
      <c r="A32" t="str">
        <f t="shared" si="0"/>
        <v>ALR_ASSENZA_TENSIONE_2_IMP-Allarme assenza tensione dispositivo</v>
      </c>
      <c r="B32" t="str">
        <f>VLOOKUP(A32,'EXPORT IRIS PROD 13-11-2024'!A:A,1,0)</f>
        <v>ALR_ASSENZA_TENSIONE_2_IMP-Allarme assenza tensione dispositivo</v>
      </c>
      <c r="C32" t="str">
        <f>VLOOKUP(F32,'EXPORT IRIS PROD 13-11-2024'!F:F,1,0)</f>
        <v>ALR_ASSENZA_TENSIONE_2_IMP</v>
      </c>
      <c r="D32" t="str">
        <f>VLOOKUP(G32,'EXPORT IRIS PROD 13-11-2024'!D:D,1,0)</f>
        <v>Allarme assenza tensione dispositivo</v>
      </c>
      <c r="E32" s="37" t="s">
        <v>53</v>
      </c>
      <c r="F32" s="38" t="s">
        <v>110</v>
      </c>
      <c r="G32" s="38" t="s">
        <v>107</v>
      </c>
      <c r="H32" s="39" t="s">
        <v>56</v>
      </c>
      <c r="I32" s="39" t="s">
        <v>113</v>
      </c>
      <c r="J32" s="40" t="s">
        <v>21</v>
      </c>
      <c r="K32" s="41" t="s">
        <v>22</v>
      </c>
      <c r="L32" s="42" t="s">
        <v>23</v>
      </c>
      <c r="M32" s="43" t="s">
        <v>24</v>
      </c>
      <c r="N32" s="42" t="s">
        <v>25</v>
      </c>
      <c r="O32" s="42" t="s">
        <v>21</v>
      </c>
      <c r="P32" s="44"/>
    </row>
    <row r="33" spans="1:16" customFormat="1" x14ac:dyDescent="0.25">
      <c r="A33" t="str">
        <f t="shared" si="0"/>
        <v>ALR_ASSENZA_TENSIONE_2_IMP-Allarme assenza tensione dispositivo</v>
      </c>
      <c r="B33" t="str">
        <f>VLOOKUP(A33,'EXPORT IRIS PROD 13-11-2024'!A:A,1,0)</f>
        <v>ALR_ASSENZA_TENSIONE_2_IMP-Allarme assenza tensione dispositivo</v>
      </c>
      <c r="C33" t="str">
        <f>VLOOKUP(F33,'EXPORT IRIS PROD 13-11-2024'!F:F,1,0)</f>
        <v>ALR_ASSENZA_TENSIONE_2_IMP</v>
      </c>
      <c r="D33" t="str">
        <f>VLOOKUP(G33,'EXPORT IRIS PROD 13-11-2024'!D:D,1,0)</f>
        <v>Allarme assenza tensione dispositivo</v>
      </c>
      <c r="E33" s="37" t="s">
        <v>53</v>
      </c>
      <c r="F33" s="38" t="s">
        <v>110</v>
      </c>
      <c r="G33" s="38" t="s">
        <v>107</v>
      </c>
      <c r="H33" s="39" t="s">
        <v>56</v>
      </c>
      <c r="I33" s="39" t="s">
        <v>114</v>
      </c>
      <c r="J33" s="40" t="s">
        <v>21</v>
      </c>
      <c r="K33" s="41" t="s">
        <v>22</v>
      </c>
      <c r="L33" s="42" t="s">
        <v>23</v>
      </c>
      <c r="M33" s="43" t="s">
        <v>24</v>
      </c>
      <c r="N33" s="42" t="s">
        <v>25</v>
      </c>
      <c r="O33" s="42" t="s">
        <v>21</v>
      </c>
      <c r="P33" s="44"/>
    </row>
    <row r="34" spans="1:16" customFormat="1" ht="15" customHeight="1" x14ac:dyDescent="0.25">
      <c r="A34" t="str">
        <f t="shared" si="0"/>
        <v>ALR_ASSENZA_TENSIONE_2_IMP-Allarme assenza tensione dispositivo</v>
      </c>
      <c r="B34" t="str">
        <f>VLOOKUP(A34,'EXPORT IRIS PROD 13-11-2024'!A:A,1,0)</f>
        <v>ALR_ASSENZA_TENSIONE_2_IMP-Allarme assenza tensione dispositivo</v>
      </c>
      <c r="C34" t="str">
        <f>VLOOKUP(F34,'EXPORT IRIS PROD 13-11-2024'!F:F,1,0)</f>
        <v>ALR_ASSENZA_TENSIONE_2_IMP</v>
      </c>
      <c r="D34" t="str">
        <f>VLOOKUP(G34,'EXPORT IRIS PROD 13-11-2024'!D:D,1,0)</f>
        <v>Allarme assenza tensione dispositivo</v>
      </c>
      <c r="E34" s="37" t="s">
        <v>115</v>
      </c>
      <c r="F34" s="38" t="s">
        <v>110</v>
      </c>
      <c r="G34" s="38" t="s">
        <v>107</v>
      </c>
      <c r="H34" s="39" t="s">
        <v>116</v>
      </c>
      <c r="I34" s="39" t="s">
        <v>117</v>
      </c>
      <c r="J34" s="40" t="s">
        <v>21</v>
      </c>
      <c r="K34" s="41" t="s">
        <v>22</v>
      </c>
      <c r="L34" s="42" t="s">
        <v>23</v>
      </c>
      <c r="M34" s="43" t="s">
        <v>24</v>
      </c>
      <c r="N34" s="42" t="s">
        <v>25</v>
      </c>
      <c r="O34" s="42" t="s">
        <v>21</v>
      </c>
      <c r="P34" s="44"/>
    </row>
    <row r="35" spans="1:16" customFormat="1" ht="15" customHeight="1" x14ac:dyDescent="0.25">
      <c r="A35" t="str">
        <f t="shared" si="0"/>
        <v>ALR_ASSENZA_TENSIONE_2_IMP-Allarme assenza tensione dispositivo</v>
      </c>
      <c r="B35" t="str">
        <f>VLOOKUP(A35,'EXPORT IRIS PROD 13-11-2024'!A:A,1,0)</f>
        <v>ALR_ASSENZA_TENSIONE_2_IMP-Allarme assenza tensione dispositivo</v>
      </c>
      <c r="C35" t="str">
        <f>VLOOKUP(F35,'EXPORT IRIS PROD 13-11-2024'!F:F,1,0)</f>
        <v>ALR_ASSENZA_TENSIONE_2_IMP</v>
      </c>
      <c r="D35" t="str">
        <f>VLOOKUP(G35,'EXPORT IRIS PROD 13-11-2024'!D:D,1,0)</f>
        <v>Allarme assenza tensione dispositivo</v>
      </c>
      <c r="E35" s="37" t="s">
        <v>89</v>
      </c>
      <c r="F35" s="38" t="s">
        <v>110</v>
      </c>
      <c r="G35" s="38" t="s">
        <v>107</v>
      </c>
      <c r="H35" s="39" t="s">
        <v>29</v>
      </c>
      <c r="I35" s="39" t="s">
        <v>30</v>
      </c>
      <c r="J35" s="40" t="s">
        <v>21</v>
      </c>
      <c r="K35" s="41" t="s">
        <v>22</v>
      </c>
      <c r="L35" s="42" t="s">
        <v>23</v>
      </c>
      <c r="M35" s="43" t="s">
        <v>24</v>
      </c>
      <c r="N35" s="42" t="s">
        <v>25</v>
      </c>
      <c r="O35" s="42" t="s">
        <v>21</v>
      </c>
      <c r="P35" s="44"/>
    </row>
    <row r="36" spans="1:16" customFormat="1" ht="15" customHeight="1" x14ac:dyDescent="0.25">
      <c r="A36" t="str">
        <f t="shared" si="0"/>
        <v>ALR_ASSIMETRIA_ALTERNATORE-Allarme assimetria alternatore</v>
      </c>
      <c r="B36" t="str">
        <f>VLOOKUP(A36,'EXPORT IRIS PROD 13-11-2024'!A:A,1,0)</f>
        <v>ALR_ASSIMETRIA_ALTERNATORE-Allarme assimetria alternatore</v>
      </c>
      <c r="C36" t="str">
        <f>VLOOKUP(F36,'EXPORT IRIS PROD 13-11-2024'!F:F,1,0)</f>
        <v>ALR_ASSIMETRIA_ALTERNATORE</v>
      </c>
      <c r="D36" t="str">
        <f>VLOOKUP(G36,'EXPORT IRIS PROD 13-11-2024'!D:D,1,0)</f>
        <v>Allarme assimetria alternatore</v>
      </c>
      <c r="E36" s="37" t="s">
        <v>53</v>
      </c>
      <c r="F36" s="38" t="s">
        <v>118</v>
      </c>
      <c r="G36" s="38" t="s">
        <v>119</v>
      </c>
      <c r="H36" s="39" t="s">
        <v>56</v>
      </c>
      <c r="I36" s="39" t="s">
        <v>57</v>
      </c>
      <c r="J36" s="40" t="s">
        <v>21</v>
      </c>
      <c r="K36" s="41" t="s">
        <v>22</v>
      </c>
      <c r="L36" s="42" t="s">
        <v>23</v>
      </c>
      <c r="M36" s="43" t="s">
        <v>24</v>
      </c>
      <c r="N36" s="42" t="s">
        <v>25</v>
      </c>
      <c r="O36" s="42" t="s">
        <v>21</v>
      </c>
      <c r="P36" s="44"/>
    </row>
    <row r="37" spans="1:16" customFormat="1" ht="15" customHeight="1" x14ac:dyDescent="0.25">
      <c r="A37" t="str">
        <f t="shared" si="0"/>
        <v>ALR_ASSIMETRIA_RETE-Allarme assimetria rete</v>
      </c>
      <c r="B37" t="str">
        <f>VLOOKUP(A37,'EXPORT IRIS PROD 13-11-2024'!A:A,1,0)</f>
        <v>ALR_ASSIMETRIA_RETE-Allarme assimetria rete</v>
      </c>
      <c r="C37" t="str">
        <f>VLOOKUP(F37,'EXPORT IRIS PROD 13-11-2024'!F:F,1,0)</f>
        <v>ALR_ASSIMETRIA_RETE</v>
      </c>
      <c r="D37" t="str">
        <f>VLOOKUP(G37,'EXPORT IRIS PROD 13-11-2024'!D:D,1,0)</f>
        <v>Allarme assimetria rete</v>
      </c>
      <c r="E37" s="37" t="s">
        <v>53</v>
      </c>
      <c r="F37" s="38" t="s">
        <v>120</v>
      </c>
      <c r="G37" s="38" t="s">
        <v>121</v>
      </c>
      <c r="H37" s="39" t="s">
        <v>56</v>
      </c>
      <c r="I37" s="39" t="s">
        <v>57</v>
      </c>
      <c r="J37" s="40" t="s">
        <v>21</v>
      </c>
      <c r="K37" s="41" t="s">
        <v>22</v>
      </c>
      <c r="L37" s="42" t="s">
        <v>23</v>
      </c>
      <c r="M37" s="43" t="s">
        <v>24</v>
      </c>
      <c r="N37" s="42" t="s">
        <v>25</v>
      </c>
      <c r="O37" s="42" t="s">
        <v>21</v>
      </c>
      <c r="P37" s="44"/>
    </row>
    <row r="38" spans="1:16" customFormat="1" ht="15" customHeight="1" x14ac:dyDescent="0.25">
      <c r="A38" t="str">
        <f t="shared" si="0"/>
        <v>ALR_ASSIMETRIA_RETE-Allarme assimetria rete</v>
      </c>
      <c r="B38" t="str">
        <f>VLOOKUP(A38,'EXPORT IRIS PROD 13-11-2024'!A:A,1,0)</f>
        <v>ALR_ASSIMETRIA_RETE-Allarme assimetria rete</v>
      </c>
      <c r="C38" t="str">
        <f>VLOOKUP(F38,'EXPORT IRIS PROD 13-11-2024'!F:F,1,0)</f>
        <v>ALR_ASSIMETRIA_RETE</v>
      </c>
      <c r="D38" t="str">
        <f>VLOOKUP(G38,'EXPORT IRIS PROD 13-11-2024'!D:D,1,0)</f>
        <v>Allarme assimetria rete</v>
      </c>
      <c r="E38" s="37" t="s">
        <v>53</v>
      </c>
      <c r="F38" s="38" t="s">
        <v>120</v>
      </c>
      <c r="G38" s="38" t="s">
        <v>121</v>
      </c>
      <c r="H38" s="39" t="s">
        <v>56</v>
      </c>
      <c r="I38" s="39" t="s">
        <v>104</v>
      </c>
      <c r="J38" s="40" t="s">
        <v>21</v>
      </c>
      <c r="K38" s="41" t="s">
        <v>22</v>
      </c>
      <c r="L38" s="42" t="s">
        <v>23</v>
      </c>
      <c r="M38" s="43" t="s">
        <v>24</v>
      </c>
      <c r="N38" s="42" t="s">
        <v>25</v>
      </c>
      <c r="O38" s="42" t="s">
        <v>21</v>
      </c>
      <c r="P38" s="44"/>
    </row>
    <row r="39" spans="1:16" customFormat="1" ht="15" customHeight="1" x14ac:dyDescent="0.25">
      <c r="A39" t="str">
        <f t="shared" si="0"/>
        <v>ALR_ASSORBIMENTO-Allarme assorbimento  ventilatore</v>
      </c>
      <c r="B39" t="str">
        <f>VLOOKUP(A39,'EXPORT IRIS PROD 13-11-2024'!A:A,1,0)</f>
        <v>ALR_ASSORBIMENTO-Allarme assorbimento  ventilatore</v>
      </c>
      <c r="C39" t="str">
        <f>VLOOKUP(F39,'EXPORT IRIS PROD 13-11-2024'!F:F,1,0)</f>
        <v>ALR_ASSORBIMENTO</v>
      </c>
      <c r="D39" t="str">
        <f>VLOOKUP(G39,'EXPORT IRIS PROD 13-11-2024'!D:D,1,0)</f>
        <v>Allarme assorbimento  ventilatore</v>
      </c>
      <c r="E39" s="37" t="s">
        <v>85</v>
      </c>
      <c r="F39" s="38" t="s">
        <v>122</v>
      </c>
      <c r="G39" s="38" t="s">
        <v>123</v>
      </c>
      <c r="H39" s="39" t="s">
        <v>50</v>
      </c>
      <c r="I39" s="39" t="s">
        <v>124</v>
      </c>
      <c r="J39" s="40" t="s">
        <v>21</v>
      </c>
      <c r="K39" s="41" t="s">
        <v>22</v>
      </c>
      <c r="L39" s="42" t="s">
        <v>23</v>
      </c>
      <c r="M39" s="43" t="s">
        <v>24</v>
      </c>
      <c r="N39" s="42" t="s">
        <v>25</v>
      </c>
      <c r="O39" s="42" t="s">
        <v>21</v>
      </c>
      <c r="P39" s="44"/>
    </row>
    <row r="40" spans="1:16" customFormat="1" ht="15" customHeight="1" x14ac:dyDescent="0.25">
      <c r="A40" t="str">
        <f t="shared" si="0"/>
        <v>ALR_AVARIA_ALIMENTATORI-Allarme avaria alimentatori</v>
      </c>
      <c r="B40" t="str">
        <f>VLOOKUP(A40,'EXPORT IRIS PROD 13-11-2024'!A:A,1,0)</f>
        <v>ALR_AVARIA_ALIMENTATORI-Allarme avaria alimentatori</v>
      </c>
      <c r="C40" t="str">
        <f>VLOOKUP(F40,'EXPORT IRIS PROD 13-11-2024'!F:F,1,0)</f>
        <v>ALR_AVARIA_ALIMENTATORI</v>
      </c>
      <c r="D40" t="str">
        <f>VLOOKUP(G40,'EXPORT IRIS PROD 13-11-2024'!D:D,1,0)</f>
        <v>Allarme avaria alimentatori</v>
      </c>
      <c r="E40" s="37" t="s">
        <v>109</v>
      </c>
      <c r="F40" s="38" t="s">
        <v>125</v>
      </c>
      <c r="G40" s="38" t="s">
        <v>126</v>
      </c>
      <c r="H40" s="39" t="s">
        <v>111</v>
      </c>
      <c r="I40" s="39" t="s">
        <v>127</v>
      </c>
      <c r="J40" s="40" t="s">
        <v>21</v>
      </c>
      <c r="K40" s="41" t="s">
        <v>22</v>
      </c>
      <c r="L40" s="42" t="s">
        <v>23</v>
      </c>
      <c r="M40" s="43" t="s">
        <v>24</v>
      </c>
      <c r="N40" s="42" t="s">
        <v>25</v>
      </c>
      <c r="O40" s="42" t="s">
        <v>21</v>
      </c>
      <c r="P40" s="44"/>
    </row>
    <row r="41" spans="1:16" customFormat="1" ht="14.85" customHeight="1" x14ac:dyDescent="0.25">
      <c r="A41" t="str">
        <f t="shared" si="0"/>
        <v>ALR_AVARIA_CENTRALINA_ANTINCENDIO-Allarme avaria centralina incendio</v>
      </c>
      <c r="B41" t="str">
        <f>VLOOKUP(A41,'EXPORT IRIS PROD 13-11-2024'!A:A,1,0)</f>
        <v>ALR_AVARIA_CENTRALINA_ANTINCENDIO-Allarme avaria centralina incendio</v>
      </c>
      <c r="C41" t="str">
        <f>VLOOKUP(F41,'EXPORT IRIS PROD 13-11-2024'!F:F,1,0)</f>
        <v>ALR_AVARIA_CENTRALINA_ANTINCENDIO</v>
      </c>
      <c r="D41" t="str">
        <f>VLOOKUP(G41,'EXPORT IRIS PROD 13-11-2024'!D:D,1,0)</f>
        <v>Allarme avaria centralina incendio</v>
      </c>
      <c r="E41" s="37" t="s">
        <v>105</v>
      </c>
      <c r="F41" s="38" t="s">
        <v>128</v>
      </c>
      <c r="G41" s="38" t="s">
        <v>129</v>
      </c>
      <c r="H41" s="39" t="s">
        <v>43</v>
      </c>
      <c r="I41" s="39" t="s">
        <v>130</v>
      </c>
      <c r="J41" s="40" t="s">
        <v>31</v>
      </c>
      <c r="K41" s="41" t="s">
        <v>32</v>
      </c>
      <c r="L41" s="42">
        <v>3</v>
      </c>
      <c r="M41" s="43" t="s">
        <v>33</v>
      </c>
      <c r="N41" s="42" t="s">
        <v>34</v>
      </c>
      <c r="O41" s="42" t="s">
        <v>31</v>
      </c>
      <c r="P41" s="44"/>
    </row>
    <row r="42" spans="1:16" customFormat="1" ht="15" customHeight="1" x14ac:dyDescent="0.25">
      <c r="A42" t="str">
        <f t="shared" si="0"/>
        <v>ALR_AVARIA_LED-Allarme avaria LED</v>
      </c>
      <c r="B42" t="str">
        <f>VLOOKUP(A42,'EXPORT IRIS PROD 13-11-2024'!A:A,1,0)</f>
        <v>ALR_AVARIA_LED-Allarme avaria LED</v>
      </c>
      <c r="C42" t="str">
        <f>VLOOKUP(F42,'EXPORT IRIS PROD 13-11-2024'!F:F,1,0)</f>
        <v>ALR_AVARIA_LED</v>
      </c>
      <c r="D42" t="str">
        <f>VLOOKUP(G42,'EXPORT IRIS PROD 13-11-2024'!D:D,1,0)</f>
        <v>Allarme avaria LED</v>
      </c>
      <c r="E42" s="37" t="s">
        <v>109</v>
      </c>
      <c r="F42" s="38" t="s">
        <v>131</v>
      </c>
      <c r="G42" s="38" t="s">
        <v>132</v>
      </c>
      <c r="H42" s="39" t="s">
        <v>111</v>
      </c>
      <c r="I42" s="39" t="s">
        <v>127</v>
      </c>
      <c r="J42" s="40" t="s">
        <v>21</v>
      </c>
      <c r="K42" s="41" t="s">
        <v>22</v>
      </c>
      <c r="L42" s="42" t="s">
        <v>23</v>
      </c>
      <c r="M42" s="43" t="s">
        <v>24</v>
      </c>
      <c r="N42" s="42" t="s">
        <v>25</v>
      </c>
      <c r="O42" s="42" t="s">
        <v>21</v>
      </c>
      <c r="P42" s="44"/>
    </row>
    <row r="43" spans="1:16" customFormat="1" ht="15" customHeight="1" x14ac:dyDescent="0.25">
      <c r="A43" t="str">
        <f t="shared" si="0"/>
        <v>ALR_AVARIA_LINEA_INTERNA-Allarme avaria linea interna</v>
      </c>
      <c r="B43" t="str">
        <f>VLOOKUP(A43,'EXPORT IRIS PROD 13-11-2024'!A:A,1,0)</f>
        <v>ALR_AVARIA_LINEA_INTERNA-Allarme avaria linea interna</v>
      </c>
      <c r="C43" t="str">
        <f>VLOOKUP(F43,'EXPORT IRIS PROD 13-11-2024'!F:F,1,0)</f>
        <v>ALR_AVARIA_LINEA_INTERNA</v>
      </c>
      <c r="D43" t="str">
        <f>VLOOKUP(G43,'EXPORT IRIS PROD 13-11-2024'!D:D,1,0)</f>
        <v>Allarme avaria linea interna</v>
      </c>
      <c r="E43" s="37" t="s">
        <v>109</v>
      </c>
      <c r="F43" s="38" t="s">
        <v>133</v>
      </c>
      <c r="G43" s="38" t="s">
        <v>134</v>
      </c>
      <c r="H43" s="39" t="s">
        <v>111</v>
      </c>
      <c r="I43" s="39" t="s">
        <v>127</v>
      </c>
      <c r="J43" s="40" t="s">
        <v>21</v>
      </c>
      <c r="K43" s="41" t="s">
        <v>22</v>
      </c>
      <c r="L43" s="42" t="s">
        <v>23</v>
      </c>
      <c r="M43" s="43" t="s">
        <v>24</v>
      </c>
      <c r="N43" s="42" t="s">
        <v>25</v>
      </c>
      <c r="O43" s="42" t="s">
        <v>21</v>
      </c>
      <c r="P43" s="44"/>
    </row>
    <row r="44" spans="1:16" customFormat="1" ht="15" customHeight="1" x14ac:dyDescent="0.25">
      <c r="A44" t="str">
        <f t="shared" si="0"/>
        <v>ALR_AVARIA_SERBATOIO-Allarme serbatoio GE in avaria</v>
      </c>
      <c r="B44" t="str">
        <f>VLOOKUP(A44,'EXPORT IRIS PROD 13-11-2024'!A:A,1,0)</f>
        <v>ALR_AVARIA_SERBATOIO-Allarme serbatoio GE in avaria</v>
      </c>
      <c r="C44" t="str">
        <f>VLOOKUP(F44,'EXPORT IRIS PROD 13-11-2024'!F:F,1,0)</f>
        <v>ALR_AVARIA_SERBATOIO</v>
      </c>
      <c r="D44" t="str">
        <f>VLOOKUP(G44,'EXPORT IRIS PROD 13-11-2024'!D:D,1,0)</f>
        <v>Allarme serbatoio GE in avaria</v>
      </c>
      <c r="E44" s="37" t="s">
        <v>53</v>
      </c>
      <c r="F44" s="38" t="s">
        <v>135</v>
      </c>
      <c r="G44" s="38" t="s">
        <v>136</v>
      </c>
      <c r="H44" s="39" t="s">
        <v>56</v>
      </c>
      <c r="I44" s="39" t="s">
        <v>137</v>
      </c>
      <c r="J44" s="40" t="s">
        <v>21</v>
      </c>
      <c r="K44" s="41" t="s">
        <v>22</v>
      </c>
      <c r="L44" s="42" t="s">
        <v>23</v>
      </c>
      <c r="M44" s="43" t="s">
        <v>24</v>
      </c>
      <c r="N44" s="42" t="s">
        <v>25</v>
      </c>
      <c r="O44" s="42" t="s">
        <v>21</v>
      </c>
      <c r="P44" s="44"/>
    </row>
    <row r="45" spans="1:16" customFormat="1" ht="15" customHeight="1" x14ac:dyDescent="0.25">
      <c r="A45" t="str">
        <f t="shared" si="0"/>
        <v>ALR_AVARIA_SERIALE_NE-Allarme avaria seriale NE</v>
      </c>
      <c r="B45" t="str">
        <f>VLOOKUP(A45,'EXPORT IRIS PROD 13-11-2024'!A:A,1,0)</f>
        <v>ALR_AVARIA_SERIALE_NE-Allarme avaria seriale NE</v>
      </c>
      <c r="C45" t="str">
        <f>VLOOKUP(F45,'EXPORT IRIS PROD 13-11-2024'!F:F,1,0)</f>
        <v>ALR_AVARIA_SERIALE_NE</v>
      </c>
      <c r="D45" t="str">
        <f>VLOOKUP(G45,'EXPORT IRIS PROD 13-11-2024'!D:D,1,0)</f>
        <v>Allarme avaria seriale NE</v>
      </c>
      <c r="E45" s="37" t="s">
        <v>109</v>
      </c>
      <c r="F45" s="38" t="s">
        <v>138</v>
      </c>
      <c r="G45" s="38" t="s">
        <v>139</v>
      </c>
      <c r="H45" s="39" t="s">
        <v>111</v>
      </c>
      <c r="I45" s="39" t="s">
        <v>127</v>
      </c>
      <c r="J45" s="40" t="s">
        <v>21</v>
      </c>
      <c r="K45" s="41" t="s">
        <v>22</v>
      </c>
      <c r="L45" s="42" t="s">
        <v>23</v>
      </c>
      <c r="M45" s="43" t="s">
        <v>24</v>
      </c>
      <c r="N45" s="42" t="s">
        <v>25</v>
      </c>
      <c r="O45" s="42" t="s">
        <v>21</v>
      </c>
      <c r="P45" s="44"/>
    </row>
    <row r="46" spans="1:16" customFormat="1" ht="15" customHeight="1" x14ac:dyDescent="0.25">
      <c r="A46" t="str">
        <f t="shared" si="0"/>
        <v>ALR_AVARIA_SERIALE_NW-Allarme avaria seriale NW</v>
      </c>
      <c r="B46" t="str">
        <f>VLOOKUP(A46,'EXPORT IRIS PROD 13-11-2024'!A:A,1,0)</f>
        <v>ALR_AVARIA_SERIALE_NW-Allarme avaria seriale NW</v>
      </c>
      <c r="C46" t="str">
        <f>VLOOKUP(F46,'EXPORT IRIS PROD 13-11-2024'!F:F,1,0)</f>
        <v>ALR_AVARIA_SERIALE_NW</v>
      </c>
      <c r="D46" t="str">
        <f>VLOOKUP(G46,'EXPORT IRIS PROD 13-11-2024'!D:D,1,0)</f>
        <v>Allarme avaria seriale NW</v>
      </c>
      <c r="E46" s="37" t="s">
        <v>109</v>
      </c>
      <c r="F46" s="38" t="s">
        <v>140</v>
      </c>
      <c r="G46" s="38" t="s">
        <v>141</v>
      </c>
      <c r="H46" s="39" t="s">
        <v>111</v>
      </c>
      <c r="I46" s="39" t="s">
        <v>127</v>
      </c>
      <c r="J46" s="40" t="s">
        <v>21</v>
      </c>
      <c r="K46" s="41" t="s">
        <v>22</v>
      </c>
      <c r="L46" s="42" t="s">
        <v>23</v>
      </c>
      <c r="M46" s="43" t="s">
        <v>24</v>
      </c>
      <c r="N46" s="42" t="s">
        <v>25</v>
      </c>
      <c r="O46" s="42" t="s">
        <v>21</v>
      </c>
      <c r="P46" s="44"/>
    </row>
    <row r="47" spans="1:16" customFormat="1" ht="15" customHeight="1" x14ac:dyDescent="0.25">
      <c r="A47" t="str">
        <f t="shared" si="0"/>
        <v>ALR_AVARIA_SERIALE_SE-Allarme avaria seriale SE</v>
      </c>
      <c r="B47" t="str">
        <f>VLOOKUP(A47,'EXPORT IRIS PROD 13-11-2024'!A:A,1,0)</f>
        <v>ALR_AVARIA_SERIALE_SE-Allarme avaria seriale SE</v>
      </c>
      <c r="C47" t="str">
        <f>VLOOKUP(F47,'EXPORT IRIS PROD 13-11-2024'!F:F,1,0)</f>
        <v>ALR_AVARIA_SERIALE_SE</v>
      </c>
      <c r="D47" t="str">
        <f>VLOOKUP(G47,'EXPORT IRIS PROD 13-11-2024'!D:D,1,0)</f>
        <v>Allarme avaria seriale SE</v>
      </c>
      <c r="E47" s="37" t="s">
        <v>109</v>
      </c>
      <c r="F47" s="38" t="s">
        <v>142</v>
      </c>
      <c r="G47" s="38" t="s">
        <v>143</v>
      </c>
      <c r="H47" s="39" t="s">
        <v>111</v>
      </c>
      <c r="I47" s="39" t="s">
        <v>127</v>
      </c>
      <c r="J47" s="40" t="s">
        <v>21</v>
      </c>
      <c r="K47" s="41" t="s">
        <v>22</v>
      </c>
      <c r="L47" s="42" t="s">
        <v>23</v>
      </c>
      <c r="M47" s="43" t="s">
        <v>24</v>
      </c>
      <c r="N47" s="42" t="s">
        <v>25</v>
      </c>
      <c r="O47" s="42" t="s">
        <v>21</v>
      </c>
      <c r="P47" s="44"/>
    </row>
    <row r="48" spans="1:16" customFormat="1" ht="15" customHeight="1" x14ac:dyDescent="0.25">
      <c r="A48" t="str">
        <f t="shared" si="0"/>
        <v>ALR_AVARIA_SERIALE_SW-Allarme avaria seriale SW</v>
      </c>
      <c r="B48" t="str">
        <f>VLOOKUP(A48,'EXPORT IRIS PROD 13-11-2024'!A:A,1,0)</f>
        <v>ALR_AVARIA_SERIALE_SW-Allarme avaria seriale SW</v>
      </c>
      <c r="C48" t="str">
        <f>VLOOKUP(F48,'EXPORT IRIS PROD 13-11-2024'!F:F,1,0)</f>
        <v>ALR_AVARIA_SERIALE_SW</v>
      </c>
      <c r="D48" t="str">
        <f>VLOOKUP(G48,'EXPORT IRIS PROD 13-11-2024'!D:D,1,0)</f>
        <v>Allarme avaria seriale SW</v>
      </c>
      <c r="E48" s="37" t="s">
        <v>109</v>
      </c>
      <c r="F48" s="38" t="s">
        <v>144</v>
      </c>
      <c r="G48" s="38" t="s">
        <v>145</v>
      </c>
      <c r="H48" s="39" t="s">
        <v>111</v>
      </c>
      <c r="I48" s="39" t="s">
        <v>127</v>
      </c>
      <c r="J48" s="40" t="s">
        <v>21</v>
      </c>
      <c r="K48" s="41" t="s">
        <v>22</v>
      </c>
      <c r="L48" s="42" t="s">
        <v>23</v>
      </c>
      <c r="M48" s="43" t="s">
        <v>24</v>
      </c>
      <c r="N48" s="42" t="s">
        <v>25</v>
      </c>
      <c r="O48" s="42" t="s">
        <v>21</v>
      </c>
      <c r="P48" s="44"/>
    </row>
    <row r="49" spans="1:16" customFormat="1" ht="15" customHeight="1" x14ac:dyDescent="0.25">
      <c r="A49" t="str">
        <f t="shared" si="0"/>
        <v>ALR_AVARIA_TEMPERATURE-Allarme avaria temperatura</v>
      </c>
      <c r="B49" t="str">
        <f>VLOOKUP(A49,'EXPORT IRIS PROD 13-11-2024'!A:A,1,0)</f>
        <v>ALR_AVARIA_TEMPERATURE-Allarme avaria temperatura</v>
      </c>
      <c r="C49" t="str">
        <f>VLOOKUP(F49,'EXPORT IRIS PROD 13-11-2024'!F:F,1,0)</f>
        <v>ALR_AVARIA_TEMPERATURE</v>
      </c>
      <c r="D49" t="str">
        <f>VLOOKUP(G49,'EXPORT IRIS PROD 13-11-2024'!D:D,1,0)</f>
        <v>Allarme avaria temperatura</v>
      </c>
      <c r="E49" s="37" t="s">
        <v>109</v>
      </c>
      <c r="F49" s="38" t="s">
        <v>146</v>
      </c>
      <c r="G49" s="38" t="s">
        <v>147</v>
      </c>
      <c r="H49" s="39" t="s">
        <v>111</v>
      </c>
      <c r="I49" s="39" t="s">
        <v>127</v>
      </c>
      <c r="J49" s="40" t="s">
        <v>21</v>
      </c>
      <c r="K49" s="41" t="s">
        <v>22</v>
      </c>
      <c r="L49" s="42" t="s">
        <v>23</v>
      </c>
      <c r="M49" s="43" t="s">
        <v>24</v>
      </c>
      <c r="N49" s="42" t="s">
        <v>25</v>
      </c>
      <c r="O49" s="42" t="s">
        <v>21</v>
      </c>
      <c r="P49" s="44"/>
    </row>
    <row r="50" spans="1:16" customFormat="1" ht="15" customHeight="1" x14ac:dyDescent="0.25">
      <c r="A50" t="str">
        <f t="shared" si="0"/>
        <v>ALR_BASSA_PRESSIONE-Allarme bassa pressione Gruppo Elettrogeno</v>
      </c>
      <c r="B50" t="str">
        <f>VLOOKUP(A50,'EXPORT IRIS PROD 13-11-2024'!A:A,1,0)</f>
        <v>ALR_BASSA_PRESSIONE-Allarme bassa pressione Gruppo Elettrogeno</v>
      </c>
      <c r="C50" t="str">
        <f>VLOOKUP(F50,'EXPORT IRIS PROD 13-11-2024'!F:F,1,0)</f>
        <v>ALR_BASSA_PRESSIONE</v>
      </c>
      <c r="D50" t="str">
        <f>VLOOKUP(G50,'EXPORT IRIS PROD 13-11-2024'!D:D,1,0)</f>
        <v>Allarme bassa pressione Gruppo Elettrogeno</v>
      </c>
      <c r="E50" s="37" t="s">
        <v>53</v>
      </c>
      <c r="F50" s="38" t="s">
        <v>148</v>
      </c>
      <c r="G50" s="38" t="s">
        <v>149</v>
      </c>
      <c r="H50" s="39" t="s">
        <v>56</v>
      </c>
      <c r="I50" s="39" t="s">
        <v>57</v>
      </c>
      <c r="J50" s="40" t="s">
        <v>21</v>
      </c>
      <c r="K50" s="41" t="s">
        <v>22</v>
      </c>
      <c r="L50" s="42" t="s">
        <v>23</v>
      </c>
      <c r="M50" s="43" t="s">
        <v>24</v>
      </c>
      <c r="N50" s="42" t="s">
        <v>25</v>
      </c>
      <c r="O50" s="42" t="s">
        <v>21</v>
      </c>
      <c r="P50" s="44"/>
    </row>
    <row r="51" spans="1:16" customFormat="1" ht="15" customHeight="1" x14ac:dyDescent="0.25">
      <c r="A51" t="str">
        <f t="shared" si="0"/>
        <v>ALR_BASSA_TENSIONE_RETE-Allarme bassa tensione rete</v>
      </c>
      <c r="B51" t="str">
        <f>VLOOKUP(A51,'EXPORT IRIS PROD 13-11-2024'!A:A,1,0)</f>
        <v>ALR_BASSA_TENSIONE_RETE-Allarme bassa tensione rete</v>
      </c>
      <c r="C51" t="str">
        <f>VLOOKUP(F51,'EXPORT IRIS PROD 13-11-2024'!F:F,1,0)</f>
        <v>ALR_BASSA_TENSIONE_RETE</v>
      </c>
      <c r="D51" t="str">
        <f>VLOOKUP(G51,'EXPORT IRIS PROD 13-11-2024'!D:D,1,0)</f>
        <v>Allarme bassa tensione rete</v>
      </c>
      <c r="E51" s="37" t="s">
        <v>53</v>
      </c>
      <c r="F51" s="38" t="s">
        <v>150</v>
      </c>
      <c r="G51" s="38" t="s">
        <v>151</v>
      </c>
      <c r="H51" s="39" t="s">
        <v>56</v>
      </c>
      <c r="I51" s="39" t="s">
        <v>57</v>
      </c>
      <c r="J51" s="40" t="s">
        <v>21</v>
      </c>
      <c r="K51" s="41" t="s">
        <v>22</v>
      </c>
      <c r="L51" s="42" t="s">
        <v>23</v>
      </c>
      <c r="M51" s="43" t="s">
        <v>24</v>
      </c>
      <c r="N51" s="42" t="s">
        <v>25</v>
      </c>
      <c r="O51" s="42" t="s">
        <v>21</v>
      </c>
      <c r="P51" s="44"/>
    </row>
    <row r="52" spans="1:16" customFormat="1" ht="15" customHeight="1" x14ac:dyDescent="0.25">
      <c r="A52" t="str">
        <f t="shared" si="0"/>
        <v>ALR_BASSISSIMO_LIV_GASOLIO_SERB-Allarme livello gasolio bassissimo</v>
      </c>
      <c r="B52" t="str">
        <f>VLOOKUP(A52,'EXPORT IRIS PROD 13-11-2024'!A:A,1,0)</f>
        <v>ALR_BASSISSIMO_LIV_GASOLIO_SERB-Allarme livello gasolio bassissimo</v>
      </c>
      <c r="C52" t="str">
        <f>VLOOKUP(F52,'EXPORT IRIS PROD 13-11-2024'!F:F,1,0)</f>
        <v>ALR_BASSISSIMO_LIV_GASOLIO_SERB</v>
      </c>
      <c r="D52" t="str">
        <f>VLOOKUP(G52,'EXPORT IRIS PROD 13-11-2024'!D:D,1,0)</f>
        <v>Allarme livello gasolio bassissimo</v>
      </c>
      <c r="E52" s="37" t="s">
        <v>53</v>
      </c>
      <c r="F52" s="38" t="s">
        <v>152</v>
      </c>
      <c r="G52" s="38" t="s">
        <v>153</v>
      </c>
      <c r="H52" s="39" t="s">
        <v>56</v>
      </c>
      <c r="I52" s="39" t="s">
        <v>57</v>
      </c>
      <c r="J52" s="40" t="s">
        <v>21</v>
      </c>
      <c r="K52" s="41" t="s">
        <v>22</v>
      </c>
      <c r="L52" s="42" t="s">
        <v>23</v>
      </c>
      <c r="M52" s="43" t="s">
        <v>24</v>
      </c>
      <c r="N52" s="42" t="s">
        <v>25</v>
      </c>
      <c r="O52" s="42" t="s">
        <v>21</v>
      </c>
      <c r="P52" s="44"/>
    </row>
    <row r="53" spans="1:16" customFormat="1" ht="15" customHeight="1" x14ac:dyDescent="0.25">
      <c r="A53" t="str">
        <f t="shared" si="0"/>
        <v>ALR_BASSO_LIV_GASOLIO_SERB-Allarme livello serbatoio gasolio in esaurimento</v>
      </c>
      <c r="B53" t="str">
        <f>VLOOKUP(A53,'EXPORT IRIS PROD 13-11-2024'!A:A,1,0)</f>
        <v>ALR_BASSO_LIV_GASOLIO_SERB-Allarme livello serbatoio gasolio in esaurimento</v>
      </c>
      <c r="C53" t="str">
        <f>VLOOKUP(F53,'EXPORT IRIS PROD 13-11-2024'!F:F,1,0)</f>
        <v>ALR_BASSO_LIV_GASOLIO_SERB</v>
      </c>
      <c r="D53" t="str">
        <f>VLOOKUP(G53,'EXPORT IRIS PROD 13-11-2024'!D:D,1,0)</f>
        <v>Allarme livello serbatoio gasolio in esaurimento</v>
      </c>
      <c r="E53" s="37" t="s">
        <v>53</v>
      </c>
      <c r="F53" s="38" t="s">
        <v>154</v>
      </c>
      <c r="G53" s="38" t="s">
        <v>155</v>
      </c>
      <c r="H53" s="39" t="s">
        <v>56</v>
      </c>
      <c r="I53" s="39" t="s">
        <v>156</v>
      </c>
      <c r="J53" s="40" t="s">
        <v>21</v>
      </c>
      <c r="K53" s="41" t="s">
        <v>22</v>
      </c>
      <c r="L53" s="42" t="s">
        <v>23</v>
      </c>
      <c r="M53" s="43" t="s">
        <v>157</v>
      </c>
      <c r="N53" s="42" t="s">
        <v>158</v>
      </c>
      <c r="O53" s="42" t="s">
        <v>21</v>
      </c>
      <c r="P53" s="44"/>
    </row>
    <row r="54" spans="1:16" customFormat="1" ht="15" customHeight="1" x14ac:dyDescent="0.25">
      <c r="A54" t="str">
        <f t="shared" si="0"/>
        <v>ALR_BATTERIA_ALTA-Allarme batteria alta</v>
      </c>
      <c r="B54" t="str">
        <f>VLOOKUP(A54,'EXPORT IRIS PROD 13-11-2024'!A:A,1,0)</f>
        <v>ALR_BATTERIA_ALTA-Allarme batteria alta</v>
      </c>
      <c r="C54" t="str">
        <f>VLOOKUP(F54,'EXPORT IRIS PROD 13-11-2024'!F:F,1,0)</f>
        <v>ALR_BATTERIA_ALTA</v>
      </c>
      <c r="D54" t="str">
        <f>VLOOKUP(G54,'EXPORT IRIS PROD 13-11-2024'!D:D,1,0)</f>
        <v>Allarme batteria alta</v>
      </c>
      <c r="E54" s="37" t="s">
        <v>53</v>
      </c>
      <c r="F54" s="38" t="s">
        <v>159</v>
      </c>
      <c r="G54" s="38" t="s">
        <v>160</v>
      </c>
      <c r="H54" s="39" t="s">
        <v>56</v>
      </c>
      <c r="I54" s="39" t="s">
        <v>57</v>
      </c>
      <c r="J54" s="40" t="s">
        <v>21</v>
      </c>
      <c r="K54" s="41" t="s">
        <v>22</v>
      </c>
      <c r="L54" s="42" t="s">
        <v>23</v>
      </c>
      <c r="M54" s="43" t="s">
        <v>24</v>
      </c>
      <c r="N54" s="42" t="s">
        <v>25</v>
      </c>
      <c r="O54" s="42" t="s">
        <v>21</v>
      </c>
      <c r="P54" s="44"/>
    </row>
    <row r="55" spans="1:16" customFormat="1" ht="15" customHeight="1" x14ac:dyDescent="0.25">
      <c r="A55" t="str">
        <f t="shared" si="0"/>
        <v>ALR_BATTERIA_BASSA-Allarme batteria bassa</v>
      </c>
      <c r="B55" t="str">
        <f>VLOOKUP(A55,'EXPORT IRIS PROD 13-11-2024'!A:A,1,0)</f>
        <v>ALR_BATTERIA_BASSA-Allarme batteria bassa</v>
      </c>
      <c r="C55" t="str">
        <f>VLOOKUP(F55,'EXPORT IRIS PROD 13-11-2024'!F:F,1,0)</f>
        <v>ALR_BATTERIA_BASSA</v>
      </c>
      <c r="D55" t="str">
        <f>VLOOKUP(G55,'EXPORT IRIS PROD 13-11-2024'!D:D,1,0)</f>
        <v>Allarme batteria bassa</v>
      </c>
      <c r="E55" s="37" t="s">
        <v>53</v>
      </c>
      <c r="F55" s="38" t="s">
        <v>161</v>
      </c>
      <c r="G55" s="38" t="s">
        <v>162</v>
      </c>
      <c r="H55" s="39" t="s">
        <v>56</v>
      </c>
      <c r="I55" s="39" t="s">
        <v>57</v>
      </c>
      <c r="J55" s="40" t="s">
        <v>21</v>
      </c>
      <c r="K55" s="41" t="s">
        <v>22</v>
      </c>
      <c r="L55" s="42" t="s">
        <v>23</v>
      </c>
      <c r="M55" s="43" t="s">
        <v>24</v>
      </c>
      <c r="N55" s="42" t="s">
        <v>25</v>
      </c>
      <c r="O55" s="42" t="s">
        <v>21</v>
      </c>
      <c r="P55" s="44"/>
    </row>
    <row r="56" spans="1:16" customFormat="1" ht="15" customHeight="1" x14ac:dyDescent="0.25">
      <c r="A56" t="str">
        <f t="shared" si="0"/>
        <v>ALR_BATTERIA_BASSA-Allarme batteria bassa</v>
      </c>
      <c r="B56" t="str">
        <f>VLOOKUP(A56,'EXPORT IRIS PROD 13-11-2024'!A:A,1,0)</f>
        <v>ALR_BATTERIA_BASSA-Allarme batteria bassa</v>
      </c>
      <c r="C56" t="str">
        <f>VLOOKUP(F56,'EXPORT IRIS PROD 13-11-2024'!F:F,1,0)</f>
        <v>ALR_BATTERIA_BASSA</v>
      </c>
      <c r="D56" t="str">
        <f>VLOOKUP(G56,'EXPORT IRIS PROD 13-11-2024'!D:D,1,0)</f>
        <v>Allarme batteria bassa</v>
      </c>
      <c r="E56" s="37" t="s">
        <v>53</v>
      </c>
      <c r="F56" s="38" t="s">
        <v>161</v>
      </c>
      <c r="G56" s="38" t="s">
        <v>162</v>
      </c>
      <c r="H56" s="39" t="s">
        <v>56</v>
      </c>
      <c r="I56" s="39" t="s">
        <v>104</v>
      </c>
      <c r="J56" s="40" t="s">
        <v>21</v>
      </c>
      <c r="K56" s="41" t="s">
        <v>22</v>
      </c>
      <c r="L56" s="42" t="s">
        <v>23</v>
      </c>
      <c r="M56" s="43" t="s">
        <v>24</v>
      </c>
      <c r="N56" s="42" t="s">
        <v>25</v>
      </c>
      <c r="O56" s="42" t="s">
        <v>21</v>
      </c>
      <c r="P56" s="44"/>
    </row>
    <row r="57" spans="1:16" customFormat="1" ht="15" customHeight="1" x14ac:dyDescent="0.25">
      <c r="A57" t="str">
        <f t="shared" si="0"/>
        <v>ALR_BATTERIA_CENTRALINA-Allarme batteria centralina</v>
      </c>
      <c r="B57" t="str">
        <f>VLOOKUP(A57,'EXPORT IRIS PROD 13-11-2024'!A:A,1,0)</f>
        <v>ALR_BATTERIA_CENTRALINA-Allarme batteria centralina</v>
      </c>
      <c r="C57" t="str">
        <f>VLOOKUP(F57,'EXPORT IRIS PROD 13-11-2024'!F:F,1,0)</f>
        <v>ALR_BATTERIA_CENTRALINA</v>
      </c>
      <c r="D57" t="str">
        <f>VLOOKUP(G57,'EXPORT IRIS PROD 13-11-2024'!D:D,1,0)</f>
        <v>Allarme batteria centralina</v>
      </c>
      <c r="E57" s="37" t="s">
        <v>105</v>
      </c>
      <c r="F57" s="38" t="s">
        <v>163</v>
      </c>
      <c r="G57" s="38" t="s">
        <v>164</v>
      </c>
      <c r="H57" s="39" t="s">
        <v>43</v>
      </c>
      <c r="I57" s="39" t="s">
        <v>108</v>
      </c>
      <c r="J57" s="40" t="s">
        <v>21</v>
      </c>
      <c r="K57" s="41" t="s">
        <v>22</v>
      </c>
      <c r="L57" s="42" t="s">
        <v>23</v>
      </c>
      <c r="M57" s="43" t="s">
        <v>24</v>
      </c>
      <c r="N57" s="42" t="s">
        <v>25</v>
      </c>
      <c r="O57" s="42" t="s">
        <v>21</v>
      </c>
      <c r="P57" s="44"/>
    </row>
    <row r="58" spans="1:16" customFormat="1" ht="15" customHeight="1" x14ac:dyDescent="0.25">
      <c r="A58" t="str">
        <f t="shared" si="0"/>
        <v>ALR_BATTERIA_PROCESSORE-Allarme batteria processore</v>
      </c>
      <c r="B58" t="str">
        <f>VLOOKUP(A58,'EXPORT IRIS PROD 13-11-2024'!A:A,1,0)</f>
        <v>ALR_BATTERIA_PROCESSORE-Allarme batteria processore</v>
      </c>
      <c r="C58" t="str">
        <f>VLOOKUP(F58,'EXPORT IRIS PROD 13-11-2024'!F:F,1,0)</f>
        <v>ALR_BATTERIA_PROCESSORE</v>
      </c>
      <c r="D58" t="str">
        <f>VLOOKUP(G58,'EXPORT IRIS PROD 13-11-2024'!D:D,1,0)</f>
        <v>Allarme batteria processore</v>
      </c>
      <c r="E58" s="37" t="s">
        <v>16</v>
      </c>
      <c r="F58" s="38" t="s">
        <v>165</v>
      </c>
      <c r="G58" s="38" t="s">
        <v>166</v>
      </c>
      <c r="H58" s="39" t="s">
        <v>19</v>
      </c>
      <c r="I58" s="39" t="s">
        <v>167</v>
      </c>
      <c r="J58" s="40" t="s">
        <v>21</v>
      </c>
      <c r="K58" s="41" t="s">
        <v>22</v>
      </c>
      <c r="L58" s="42" t="s">
        <v>23</v>
      </c>
      <c r="M58" s="43" t="s">
        <v>24</v>
      </c>
      <c r="N58" s="42" t="s">
        <v>25</v>
      </c>
      <c r="O58" s="42" t="s">
        <v>21</v>
      </c>
      <c r="P58" s="44"/>
    </row>
    <row r="59" spans="1:16" customFormat="1" ht="15" customHeight="1" x14ac:dyDescent="0.25">
      <c r="A59" t="str">
        <f t="shared" si="0"/>
        <v>ALR_BATTERIA_SCARICA-Allarme batteria scarica</v>
      </c>
      <c r="B59" t="str">
        <f>VLOOKUP(A59,'EXPORT IRIS PROD 13-11-2024'!A:A,1,0)</f>
        <v>ALR_BATTERIA_SCARICA-Allarme batteria scarica</v>
      </c>
      <c r="C59" t="str">
        <f>VLOOKUP(F59,'EXPORT IRIS PROD 13-11-2024'!F:F,1,0)</f>
        <v>ALR_BATTERIA_SCARICA</v>
      </c>
      <c r="D59" t="str">
        <f>VLOOKUP(G59,'EXPORT IRIS PROD 13-11-2024'!D:D,1,0)</f>
        <v>Allarme batteria scarica</v>
      </c>
      <c r="E59" s="37" t="s">
        <v>53</v>
      </c>
      <c r="F59" s="38" t="s">
        <v>168</v>
      </c>
      <c r="G59" s="38" t="s">
        <v>169</v>
      </c>
      <c r="H59" s="39" t="s">
        <v>56</v>
      </c>
      <c r="I59" s="39" t="s">
        <v>104</v>
      </c>
      <c r="J59" s="40" t="s">
        <v>21</v>
      </c>
      <c r="K59" s="41" t="s">
        <v>22</v>
      </c>
      <c r="L59" s="42" t="s">
        <v>23</v>
      </c>
      <c r="M59" s="43" t="s">
        <v>24</v>
      </c>
      <c r="N59" s="42" t="s">
        <v>25</v>
      </c>
      <c r="O59" s="42" t="s">
        <v>21</v>
      </c>
      <c r="P59" s="44"/>
    </row>
    <row r="60" spans="1:16" customFormat="1" ht="15" customHeight="1" x14ac:dyDescent="0.25">
      <c r="A60" t="str">
        <f t="shared" si="0"/>
        <v>ALR_CARBURANTE_ESAURITO-Allarme carburante esaurito</v>
      </c>
      <c r="B60" t="str">
        <f>VLOOKUP(A60,'EXPORT IRIS PROD 13-11-2024'!A:A,1,0)</f>
        <v>ALR_CARBURANTE_ESAURITO-Allarme carburante esaurito</v>
      </c>
      <c r="C60" t="str">
        <f>VLOOKUP(F60,'EXPORT IRIS PROD 13-11-2024'!F:F,1,0)</f>
        <v>ALR_CARBURANTE_ESAURITO</v>
      </c>
      <c r="D60" t="str">
        <f>VLOOKUP(G60,'EXPORT IRIS PROD 13-11-2024'!D:D,1,0)</f>
        <v>Allarme carburante esaurito</v>
      </c>
      <c r="E60" s="37" t="s">
        <v>35</v>
      </c>
      <c r="F60" s="38" t="s">
        <v>170</v>
      </c>
      <c r="G60" s="38" t="s">
        <v>171</v>
      </c>
      <c r="H60" s="39" t="s">
        <v>38</v>
      </c>
      <c r="I60" s="39" t="s">
        <v>172</v>
      </c>
      <c r="J60" s="40" t="s">
        <v>21</v>
      </c>
      <c r="K60" s="41" t="s">
        <v>22</v>
      </c>
      <c r="L60" s="42" t="s">
        <v>23</v>
      </c>
      <c r="M60" s="43" t="s">
        <v>157</v>
      </c>
      <c r="N60" s="42" t="s">
        <v>158</v>
      </c>
      <c r="O60" s="42" t="s">
        <v>21</v>
      </c>
      <c r="P60" s="44"/>
    </row>
    <row r="61" spans="1:16" customFormat="1" ht="15" customHeight="1" x14ac:dyDescent="0.25">
      <c r="A61" t="str">
        <f t="shared" si="0"/>
        <v>ALR_CASSETTO_ESTRATTO-Allarme cassetto comandi ventilatore estratto</v>
      </c>
      <c r="B61" t="str">
        <f>VLOOKUP(A61,'EXPORT IRIS PROD 13-11-2024'!A:A,1,0)</f>
        <v>ALR_CASSETTO_ESTRATTO-Allarme cassetto comandi ventilatore estratto</v>
      </c>
      <c r="C61" t="str">
        <f>VLOOKUP(F61,'EXPORT IRIS PROD 13-11-2024'!F:F,1,0)</f>
        <v>ALR_CASSETTO_ESTRATTO</v>
      </c>
      <c r="D61" t="str">
        <f>VLOOKUP(G61,'EXPORT IRIS PROD 13-11-2024'!D:D,1,0)</f>
        <v>Allarme cassetto comandi ventilatore estratto</v>
      </c>
      <c r="E61" s="37" t="s">
        <v>85</v>
      </c>
      <c r="F61" s="38" t="s">
        <v>173</v>
      </c>
      <c r="G61" s="38" t="s">
        <v>174</v>
      </c>
      <c r="H61" s="39" t="s">
        <v>50</v>
      </c>
      <c r="I61" s="39" t="s">
        <v>124</v>
      </c>
      <c r="J61" s="40" t="s">
        <v>21</v>
      </c>
      <c r="K61" s="41" t="s">
        <v>22</v>
      </c>
      <c r="L61" s="42" t="s">
        <v>23</v>
      </c>
      <c r="M61" s="43" t="s">
        <v>24</v>
      </c>
      <c r="N61" s="42" t="s">
        <v>25</v>
      </c>
      <c r="O61" s="42" t="s">
        <v>21</v>
      </c>
      <c r="P61" s="44"/>
    </row>
    <row r="62" spans="1:16" customFormat="1" ht="15" customHeight="1" x14ac:dyDescent="0.25">
      <c r="A62" t="str">
        <f t="shared" si="0"/>
        <v>ALR_CB1_APERTURA_FALLITA-Allarme CB1 apertura fallita</v>
      </c>
      <c r="B62" t="str">
        <f>VLOOKUP(A62,'EXPORT IRIS PROD 13-11-2024'!A:A,1,0)</f>
        <v>ALR_CB1_APERTURA_FALLITA-Allarme CB1 apertura fallita</v>
      </c>
      <c r="C62" t="str">
        <f>VLOOKUP(F62,'EXPORT IRIS PROD 13-11-2024'!F:F,1,0)</f>
        <v>ALR_CB1_APERTURA_FALLITA</v>
      </c>
      <c r="D62" t="str">
        <f>VLOOKUP(G62,'EXPORT IRIS PROD 13-11-2024'!D:D,1,0)</f>
        <v>Allarme CB1 apertura fallita</v>
      </c>
      <c r="E62" s="37" t="s">
        <v>53</v>
      </c>
      <c r="F62" s="38" t="s">
        <v>175</v>
      </c>
      <c r="G62" s="38" t="s">
        <v>176</v>
      </c>
      <c r="H62" s="39" t="s">
        <v>56</v>
      </c>
      <c r="I62" s="39" t="s">
        <v>177</v>
      </c>
      <c r="J62" s="40" t="s">
        <v>21</v>
      </c>
      <c r="K62" s="41" t="s">
        <v>22</v>
      </c>
      <c r="L62" s="42" t="s">
        <v>23</v>
      </c>
      <c r="M62" s="43" t="s">
        <v>24</v>
      </c>
      <c r="N62" s="42" t="s">
        <v>25</v>
      </c>
      <c r="O62" s="42" t="s">
        <v>21</v>
      </c>
      <c r="P62" s="44"/>
    </row>
    <row r="63" spans="1:16" customFormat="1" ht="15" customHeight="1" x14ac:dyDescent="0.25">
      <c r="A63" t="str">
        <f t="shared" si="0"/>
        <v>ALR_CB1_CHIUSURA_FALLITA-Allarme CB1 chiusura fallita</v>
      </c>
      <c r="B63" t="str">
        <f>VLOOKUP(A63,'EXPORT IRIS PROD 13-11-2024'!A:A,1,0)</f>
        <v>ALR_CB1_CHIUSURA_FALLITA-Allarme CB1 chiusura fallita</v>
      </c>
      <c r="C63" t="str">
        <f>VLOOKUP(F63,'EXPORT IRIS PROD 13-11-2024'!F:F,1,0)</f>
        <v>ALR_CB1_CHIUSURA_FALLITA</v>
      </c>
      <c r="D63" t="str">
        <f>VLOOKUP(G63,'EXPORT IRIS PROD 13-11-2024'!D:D,1,0)</f>
        <v>Allarme CB1 chiusura fallita</v>
      </c>
      <c r="E63" s="37" t="s">
        <v>53</v>
      </c>
      <c r="F63" s="38" t="s">
        <v>178</v>
      </c>
      <c r="G63" s="38" t="s">
        <v>179</v>
      </c>
      <c r="H63" s="39" t="s">
        <v>56</v>
      </c>
      <c r="I63" s="39" t="s">
        <v>177</v>
      </c>
      <c r="J63" s="40" t="s">
        <v>21</v>
      </c>
      <c r="K63" s="41" t="s">
        <v>22</v>
      </c>
      <c r="L63" s="42" t="s">
        <v>23</v>
      </c>
      <c r="M63" s="43" t="s">
        <v>24</v>
      </c>
      <c r="N63" s="42" t="s">
        <v>25</v>
      </c>
      <c r="O63" s="42" t="s">
        <v>21</v>
      </c>
      <c r="P63" s="44"/>
    </row>
    <row r="64" spans="1:16" customFormat="1" ht="15" customHeight="1" x14ac:dyDescent="0.25">
      <c r="A64" t="str">
        <f t="shared" si="0"/>
        <v>ALR_CB1_ESTRATTO-Allarme CB1 estratto</v>
      </c>
      <c r="B64" t="str">
        <f>VLOOKUP(A64,'EXPORT IRIS PROD 13-11-2024'!A:A,1,0)</f>
        <v>ALR_CB1_ESTRATTO-Allarme CB1 estratto</v>
      </c>
      <c r="C64" t="str">
        <f>VLOOKUP(F64,'EXPORT IRIS PROD 13-11-2024'!F:F,1,0)</f>
        <v>ALR_CB1_ESTRATTO</v>
      </c>
      <c r="D64" t="str">
        <f>VLOOKUP(G64,'EXPORT IRIS PROD 13-11-2024'!D:D,1,0)</f>
        <v>Allarme CB1 estratto</v>
      </c>
      <c r="E64" s="37" t="s">
        <v>53</v>
      </c>
      <c r="F64" s="38" t="s">
        <v>180</v>
      </c>
      <c r="G64" s="38" t="s">
        <v>181</v>
      </c>
      <c r="H64" s="39" t="s">
        <v>56</v>
      </c>
      <c r="I64" s="39" t="s">
        <v>177</v>
      </c>
      <c r="J64" s="40" t="s">
        <v>21</v>
      </c>
      <c r="K64" s="41" t="s">
        <v>22</v>
      </c>
      <c r="L64" s="42" t="s">
        <v>23</v>
      </c>
      <c r="M64" s="43" t="s">
        <v>24</v>
      </c>
      <c r="N64" s="42" t="s">
        <v>25</v>
      </c>
      <c r="O64" s="42" t="s">
        <v>21</v>
      </c>
      <c r="P64" s="44"/>
    </row>
    <row r="65" spans="1:16" customFormat="1" ht="15" customHeight="1" x14ac:dyDescent="0.25">
      <c r="A65" t="str">
        <f t="shared" si="0"/>
        <v>ALR_CB1_INTERVENUTO-Allarme CB1 interventuo</v>
      </c>
      <c r="B65" t="str">
        <f>VLOOKUP(A65,'EXPORT IRIS PROD 13-11-2024'!A:A,1,0)</f>
        <v>ALR_CB1_INTERVENUTO-Allarme CB1 interventuo</v>
      </c>
      <c r="C65" t="str">
        <f>VLOOKUP(F65,'EXPORT IRIS PROD 13-11-2024'!F:F,1,0)</f>
        <v>ALR_CB1_INTERVENUTO</v>
      </c>
      <c r="D65" t="str">
        <f>VLOOKUP(G65,'EXPORT IRIS PROD 13-11-2024'!D:D,1,0)</f>
        <v>Allarme CB1 interventuo</v>
      </c>
      <c r="E65" s="37" t="s">
        <v>53</v>
      </c>
      <c r="F65" s="38" t="s">
        <v>182</v>
      </c>
      <c r="G65" s="38" t="s">
        <v>183</v>
      </c>
      <c r="H65" s="39" t="s">
        <v>56</v>
      </c>
      <c r="I65" s="39" t="s">
        <v>177</v>
      </c>
      <c r="J65" s="40" t="s">
        <v>21</v>
      </c>
      <c r="K65" s="41" t="s">
        <v>22</v>
      </c>
      <c r="L65" s="42" t="s">
        <v>23</v>
      </c>
      <c r="M65" s="43" t="s">
        <v>24</v>
      </c>
      <c r="N65" s="42" t="s">
        <v>25</v>
      </c>
      <c r="O65" s="42" t="s">
        <v>21</v>
      </c>
      <c r="P65" s="44"/>
    </row>
    <row r="66" spans="1:16" customFormat="1" ht="15" customHeight="1" x14ac:dyDescent="0.25">
      <c r="A66" t="str">
        <f t="shared" si="0"/>
        <v>ALR_CB2_APERTURA_FALLITA-Allarme CB2 apertura fallita</v>
      </c>
      <c r="B66" t="str">
        <f>VLOOKUP(A66,'EXPORT IRIS PROD 13-11-2024'!A:A,1,0)</f>
        <v>ALR_CB2_APERTURA_FALLITA-Allarme CB2 apertura fallita</v>
      </c>
      <c r="C66" t="str">
        <f>VLOOKUP(F66,'EXPORT IRIS PROD 13-11-2024'!F:F,1,0)</f>
        <v>ALR_CB2_APERTURA_FALLITA</v>
      </c>
      <c r="D66" t="str">
        <f>VLOOKUP(G66,'EXPORT IRIS PROD 13-11-2024'!D:D,1,0)</f>
        <v>Allarme CB2 apertura fallita</v>
      </c>
      <c r="E66" s="37" t="s">
        <v>53</v>
      </c>
      <c r="F66" s="38" t="s">
        <v>184</v>
      </c>
      <c r="G66" s="38" t="s">
        <v>185</v>
      </c>
      <c r="H66" s="39" t="s">
        <v>56</v>
      </c>
      <c r="I66" s="39" t="s">
        <v>177</v>
      </c>
      <c r="J66" s="40" t="s">
        <v>21</v>
      </c>
      <c r="K66" s="41" t="s">
        <v>22</v>
      </c>
      <c r="L66" s="42" t="s">
        <v>23</v>
      </c>
      <c r="M66" s="43" t="s">
        <v>24</v>
      </c>
      <c r="N66" s="42" t="s">
        <v>25</v>
      </c>
      <c r="O66" s="42" t="s">
        <v>21</v>
      </c>
      <c r="P66" s="44"/>
    </row>
    <row r="67" spans="1:16" customFormat="1" ht="15" customHeight="1" x14ac:dyDescent="0.25">
      <c r="A67" t="str">
        <f t="shared" ref="A67:A130" si="1">CONCATENATE(F67,"-",G67)</f>
        <v>ALR_CB2_CHIUSURA_FALLITA-Allarme CB2 chiusura fallita</v>
      </c>
      <c r="B67" t="str">
        <f>VLOOKUP(A67,'EXPORT IRIS PROD 13-11-2024'!A:A,1,0)</f>
        <v>ALR_CB2_CHIUSURA_FALLITA-Allarme CB2 chiusura fallita</v>
      </c>
      <c r="C67" t="str">
        <f>VLOOKUP(F67,'EXPORT IRIS PROD 13-11-2024'!F:F,1,0)</f>
        <v>ALR_CB2_CHIUSURA_FALLITA</v>
      </c>
      <c r="D67" t="str">
        <f>VLOOKUP(G67,'EXPORT IRIS PROD 13-11-2024'!D:D,1,0)</f>
        <v>Allarme CB2 chiusura fallita</v>
      </c>
      <c r="E67" s="37" t="s">
        <v>53</v>
      </c>
      <c r="F67" s="38" t="s">
        <v>186</v>
      </c>
      <c r="G67" s="38" t="s">
        <v>187</v>
      </c>
      <c r="H67" s="39" t="s">
        <v>56</v>
      </c>
      <c r="I67" s="39" t="s">
        <v>177</v>
      </c>
      <c r="J67" s="40" t="s">
        <v>21</v>
      </c>
      <c r="K67" s="41" t="s">
        <v>22</v>
      </c>
      <c r="L67" s="42" t="s">
        <v>23</v>
      </c>
      <c r="M67" s="43" t="s">
        <v>24</v>
      </c>
      <c r="N67" s="42" t="s">
        <v>25</v>
      </c>
      <c r="O67" s="42" t="s">
        <v>21</v>
      </c>
      <c r="P67" s="44"/>
    </row>
    <row r="68" spans="1:16" customFormat="1" ht="15" customHeight="1" x14ac:dyDescent="0.25">
      <c r="A68" t="str">
        <f t="shared" si="1"/>
        <v>ALR_CB2_ESTRATTO-Allarme CB2 estratto</v>
      </c>
      <c r="B68" t="str">
        <f>VLOOKUP(A68,'EXPORT IRIS PROD 13-11-2024'!A:A,1,0)</f>
        <v>ALR_CB2_ESTRATTO-Allarme CB2 estratto</v>
      </c>
      <c r="C68" t="str">
        <f>VLOOKUP(F68,'EXPORT IRIS PROD 13-11-2024'!F:F,1,0)</f>
        <v>ALR_CB2_ESTRATTO</v>
      </c>
      <c r="D68" t="str">
        <f>VLOOKUP(G68,'EXPORT IRIS PROD 13-11-2024'!D:D,1,0)</f>
        <v>Allarme CB2 estratto</v>
      </c>
      <c r="E68" s="37" t="s">
        <v>53</v>
      </c>
      <c r="F68" s="38" t="s">
        <v>188</v>
      </c>
      <c r="G68" s="38" t="s">
        <v>189</v>
      </c>
      <c r="H68" s="39" t="s">
        <v>56</v>
      </c>
      <c r="I68" s="39" t="s">
        <v>177</v>
      </c>
      <c r="J68" s="40" t="s">
        <v>21</v>
      </c>
      <c r="K68" s="41" t="s">
        <v>22</v>
      </c>
      <c r="L68" s="42" t="s">
        <v>23</v>
      </c>
      <c r="M68" s="43" t="s">
        <v>24</v>
      </c>
      <c r="N68" s="42" t="s">
        <v>25</v>
      </c>
      <c r="O68" s="42" t="s">
        <v>21</v>
      </c>
      <c r="P68" s="44"/>
    </row>
    <row r="69" spans="1:16" customFormat="1" ht="15" customHeight="1" x14ac:dyDescent="0.25">
      <c r="A69" t="str">
        <f t="shared" si="1"/>
        <v>ALR_CB2_INTERVENUTO-Allarme CB2 intervenuto</v>
      </c>
      <c r="B69" t="str">
        <f>VLOOKUP(A69,'EXPORT IRIS PROD 13-11-2024'!A:A,1,0)</f>
        <v>ALR_CB2_INTERVENUTO-Allarme CB2 intervenuto</v>
      </c>
      <c r="C69" t="str">
        <f>VLOOKUP(F69,'EXPORT IRIS PROD 13-11-2024'!F:F,1,0)</f>
        <v>ALR_CB2_INTERVENUTO</v>
      </c>
      <c r="D69" t="str">
        <f>VLOOKUP(G69,'EXPORT IRIS PROD 13-11-2024'!D:D,1,0)</f>
        <v>Allarme CB2 intervenuto</v>
      </c>
      <c r="E69" s="37" t="s">
        <v>53</v>
      </c>
      <c r="F69" s="38" t="s">
        <v>190</v>
      </c>
      <c r="G69" s="38" t="s">
        <v>191</v>
      </c>
      <c r="H69" s="39" t="s">
        <v>56</v>
      </c>
      <c r="I69" s="39" t="s">
        <v>177</v>
      </c>
      <c r="J69" s="40" t="s">
        <v>21</v>
      </c>
      <c r="K69" s="41" t="s">
        <v>22</v>
      </c>
      <c r="L69" s="42" t="s">
        <v>23</v>
      </c>
      <c r="M69" s="43" t="s">
        <v>24</v>
      </c>
      <c r="N69" s="42" t="s">
        <v>25</v>
      </c>
      <c r="O69" s="42" t="s">
        <v>21</v>
      </c>
      <c r="P69" s="44"/>
    </row>
    <row r="70" spans="1:16" customFormat="1" ht="15" customHeight="1" x14ac:dyDescent="0.25">
      <c r="A70" t="str">
        <f t="shared" si="1"/>
        <v>ALR_CB3_APERTURA_FALLITA-Allarme CB3 apertura fallita</v>
      </c>
      <c r="B70" t="str">
        <f>VLOOKUP(A70,'EXPORT IRIS PROD 13-11-2024'!A:A,1,0)</f>
        <v>ALR_CB3_APERTURA_FALLITA-Allarme CB3 apertura fallita</v>
      </c>
      <c r="C70" t="str">
        <f>VLOOKUP(F70,'EXPORT IRIS PROD 13-11-2024'!F:F,1,0)</f>
        <v>ALR_CB3_APERTURA_FALLITA</v>
      </c>
      <c r="D70" t="str">
        <f>VLOOKUP(G70,'EXPORT IRIS PROD 13-11-2024'!D:D,1,0)</f>
        <v>Allarme CB3 apertura fallita</v>
      </c>
      <c r="E70" s="37" t="s">
        <v>53</v>
      </c>
      <c r="F70" s="38" t="s">
        <v>192</v>
      </c>
      <c r="G70" s="38" t="s">
        <v>193</v>
      </c>
      <c r="H70" s="39" t="s">
        <v>56</v>
      </c>
      <c r="I70" s="39" t="s">
        <v>177</v>
      </c>
      <c r="J70" s="40" t="s">
        <v>21</v>
      </c>
      <c r="K70" s="41" t="s">
        <v>22</v>
      </c>
      <c r="L70" s="42" t="s">
        <v>23</v>
      </c>
      <c r="M70" s="43" t="s">
        <v>24</v>
      </c>
      <c r="N70" s="42" t="s">
        <v>25</v>
      </c>
      <c r="O70" s="42" t="s">
        <v>21</v>
      </c>
      <c r="P70" s="44"/>
    </row>
    <row r="71" spans="1:16" customFormat="1" ht="15" customHeight="1" x14ac:dyDescent="0.25">
      <c r="A71" t="str">
        <f t="shared" si="1"/>
        <v>ALR_CB3_CHIUSURA_FALLITA-Allarme CB3 chiusura fallita</v>
      </c>
      <c r="B71" t="str">
        <f>VLOOKUP(A71,'EXPORT IRIS PROD 13-11-2024'!A:A,1,0)</f>
        <v>ALR_CB3_CHIUSURA_FALLITA-Allarme CB3 chiusura fallita</v>
      </c>
      <c r="C71" t="str">
        <f>VLOOKUP(F71,'EXPORT IRIS PROD 13-11-2024'!F:F,1,0)</f>
        <v>ALR_CB3_CHIUSURA_FALLITA</v>
      </c>
      <c r="D71" t="str">
        <f>VLOOKUP(G71,'EXPORT IRIS PROD 13-11-2024'!D:D,1,0)</f>
        <v>Allarme CB3 chiusura fallita</v>
      </c>
      <c r="E71" s="37" t="s">
        <v>53</v>
      </c>
      <c r="F71" s="38" t="s">
        <v>194</v>
      </c>
      <c r="G71" s="38" t="s">
        <v>195</v>
      </c>
      <c r="H71" s="39" t="s">
        <v>56</v>
      </c>
      <c r="I71" s="39" t="s">
        <v>177</v>
      </c>
      <c r="J71" s="40" t="s">
        <v>21</v>
      </c>
      <c r="K71" s="41" t="s">
        <v>22</v>
      </c>
      <c r="L71" s="42" t="s">
        <v>23</v>
      </c>
      <c r="M71" s="43" t="s">
        <v>24</v>
      </c>
      <c r="N71" s="42" t="s">
        <v>25</v>
      </c>
      <c r="O71" s="42" t="s">
        <v>21</v>
      </c>
      <c r="P71" s="44"/>
    </row>
    <row r="72" spans="1:16" x14ac:dyDescent="0.25">
      <c r="A72" t="str">
        <f t="shared" si="1"/>
        <v>ALR_CENTRALINA-Allarme centralina rilevazione incendio</v>
      </c>
      <c r="B72" t="str">
        <f>VLOOKUP(A72,'EXPORT IRIS PROD 13-11-2024'!A:A,1,0)</f>
        <v>ALR_CENTRALINA-Allarme centralina rilevazione incendio</v>
      </c>
      <c r="C72" t="str">
        <f>VLOOKUP(F72,'EXPORT IRIS PROD 13-11-2024'!F:F,1,0)</f>
        <v>ALR_CENTRALINA</v>
      </c>
      <c r="D72" t="str">
        <f>VLOOKUP(G72,'EXPORT IRIS PROD 13-11-2024'!D:D,1,0)</f>
        <v>Allarme centralina rilevazione incendio</v>
      </c>
      <c r="E72" s="37" t="s">
        <v>105</v>
      </c>
      <c r="F72" s="38" t="s">
        <v>196</v>
      </c>
      <c r="G72" s="45" t="s">
        <v>197</v>
      </c>
      <c r="H72" s="46" t="s">
        <v>43</v>
      </c>
      <c r="I72" s="46" t="s">
        <v>108</v>
      </c>
      <c r="J72" s="47" t="s">
        <v>31</v>
      </c>
      <c r="K72" s="48" t="s">
        <v>32</v>
      </c>
      <c r="L72" s="43">
        <v>2</v>
      </c>
      <c r="M72" s="43" t="s">
        <v>24</v>
      </c>
      <c r="N72" s="43" t="s">
        <v>25</v>
      </c>
      <c r="O72" s="42" t="s">
        <v>21</v>
      </c>
      <c r="P72" s="49"/>
    </row>
    <row r="73" spans="1:16" customFormat="1" ht="15" customHeight="1" x14ac:dyDescent="0.25">
      <c r="A73" t="str">
        <f t="shared" si="1"/>
        <v>ALR_CENTRALINA_NON_PRONTA-Allarme centralina non pronta</v>
      </c>
      <c r="B73" t="str">
        <f>VLOOKUP(A73,'EXPORT IRIS PROD 13-11-2024'!A:A,1,0)</f>
        <v>ALR_CENTRALINA_NON_PRONTA-Allarme centralina non pronta</v>
      </c>
      <c r="C73" t="str">
        <f>VLOOKUP(F73,'EXPORT IRIS PROD 13-11-2024'!F:F,1,0)</f>
        <v>ALR_CENTRALINA_NON_PRONTA</v>
      </c>
      <c r="D73" t="str">
        <f>VLOOKUP(G73,'EXPORT IRIS PROD 13-11-2024'!D:D,1,0)</f>
        <v>Allarme centralina non pronta</v>
      </c>
      <c r="E73" s="37" t="s">
        <v>198</v>
      </c>
      <c r="F73" s="38" t="s">
        <v>199</v>
      </c>
      <c r="G73" s="38" t="s">
        <v>200</v>
      </c>
      <c r="H73" s="39" t="s">
        <v>201</v>
      </c>
      <c r="I73" s="39" t="s">
        <v>202</v>
      </c>
      <c r="J73" s="40" t="s">
        <v>21</v>
      </c>
      <c r="K73" s="41" t="s">
        <v>22</v>
      </c>
      <c r="L73" s="42" t="s">
        <v>23</v>
      </c>
      <c r="M73" s="43" t="s">
        <v>24</v>
      </c>
      <c r="N73" s="42" t="s">
        <v>25</v>
      </c>
      <c r="O73" s="42" t="s">
        <v>21</v>
      </c>
      <c r="P73" s="44"/>
    </row>
    <row r="74" spans="1:16" ht="15" customHeight="1" x14ac:dyDescent="0.25">
      <c r="A74" t="str">
        <f t="shared" si="1"/>
        <v>ALR_CENTRALINA_SCAMBIO_RETE_GRUPPO-Allarme centralina scambio rete gruppo</v>
      </c>
      <c r="B74" t="str">
        <f>VLOOKUP(A74,'EXPORT IRIS PROD 13-11-2024'!A:A,1,0)</f>
        <v>ALR_CENTRALINA_SCAMBIO_RETE_GRUPPO-Allarme centralina scambio rete gruppo</v>
      </c>
      <c r="C74" t="str">
        <f>VLOOKUP(F74,'EXPORT IRIS PROD 13-11-2024'!F:F,1,0)</f>
        <v>ALR_CENTRALINA_SCAMBIO_RETE_GRUPPO</v>
      </c>
      <c r="D74" t="str">
        <f>VLOOKUP(G74,'EXPORT IRIS PROD 13-11-2024'!D:D,1,0)</f>
        <v>Allarme centralina scambio rete gruppo</v>
      </c>
      <c r="E74" s="37" t="s">
        <v>53</v>
      </c>
      <c r="F74" s="38" t="s">
        <v>203</v>
      </c>
      <c r="G74" s="45" t="s">
        <v>204</v>
      </c>
      <c r="H74" s="46" t="s">
        <v>56</v>
      </c>
      <c r="I74" s="46" t="s">
        <v>205</v>
      </c>
      <c r="J74" s="47" t="s">
        <v>31</v>
      </c>
      <c r="K74" s="48" t="s">
        <v>32</v>
      </c>
      <c r="L74" s="43">
        <v>2</v>
      </c>
      <c r="M74" s="43" t="s">
        <v>24</v>
      </c>
      <c r="N74" s="43" t="s">
        <v>25</v>
      </c>
      <c r="O74" s="42" t="s">
        <v>21</v>
      </c>
      <c r="P74" s="49"/>
    </row>
    <row r="75" spans="1:16" customFormat="1" ht="15" customHeight="1" x14ac:dyDescent="0.25">
      <c r="A75" t="str">
        <f t="shared" si="1"/>
        <v>ALR_CENTRALINA_TRAFO-Allarme centralina Trasformatore</v>
      </c>
      <c r="B75" t="str">
        <f>VLOOKUP(A75,'EXPORT IRIS PROD 13-11-2024'!A:A,1,0)</f>
        <v>ALR_CENTRALINA_TRAFO-Allarme centralina Trasformatore</v>
      </c>
      <c r="C75" t="str">
        <f>VLOOKUP(F75,'EXPORT IRIS PROD 13-11-2024'!F:F,1,0)</f>
        <v>ALR_CENTRALINA_TRAFO</v>
      </c>
      <c r="D75" t="str">
        <f>VLOOKUP(G75,'EXPORT IRIS PROD 13-11-2024'!D:D,1,0)</f>
        <v>Allarme centralina Trasformatore</v>
      </c>
      <c r="E75" s="37" t="s">
        <v>53</v>
      </c>
      <c r="F75" s="38" t="s">
        <v>206</v>
      </c>
      <c r="G75" s="38" t="s">
        <v>207</v>
      </c>
      <c r="H75" s="39" t="s">
        <v>56</v>
      </c>
      <c r="I75" s="39" t="s">
        <v>208</v>
      </c>
      <c r="J75" s="40" t="s">
        <v>21</v>
      </c>
      <c r="K75" s="41" t="s">
        <v>22</v>
      </c>
      <c r="L75" s="42" t="s">
        <v>23</v>
      </c>
      <c r="M75" s="43" t="s">
        <v>24</v>
      </c>
      <c r="N75" s="42" t="s">
        <v>25</v>
      </c>
      <c r="O75" s="42" t="s">
        <v>21</v>
      </c>
      <c r="P75" s="44"/>
    </row>
    <row r="76" spans="1:16" customFormat="1" ht="15" customHeight="1" x14ac:dyDescent="0.25">
      <c r="A76" t="str">
        <f t="shared" si="1"/>
        <v>ALR_CHIUSURA_IMMOTIVATA_GCB-Allarme chiusura immotivata contattore generatore</v>
      </c>
      <c r="B76" t="str">
        <f>VLOOKUP(A76,'EXPORT IRIS PROD 13-11-2024'!A:A,1,0)</f>
        <v>ALR_CHIUSURA_IMMOTIVATA_GCB-Allarme chiusura immotivata contattore generatore</v>
      </c>
      <c r="C76" t="str">
        <f>VLOOKUP(F76,'EXPORT IRIS PROD 13-11-2024'!F:F,1,0)</f>
        <v>ALR_CHIUSURA_IMMOTIVATA_GCB</v>
      </c>
      <c r="D76" t="str">
        <f>VLOOKUP(G76,'EXPORT IRIS PROD 13-11-2024'!D:D,1,0)</f>
        <v>Allarme chiusura immotivata contattore generatore</v>
      </c>
      <c r="E76" s="37" t="s">
        <v>53</v>
      </c>
      <c r="F76" s="38" t="s">
        <v>209</v>
      </c>
      <c r="G76" s="38" t="s">
        <v>210</v>
      </c>
      <c r="H76" s="39" t="s">
        <v>56</v>
      </c>
      <c r="I76" s="39" t="s">
        <v>57</v>
      </c>
      <c r="J76" s="40" t="s">
        <v>21</v>
      </c>
      <c r="K76" s="41" t="s">
        <v>22</v>
      </c>
      <c r="L76" s="42" t="s">
        <v>23</v>
      </c>
      <c r="M76" s="43" t="s">
        <v>24</v>
      </c>
      <c r="N76" s="42" t="s">
        <v>25</v>
      </c>
      <c r="O76" s="42" t="s">
        <v>21</v>
      </c>
      <c r="P76" s="44"/>
    </row>
    <row r="77" spans="1:16" customFormat="1" ht="15" customHeight="1" x14ac:dyDescent="0.25">
      <c r="A77" t="str">
        <f t="shared" si="1"/>
        <v>ALR_CHIUSURA_IMMOTIVATA_MCB-Allarme chiusura immotivata contattore di rete</v>
      </c>
      <c r="B77" t="str">
        <f>VLOOKUP(A77,'EXPORT IRIS PROD 13-11-2024'!A:A,1,0)</f>
        <v>ALR_CHIUSURA_IMMOTIVATA_MCB-Allarme chiusura immotivata contattore di rete</v>
      </c>
      <c r="C77" t="str">
        <f>VLOOKUP(F77,'EXPORT IRIS PROD 13-11-2024'!F:F,1,0)</f>
        <v>ALR_CHIUSURA_IMMOTIVATA_MCB</v>
      </c>
      <c r="D77" t="str">
        <f>VLOOKUP(G77,'EXPORT IRIS PROD 13-11-2024'!D:D,1,0)</f>
        <v>Allarme chiusura immotivata contattore di rete</v>
      </c>
      <c r="E77" s="37" t="s">
        <v>53</v>
      </c>
      <c r="F77" s="38" t="s">
        <v>211</v>
      </c>
      <c r="G77" s="38" t="s">
        <v>212</v>
      </c>
      <c r="H77" s="39" t="s">
        <v>56</v>
      </c>
      <c r="I77" s="39" t="s">
        <v>57</v>
      </c>
      <c r="J77" s="40" t="s">
        <v>21</v>
      </c>
      <c r="K77" s="41" t="s">
        <v>22</v>
      </c>
      <c r="L77" s="42" t="s">
        <v>23</v>
      </c>
      <c r="M77" s="43" t="s">
        <v>24</v>
      </c>
      <c r="N77" s="42" t="s">
        <v>25</v>
      </c>
      <c r="O77" s="42" t="s">
        <v>21</v>
      </c>
      <c r="P77" s="44"/>
    </row>
    <row r="78" spans="1:16" customFormat="1" ht="15" customHeight="1" x14ac:dyDescent="0.25">
      <c r="A78" t="str">
        <f t="shared" si="1"/>
        <v>ALR_CO_DIR_NORD_CASO_A-Allarme CO caso A dir. nord</v>
      </c>
      <c r="B78" t="str">
        <f>VLOOKUP(A78,'EXPORT IRIS PROD 13-11-2024'!A:A,1,0)</f>
        <v>ALR_CO_DIR_NORD_CASO_A-Allarme CO caso A dir. nord</v>
      </c>
      <c r="C78" t="str">
        <f>VLOOKUP(F78,'EXPORT IRIS PROD 13-11-2024'!F:F,1,0)</f>
        <v>ALR_CO_DIR_NORD_CASO_A</v>
      </c>
      <c r="D78" t="str">
        <f>VLOOKUP(G78,'EXPORT IRIS PROD 13-11-2024'!D:D,1,0)</f>
        <v>Allarme CO caso A dir. nord</v>
      </c>
      <c r="E78" s="37" t="s">
        <v>213</v>
      </c>
      <c r="F78" s="38" t="s">
        <v>214</v>
      </c>
      <c r="G78" s="38" t="s">
        <v>215</v>
      </c>
      <c r="H78" s="39" t="s">
        <v>50</v>
      </c>
      <c r="I78" s="39" t="s">
        <v>51</v>
      </c>
      <c r="J78" s="40" t="s">
        <v>31</v>
      </c>
      <c r="K78" s="48" t="s">
        <v>32</v>
      </c>
      <c r="L78" s="42">
        <v>3</v>
      </c>
      <c r="M78" s="43" t="s">
        <v>24</v>
      </c>
      <c r="N78" s="43" t="s">
        <v>25</v>
      </c>
      <c r="O78" s="42" t="s">
        <v>21</v>
      </c>
      <c r="P78" s="44"/>
    </row>
    <row r="79" spans="1:16" customFormat="1" ht="15" customHeight="1" x14ac:dyDescent="0.25">
      <c r="A79" t="str">
        <f t="shared" si="1"/>
        <v>ALR_CO_DIR_NORD_CASO_B-Allarme CO caso B dir. nord</v>
      </c>
      <c r="B79" t="str">
        <f>VLOOKUP(A79,'EXPORT IRIS PROD 13-11-2024'!A:A,1,0)</f>
        <v>ALR_CO_DIR_NORD_CASO_B-Allarme CO caso B dir. nord</v>
      </c>
      <c r="C79" t="str">
        <f>VLOOKUP(F79,'EXPORT IRIS PROD 13-11-2024'!F:F,1,0)</f>
        <v>ALR_CO_DIR_NORD_CASO_B</v>
      </c>
      <c r="D79" t="str">
        <f>VLOOKUP(G79,'EXPORT IRIS PROD 13-11-2024'!D:D,1,0)</f>
        <v>Allarme CO caso B dir. nord</v>
      </c>
      <c r="E79" s="37" t="s">
        <v>213</v>
      </c>
      <c r="F79" s="38" t="s">
        <v>216</v>
      </c>
      <c r="G79" s="38" t="s">
        <v>217</v>
      </c>
      <c r="H79" s="39" t="s">
        <v>50</v>
      </c>
      <c r="I79" s="39" t="s">
        <v>51</v>
      </c>
      <c r="J79" s="40" t="s">
        <v>31</v>
      </c>
      <c r="K79" s="48" t="s">
        <v>32</v>
      </c>
      <c r="L79" s="42">
        <v>3</v>
      </c>
      <c r="M79" s="43" t="s">
        <v>157</v>
      </c>
      <c r="N79" s="43" t="s">
        <v>158</v>
      </c>
      <c r="O79" s="42" t="s">
        <v>21</v>
      </c>
      <c r="P79" s="44"/>
    </row>
    <row r="80" spans="1:16" customFormat="1" ht="15" customHeight="1" x14ac:dyDescent="0.25">
      <c r="A80" t="str">
        <f t="shared" si="1"/>
        <v>ALR_CO_DIR_NORD_CASO_C-Allarme CO caso C dir. nord</v>
      </c>
      <c r="B80" t="str">
        <f>VLOOKUP(A80,'EXPORT IRIS PROD 13-11-2024'!A:A,1,0)</f>
        <v>ALR_CO_DIR_NORD_CASO_C-Allarme CO caso C dir. nord</v>
      </c>
      <c r="C80" t="str">
        <f>VLOOKUP(F80,'EXPORT IRIS PROD 13-11-2024'!F:F,1,0)</f>
        <v>ALR_CO_DIR_NORD_CASO_C</v>
      </c>
      <c r="D80" t="str">
        <f>VLOOKUP(G80,'EXPORT IRIS PROD 13-11-2024'!D:D,1,0)</f>
        <v>Allarme CO caso C dir. nord</v>
      </c>
      <c r="E80" s="37" t="s">
        <v>213</v>
      </c>
      <c r="F80" s="38" t="s">
        <v>218</v>
      </c>
      <c r="G80" s="38" t="s">
        <v>219</v>
      </c>
      <c r="H80" s="39" t="s">
        <v>50</v>
      </c>
      <c r="I80" s="39" t="s">
        <v>51</v>
      </c>
      <c r="J80" s="40" t="s">
        <v>31</v>
      </c>
      <c r="K80" s="48" t="s">
        <v>32</v>
      </c>
      <c r="L80" s="43">
        <v>2</v>
      </c>
      <c r="M80" s="43" t="s">
        <v>45</v>
      </c>
      <c r="N80" s="43" t="s">
        <v>46</v>
      </c>
      <c r="O80" s="43" t="s">
        <v>31</v>
      </c>
      <c r="P80" s="49"/>
    </row>
    <row r="81" spans="1:16" customFormat="1" ht="15" customHeight="1" x14ac:dyDescent="0.25">
      <c r="A81" t="str">
        <f t="shared" si="1"/>
        <v>ALR_CO_DIR_SUD_CASO_A-Allarme CO caso A dir. sud</v>
      </c>
      <c r="B81" t="str">
        <f>VLOOKUP(A81,'EXPORT IRIS PROD 13-11-2024'!A:A,1,0)</f>
        <v>ALR_CO_DIR_SUD_CASO_A-Allarme CO caso A dir. sud</v>
      </c>
      <c r="C81" t="str">
        <f>VLOOKUP(F81,'EXPORT IRIS PROD 13-11-2024'!F:F,1,0)</f>
        <v>ALR_CO_DIR_SUD_CASO_A</v>
      </c>
      <c r="D81" t="str">
        <f>VLOOKUP(G81,'EXPORT IRIS PROD 13-11-2024'!D:D,1,0)</f>
        <v>Allarme CO caso A dir. sud</v>
      </c>
      <c r="E81" s="37" t="s">
        <v>213</v>
      </c>
      <c r="F81" s="38" t="s">
        <v>220</v>
      </c>
      <c r="G81" s="38" t="s">
        <v>221</v>
      </c>
      <c r="H81" s="39" t="s">
        <v>50</v>
      </c>
      <c r="I81" s="39" t="s">
        <v>51</v>
      </c>
      <c r="J81" s="40" t="s">
        <v>31</v>
      </c>
      <c r="K81" s="48" t="s">
        <v>32</v>
      </c>
      <c r="L81" s="42">
        <v>3</v>
      </c>
      <c r="M81" s="43" t="s">
        <v>24</v>
      </c>
      <c r="N81" s="43" t="s">
        <v>25</v>
      </c>
      <c r="O81" s="42" t="s">
        <v>21</v>
      </c>
      <c r="P81" s="44"/>
    </row>
    <row r="82" spans="1:16" customFormat="1" ht="15" customHeight="1" x14ac:dyDescent="0.25">
      <c r="A82" t="str">
        <f t="shared" si="1"/>
        <v>ALR_CO_DIR_SUD_CASO_B-Allarme CO caso B dir. sud</v>
      </c>
      <c r="B82" t="str">
        <f>VLOOKUP(A82,'EXPORT IRIS PROD 13-11-2024'!A:A,1,0)</f>
        <v>ALR_CO_DIR_SUD_CASO_B-Allarme CO caso B dir. sud</v>
      </c>
      <c r="C82" t="str">
        <f>VLOOKUP(F82,'EXPORT IRIS PROD 13-11-2024'!F:F,1,0)</f>
        <v>ALR_CO_DIR_SUD_CASO_B</v>
      </c>
      <c r="D82" t="str">
        <f>VLOOKUP(G82,'EXPORT IRIS PROD 13-11-2024'!D:D,1,0)</f>
        <v>Allarme CO caso B dir. sud</v>
      </c>
      <c r="E82" s="37" t="s">
        <v>213</v>
      </c>
      <c r="F82" s="38" t="s">
        <v>222</v>
      </c>
      <c r="G82" s="38" t="s">
        <v>223</v>
      </c>
      <c r="H82" s="39" t="s">
        <v>50</v>
      </c>
      <c r="I82" s="39" t="s">
        <v>51</v>
      </c>
      <c r="J82" s="40" t="s">
        <v>31</v>
      </c>
      <c r="K82" s="48" t="s">
        <v>32</v>
      </c>
      <c r="L82" s="42">
        <v>3</v>
      </c>
      <c r="M82" s="43" t="s">
        <v>157</v>
      </c>
      <c r="N82" s="43" t="s">
        <v>158</v>
      </c>
      <c r="O82" s="42" t="s">
        <v>21</v>
      </c>
      <c r="P82" s="44"/>
    </row>
    <row r="83" spans="1:16" customFormat="1" ht="15" customHeight="1" x14ac:dyDescent="0.25">
      <c r="A83" t="str">
        <f t="shared" si="1"/>
        <v>ALR_CO_DIR_SUD_CASO_C-Allarme CO caso C dir. sud</v>
      </c>
      <c r="B83" t="str">
        <f>VLOOKUP(A83,'EXPORT IRIS PROD 13-11-2024'!A:A,1,0)</f>
        <v>ALR_CO_DIR_SUD_CASO_C-Allarme CO caso C dir. sud</v>
      </c>
      <c r="C83" t="str">
        <f>VLOOKUP(F83,'EXPORT IRIS PROD 13-11-2024'!F:F,1,0)</f>
        <v>ALR_CO_DIR_SUD_CASO_C</v>
      </c>
      <c r="D83" t="str">
        <f>VLOOKUP(G83,'EXPORT IRIS PROD 13-11-2024'!D:D,1,0)</f>
        <v>Allarme CO caso C dir. sud</v>
      </c>
      <c r="E83" s="37" t="s">
        <v>213</v>
      </c>
      <c r="F83" s="38" t="s">
        <v>224</v>
      </c>
      <c r="G83" s="38" t="s">
        <v>225</v>
      </c>
      <c r="H83" s="39" t="s">
        <v>50</v>
      </c>
      <c r="I83" s="39" t="s">
        <v>51</v>
      </c>
      <c r="J83" s="40" t="s">
        <v>31</v>
      </c>
      <c r="K83" s="48" t="s">
        <v>32</v>
      </c>
      <c r="L83" s="43">
        <v>2</v>
      </c>
      <c r="M83" s="43" t="s">
        <v>45</v>
      </c>
      <c r="N83" s="43" t="s">
        <v>46</v>
      </c>
      <c r="O83" s="43" t="s">
        <v>31</v>
      </c>
      <c r="P83" s="49"/>
    </row>
    <row r="84" spans="1:16" customFormat="1" ht="15" customHeight="1" x14ac:dyDescent="0.25">
      <c r="A84" t="str">
        <f t="shared" si="1"/>
        <v>ALR_CO_OP_DIR_NORD_CASO_A-Allarme CO-OP caso A dir. nord</v>
      </c>
      <c r="B84" t="str">
        <f>VLOOKUP(A84,'EXPORT IRIS PROD 13-11-2024'!A:A,1,0)</f>
        <v>ALR_CO_OP_DIR_NORD_CASO_A-Allarme CO-OP caso A dir. nord</v>
      </c>
      <c r="C84" t="str">
        <f>VLOOKUP(F84,'EXPORT IRIS PROD 13-11-2024'!F:F,1,0)</f>
        <v>ALR_CO_OP_DIR_NORD_CASO_A</v>
      </c>
      <c r="D84" t="str">
        <f>VLOOKUP(G84,'EXPORT IRIS PROD 13-11-2024'!D:D,1,0)</f>
        <v>Allarme CO-OP caso A dir. nord</v>
      </c>
      <c r="E84" s="37" t="s">
        <v>213</v>
      </c>
      <c r="F84" s="38" t="s">
        <v>226</v>
      </c>
      <c r="G84" s="38" t="s">
        <v>227</v>
      </c>
      <c r="H84" s="39" t="s">
        <v>50</v>
      </c>
      <c r="I84" s="39" t="s">
        <v>228</v>
      </c>
      <c r="J84" s="40" t="s">
        <v>31</v>
      </c>
      <c r="K84" s="48" t="s">
        <v>32</v>
      </c>
      <c r="L84" s="42">
        <v>3</v>
      </c>
      <c r="M84" s="43" t="s">
        <v>24</v>
      </c>
      <c r="N84" s="43" t="s">
        <v>25</v>
      </c>
      <c r="O84" s="42" t="s">
        <v>21</v>
      </c>
      <c r="P84" s="44"/>
    </row>
    <row r="85" spans="1:16" customFormat="1" ht="15" customHeight="1" x14ac:dyDescent="0.25">
      <c r="A85" t="str">
        <f t="shared" si="1"/>
        <v>ALR_CO_OP_DIR_NORD_CASO_B-Allarme CO-OP caso B dir. nord</v>
      </c>
      <c r="B85" t="str">
        <f>VLOOKUP(A85,'EXPORT IRIS PROD 13-11-2024'!A:A,1,0)</f>
        <v>ALR_CO_OP_DIR_NORD_CASO_B-Allarme CO-OP caso B dir. nord</v>
      </c>
      <c r="C85" t="str">
        <f>VLOOKUP(F85,'EXPORT IRIS PROD 13-11-2024'!F:F,1,0)</f>
        <v>ALR_CO_OP_DIR_NORD_CASO_B</v>
      </c>
      <c r="D85" t="str">
        <f>VLOOKUP(G85,'EXPORT IRIS PROD 13-11-2024'!D:D,1,0)</f>
        <v>Allarme CO-OP caso B dir. nord</v>
      </c>
      <c r="E85" s="37" t="s">
        <v>213</v>
      </c>
      <c r="F85" s="38" t="s">
        <v>229</v>
      </c>
      <c r="G85" s="38" t="s">
        <v>230</v>
      </c>
      <c r="H85" s="39" t="s">
        <v>50</v>
      </c>
      <c r="I85" s="39" t="s">
        <v>228</v>
      </c>
      <c r="J85" s="40" t="s">
        <v>31</v>
      </c>
      <c r="K85" s="48" t="s">
        <v>32</v>
      </c>
      <c r="L85" s="42">
        <v>3</v>
      </c>
      <c r="M85" s="43" t="s">
        <v>157</v>
      </c>
      <c r="N85" s="43" t="s">
        <v>158</v>
      </c>
      <c r="O85" s="42" t="s">
        <v>21</v>
      </c>
      <c r="P85" s="44"/>
    </row>
    <row r="86" spans="1:16" customFormat="1" ht="15" customHeight="1" x14ac:dyDescent="0.25">
      <c r="A86" t="str">
        <f t="shared" si="1"/>
        <v>ALR_CO_OP_DIR_NORD_CASO_C-Allarme CO-OP caso C dir. nord</v>
      </c>
      <c r="B86" t="str">
        <f>VLOOKUP(A86,'EXPORT IRIS PROD 13-11-2024'!A:A,1,0)</f>
        <v>ALR_CO_OP_DIR_NORD_CASO_C-Allarme CO-OP caso C dir. nord</v>
      </c>
      <c r="C86" t="str">
        <f>VLOOKUP(F86,'EXPORT IRIS PROD 13-11-2024'!F:F,1,0)</f>
        <v>ALR_CO_OP_DIR_NORD_CASO_C</v>
      </c>
      <c r="D86" t="str">
        <f>VLOOKUP(G86,'EXPORT IRIS PROD 13-11-2024'!D:D,1,0)</f>
        <v>Allarme CO-OP caso C dir. nord</v>
      </c>
      <c r="E86" s="37" t="s">
        <v>213</v>
      </c>
      <c r="F86" s="38" t="s">
        <v>231</v>
      </c>
      <c r="G86" s="38" t="s">
        <v>232</v>
      </c>
      <c r="H86" s="39" t="s">
        <v>50</v>
      </c>
      <c r="I86" s="39" t="s">
        <v>228</v>
      </c>
      <c r="J86" s="40" t="s">
        <v>31</v>
      </c>
      <c r="K86" s="48" t="s">
        <v>32</v>
      </c>
      <c r="L86" s="43">
        <v>2</v>
      </c>
      <c r="M86" s="43" t="s">
        <v>45</v>
      </c>
      <c r="N86" s="43" t="s">
        <v>46</v>
      </c>
      <c r="O86" s="43" t="s">
        <v>31</v>
      </c>
      <c r="P86" s="49"/>
    </row>
    <row r="87" spans="1:16" customFormat="1" ht="15" customHeight="1" x14ac:dyDescent="0.25">
      <c r="A87" t="str">
        <f t="shared" si="1"/>
        <v>ALR_CO_OP_DIR_SUD_CASO_A-Allarme CO-OP caso A dir. sud</v>
      </c>
      <c r="B87" t="str">
        <f>VLOOKUP(A87,'EXPORT IRIS PROD 13-11-2024'!A:A,1,0)</f>
        <v>ALR_CO_OP_DIR_SUD_CASO_A-Allarme CO-OP caso A dir. sud</v>
      </c>
      <c r="C87" t="str">
        <f>VLOOKUP(F87,'EXPORT IRIS PROD 13-11-2024'!F:F,1,0)</f>
        <v>ALR_CO_OP_DIR_SUD_CASO_A</v>
      </c>
      <c r="D87" t="str">
        <f>VLOOKUP(G87,'EXPORT IRIS PROD 13-11-2024'!D:D,1,0)</f>
        <v>Allarme CO-OP caso A dir. sud</v>
      </c>
      <c r="E87" s="37" t="s">
        <v>213</v>
      </c>
      <c r="F87" s="38" t="s">
        <v>233</v>
      </c>
      <c r="G87" s="38" t="s">
        <v>234</v>
      </c>
      <c r="H87" s="39" t="s">
        <v>50</v>
      </c>
      <c r="I87" s="39" t="s">
        <v>228</v>
      </c>
      <c r="J87" s="40" t="s">
        <v>31</v>
      </c>
      <c r="K87" s="48" t="s">
        <v>32</v>
      </c>
      <c r="L87" s="42">
        <v>3</v>
      </c>
      <c r="M87" s="43" t="s">
        <v>24</v>
      </c>
      <c r="N87" s="43" t="s">
        <v>25</v>
      </c>
      <c r="O87" s="42" t="s">
        <v>21</v>
      </c>
      <c r="P87" s="44"/>
    </row>
    <row r="88" spans="1:16" customFormat="1" ht="15" customHeight="1" x14ac:dyDescent="0.25">
      <c r="A88" t="str">
        <f t="shared" si="1"/>
        <v>ALR_CO_OP_DIR_SUD_CASO_B-Allarme CO-OP caso B dir. sud</v>
      </c>
      <c r="B88" t="str">
        <f>VLOOKUP(A88,'EXPORT IRIS PROD 13-11-2024'!A:A,1,0)</f>
        <v>ALR_CO_OP_DIR_SUD_CASO_B-Allarme CO-OP caso B dir. sud</v>
      </c>
      <c r="C88" t="str">
        <f>VLOOKUP(F88,'EXPORT IRIS PROD 13-11-2024'!F:F,1,0)</f>
        <v>ALR_CO_OP_DIR_SUD_CASO_B</v>
      </c>
      <c r="D88" t="str">
        <f>VLOOKUP(G88,'EXPORT IRIS PROD 13-11-2024'!D:D,1,0)</f>
        <v>Allarme CO-OP caso B dir. sud</v>
      </c>
      <c r="E88" s="37" t="s">
        <v>213</v>
      </c>
      <c r="F88" s="38" t="s">
        <v>235</v>
      </c>
      <c r="G88" s="38" t="s">
        <v>236</v>
      </c>
      <c r="H88" s="39" t="s">
        <v>50</v>
      </c>
      <c r="I88" s="39" t="s">
        <v>228</v>
      </c>
      <c r="J88" s="40" t="s">
        <v>31</v>
      </c>
      <c r="K88" s="48" t="s">
        <v>32</v>
      </c>
      <c r="L88" s="42">
        <v>3</v>
      </c>
      <c r="M88" s="43" t="s">
        <v>157</v>
      </c>
      <c r="N88" s="43" t="s">
        <v>158</v>
      </c>
      <c r="O88" s="42" t="s">
        <v>21</v>
      </c>
      <c r="P88" s="44"/>
    </row>
    <row r="89" spans="1:16" customFormat="1" ht="15" customHeight="1" x14ac:dyDescent="0.25">
      <c r="A89" t="str">
        <f t="shared" si="1"/>
        <v>ALR_CO_OP_DIR_SUD_CASO_C-Allarme CO-OP caso C dir. sud</v>
      </c>
      <c r="B89" t="str">
        <f>VLOOKUP(A89,'EXPORT IRIS PROD 13-11-2024'!A:A,1,0)</f>
        <v>ALR_CO_OP_DIR_SUD_CASO_C-Allarme CO-OP caso C dir. sud</v>
      </c>
      <c r="C89" t="str">
        <f>VLOOKUP(F89,'EXPORT IRIS PROD 13-11-2024'!F:F,1,0)</f>
        <v>ALR_CO_OP_DIR_SUD_CASO_C</v>
      </c>
      <c r="D89" t="str">
        <f>VLOOKUP(G89,'EXPORT IRIS PROD 13-11-2024'!D:D,1,0)</f>
        <v>Allarme CO-OP caso C dir. sud</v>
      </c>
      <c r="E89" s="37" t="s">
        <v>213</v>
      </c>
      <c r="F89" s="38" t="s">
        <v>237</v>
      </c>
      <c r="G89" s="38" t="s">
        <v>238</v>
      </c>
      <c r="H89" s="39" t="s">
        <v>50</v>
      </c>
      <c r="I89" s="39" t="s">
        <v>228</v>
      </c>
      <c r="J89" s="40" t="s">
        <v>31</v>
      </c>
      <c r="K89" s="48" t="s">
        <v>32</v>
      </c>
      <c r="L89" s="43">
        <v>2</v>
      </c>
      <c r="M89" s="43" t="s">
        <v>45</v>
      </c>
      <c r="N89" s="43" t="s">
        <v>46</v>
      </c>
      <c r="O89" s="43" t="s">
        <v>31</v>
      </c>
      <c r="P89" s="49"/>
    </row>
    <row r="90" spans="1:16" customFormat="1" ht="15" customHeight="1" x14ac:dyDescent="0.25">
      <c r="A90" t="str">
        <f t="shared" si="1"/>
        <v>ALR_COMMUTAZIONE_400V-Allarme commutazione 400V</v>
      </c>
      <c r="B90" t="str">
        <f>VLOOKUP(A90,'EXPORT IRIS PROD 13-11-2024'!A:A,1,0)</f>
        <v>ALR_COMMUTAZIONE_400V-Allarme commutazione 400V</v>
      </c>
      <c r="C90" t="str">
        <f>VLOOKUP(F90,'EXPORT IRIS PROD 13-11-2024'!F:F,1,0)</f>
        <v>ALR_COMMUTAZIONE_400V</v>
      </c>
      <c r="D90" t="str">
        <f>VLOOKUP(G90,'EXPORT IRIS PROD 13-11-2024'!D:D,1,0)</f>
        <v>Allarme commutazione 400V</v>
      </c>
      <c r="E90" s="37" t="s">
        <v>53</v>
      </c>
      <c r="F90" s="38" t="s">
        <v>239</v>
      </c>
      <c r="G90" s="38" t="s">
        <v>240</v>
      </c>
      <c r="H90" s="39" t="s">
        <v>56</v>
      </c>
      <c r="I90" s="39" t="s">
        <v>114</v>
      </c>
      <c r="J90" s="40" t="s">
        <v>21</v>
      </c>
      <c r="K90" s="41" t="s">
        <v>22</v>
      </c>
      <c r="L90" s="42" t="s">
        <v>23</v>
      </c>
      <c r="M90" s="43" t="s">
        <v>24</v>
      </c>
      <c r="N90" s="42" t="s">
        <v>25</v>
      </c>
      <c r="O90" s="42" t="s">
        <v>21</v>
      </c>
      <c r="P90" s="44"/>
    </row>
    <row r="91" spans="1:16" customFormat="1" ht="15" customHeight="1" x14ac:dyDescent="0.25">
      <c r="A91" t="str">
        <f t="shared" si="1"/>
        <v>ALR_COMMUTAZIONE_690V-Allarme commutazione 690V</v>
      </c>
      <c r="B91" t="str">
        <f>VLOOKUP(A91,'EXPORT IRIS PROD 13-11-2024'!A:A,1,0)</f>
        <v>ALR_COMMUTAZIONE_690V-Allarme commutazione 690V</v>
      </c>
      <c r="C91" t="str">
        <f>VLOOKUP(F91,'EXPORT IRIS PROD 13-11-2024'!F:F,1,0)</f>
        <v>ALR_COMMUTAZIONE_690V</v>
      </c>
      <c r="D91" t="str">
        <f>VLOOKUP(G91,'EXPORT IRIS PROD 13-11-2024'!D:D,1,0)</f>
        <v>Allarme commutazione 690V</v>
      </c>
      <c r="E91" s="37" t="s">
        <v>53</v>
      </c>
      <c r="F91" s="38" t="s">
        <v>241</v>
      </c>
      <c r="G91" s="38" t="s">
        <v>242</v>
      </c>
      <c r="H91" s="39" t="s">
        <v>56</v>
      </c>
      <c r="I91" s="39" t="s">
        <v>114</v>
      </c>
      <c r="J91" s="40" t="s">
        <v>21</v>
      </c>
      <c r="K91" s="41" t="s">
        <v>22</v>
      </c>
      <c r="L91" s="42" t="s">
        <v>23</v>
      </c>
      <c r="M91" s="43" t="s">
        <v>24</v>
      </c>
      <c r="N91" s="42" t="s">
        <v>25</v>
      </c>
      <c r="O91" s="42" t="s">
        <v>21</v>
      </c>
      <c r="P91" s="44"/>
    </row>
    <row r="92" spans="1:16" customFormat="1" ht="15" customHeight="1" x14ac:dyDescent="0.25">
      <c r="A92" t="str">
        <f t="shared" si="1"/>
        <v>ALR_COMMUTAZIONE_ILL-Allarme commutazione illuminazione</v>
      </c>
      <c r="B92" t="str">
        <f>VLOOKUP(A92,'EXPORT IRIS PROD 13-11-2024'!A:A,1,0)</f>
        <v>ALR_COMMUTAZIONE_ILL-Allarme commutazione illuminazione</v>
      </c>
      <c r="C92" t="str">
        <f>VLOOKUP(F92,'EXPORT IRIS PROD 13-11-2024'!F:F,1,0)</f>
        <v>ALR_COMMUTAZIONE_ILL</v>
      </c>
      <c r="D92" t="str">
        <f>VLOOKUP(G92,'EXPORT IRIS PROD 13-11-2024'!D:D,1,0)</f>
        <v>Allarme commutazione illuminazione</v>
      </c>
      <c r="E92" s="37" t="s">
        <v>53</v>
      </c>
      <c r="F92" s="38" t="s">
        <v>243</v>
      </c>
      <c r="G92" s="38" t="s">
        <v>244</v>
      </c>
      <c r="H92" s="39" t="s">
        <v>56</v>
      </c>
      <c r="I92" s="39" t="s">
        <v>114</v>
      </c>
      <c r="J92" s="40" t="s">
        <v>21</v>
      </c>
      <c r="K92" s="41" t="s">
        <v>22</v>
      </c>
      <c r="L92" s="42" t="s">
        <v>23</v>
      </c>
      <c r="M92" s="43" t="s">
        <v>24</v>
      </c>
      <c r="N92" s="42" t="s">
        <v>25</v>
      </c>
      <c r="O92" s="42" t="s">
        <v>21</v>
      </c>
      <c r="P92" s="44"/>
    </row>
    <row r="93" spans="1:16" customFormat="1" ht="15" customHeight="1" x14ac:dyDescent="0.25">
      <c r="A93" t="str">
        <f t="shared" si="1"/>
        <v>ALR_COMMUTAZIONE_RETE-Allarme commutazione rete</v>
      </c>
      <c r="B93" t="str">
        <f>VLOOKUP(A93,'EXPORT IRIS PROD 13-11-2024'!A:A,1,0)</f>
        <v>ALR_COMMUTAZIONE_RETE-Allarme commutazione rete</v>
      </c>
      <c r="C93" t="str">
        <f>VLOOKUP(F93,'EXPORT IRIS PROD 13-11-2024'!F:F,1,0)</f>
        <v>ALR_COMMUTAZIONE_RETE</v>
      </c>
      <c r="D93" t="str">
        <f>VLOOKUP(G93,'EXPORT IRIS PROD 13-11-2024'!D:D,1,0)</f>
        <v>Allarme commutazione rete</v>
      </c>
      <c r="E93" s="37" t="s">
        <v>53</v>
      </c>
      <c r="F93" s="38" t="s">
        <v>245</v>
      </c>
      <c r="G93" s="38" t="s">
        <v>246</v>
      </c>
      <c r="H93" s="39" t="s">
        <v>56</v>
      </c>
      <c r="I93" s="39" t="s">
        <v>114</v>
      </c>
      <c r="J93" s="40" t="s">
        <v>21</v>
      </c>
      <c r="K93" s="41" t="s">
        <v>22</v>
      </c>
      <c r="L93" s="42" t="s">
        <v>23</v>
      </c>
      <c r="M93" s="43" t="s">
        <v>24</v>
      </c>
      <c r="N93" s="42" t="s">
        <v>25</v>
      </c>
      <c r="O93" s="42" t="s">
        <v>21</v>
      </c>
      <c r="P93" s="44"/>
    </row>
    <row r="94" spans="1:16" customFormat="1" ht="15" customHeight="1" x14ac:dyDescent="0.25">
      <c r="A94" t="str">
        <f t="shared" si="1"/>
        <v>ALR_COMMUTAZIONE_VENT-Allarme commutazione ventilazione</v>
      </c>
      <c r="B94" t="str">
        <f>VLOOKUP(A94,'EXPORT IRIS PROD 13-11-2024'!A:A,1,0)</f>
        <v>ALR_COMMUTAZIONE_VENT-Allarme commutazione ventilazione</v>
      </c>
      <c r="C94" t="str">
        <f>VLOOKUP(F94,'EXPORT IRIS PROD 13-11-2024'!F:F,1,0)</f>
        <v>ALR_COMMUTAZIONE_VENT</v>
      </c>
      <c r="D94" t="str">
        <f>VLOOKUP(G94,'EXPORT IRIS PROD 13-11-2024'!D:D,1,0)</f>
        <v>Allarme commutazione ventilazione</v>
      </c>
      <c r="E94" s="37" t="s">
        <v>53</v>
      </c>
      <c r="F94" s="38" t="s">
        <v>247</v>
      </c>
      <c r="G94" s="38" t="s">
        <v>248</v>
      </c>
      <c r="H94" s="39" t="s">
        <v>56</v>
      </c>
      <c r="I94" s="39" t="s">
        <v>114</v>
      </c>
      <c r="J94" s="40" t="s">
        <v>21</v>
      </c>
      <c r="K94" s="41" t="s">
        <v>22</v>
      </c>
      <c r="L94" s="42" t="s">
        <v>23</v>
      </c>
      <c r="M94" s="43" t="s">
        <v>24</v>
      </c>
      <c r="N94" s="42" t="s">
        <v>25</v>
      </c>
      <c r="O94" s="42" t="s">
        <v>21</v>
      </c>
      <c r="P94" s="44"/>
    </row>
    <row r="95" spans="1:16" customFormat="1" ht="15" customHeight="1" x14ac:dyDescent="0.25">
      <c r="A95" t="str">
        <f t="shared" si="1"/>
        <v>ALR_COMUNICAZIONE-Allarme comunicazione dispositivo</v>
      </c>
      <c r="B95" t="str">
        <f>VLOOKUP(A95,'EXPORT IRIS PROD 13-11-2024'!A:A,1,0)</f>
        <v>ALR_COMUNICAZIONE-Allarme comunicazione dispositivo</v>
      </c>
      <c r="C95" t="str">
        <f>VLOOKUP(F95,'EXPORT IRIS PROD 13-11-2024'!F:F,1,0)</f>
        <v>ALR_COMUNICAZIONE</v>
      </c>
      <c r="D95" t="str">
        <f>VLOOKUP(G95,'EXPORT IRIS PROD 13-11-2024'!D:D,1,0)</f>
        <v>Allarme comunicazione dispositivo</v>
      </c>
      <c r="E95" s="37" t="s">
        <v>249</v>
      </c>
      <c r="F95" s="38" t="s">
        <v>250</v>
      </c>
      <c r="G95" s="38" t="s">
        <v>251</v>
      </c>
      <c r="H95" s="39" t="s">
        <v>19</v>
      </c>
      <c r="I95" s="39" t="s">
        <v>167</v>
      </c>
      <c r="J95" s="40" t="s">
        <v>31</v>
      </c>
      <c r="K95" s="41" t="s">
        <v>32</v>
      </c>
      <c r="L95" s="42">
        <v>3</v>
      </c>
      <c r="M95" s="43" t="s">
        <v>33</v>
      </c>
      <c r="N95" s="42" t="s">
        <v>34</v>
      </c>
      <c r="O95" s="42" t="s">
        <v>31</v>
      </c>
      <c r="P95" s="44"/>
    </row>
    <row r="96" spans="1:16" customFormat="1" ht="15" customHeight="1" x14ac:dyDescent="0.25">
      <c r="A96" t="str">
        <f t="shared" si="1"/>
        <v>ALR_COMUNICAZIONE_1_IMP-Allarme comunicazione dispositivo</v>
      </c>
      <c r="B96" t="str">
        <f>VLOOKUP(A96,'EXPORT IRIS PROD 13-11-2024'!A:A,1,0)</f>
        <v>ALR_COMUNICAZIONE_1_IMP-Allarme comunicazione dispositivo</v>
      </c>
      <c r="C96" t="str">
        <f>VLOOKUP(F96,'EXPORT IRIS PROD 13-11-2024'!F:F,1,0)</f>
        <v>ALR_COMUNICAZIONE_1_IMP</v>
      </c>
      <c r="D96" t="str">
        <f>VLOOKUP(G96,'EXPORT IRIS PROD 13-11-2024'!D:D,1,0)</f>
        <v>Allarme comunicazione dispositivo</v>
      </c>
      <c r="E96" s="37" t="s">
        <v>109</v>
      </c>
      <c r="F96" s="38" t="s">
        <v>252</v>
      </c>
      <c r="G96" s="38" t="s">
        <v>251</v>
      </c>
      <c r="H96" s="39" t="s">
        <v>111</v>
      </c>
      <c r="I96" s="39" t="s">
        <v>127</v>
      </c>
      <c r="J96" s="40" t="s">
        <v>21</v>
      </c>
      <c r="K96" s="41" t="s">
        <v>22</v>
      </c>
      <c r="L96" s="42" t="s">
        <v>23</v>
      </c>
      <c r="M96" s="43" t="s">
        <v>157</v>
      </c>
      <c r="N96" s="42" t="s">
        <v>158</v>
      </c>
      <c r="O96" s="42" t="s">
        <v>21</v>
      </c>
      <c r="P96" s="44"/>
    </row>
    <row r="97" spans="1:16" customFormat="1" ht="15" customHeight="1" x14ac:dyDescent="0.25">
      <c r="A97" t="str">
        <f t="shared" si="1"/>
        <v>ALR_COMUNICAZIONE_2_IMP-Allarme comunicazione dispositivo</v>
      </c>
      <c r="B97" t="str">
        <f>VLOOKUP(A97,'EXPORT IRIS PROD 13-11-2024'!A:A,1,0)</f>
        <v>ALR_COMUNICAZIONE_2_IMP-Allarme comunicazione dispositivo</v>
      </c>
      <c r="C97" t="str">
        <f>VLOOKUP(F97,'EXPORT IRIS PROD 13-11-2024'!F:F,1,0)</f>
        <v>ALR_COMUNICAZIONE_2_IMP</v>
      </c>
      <c r="D97" t="str">
        <f>VLOOKUP(G97,'EXPORT IRIS PROD 13-11-2024'!D:D,1,0)</f>
        <v>Allarme comunicazione dispositivo</v>
      </c>
      <c r="E97" s="37" t="s">
        <v>105</v>
      </c>
      <c r="F97" s="38" t="s">
        <v>253</v>
      </c>
      <c r="G97" s="38" t="s">
        <v>251</v>
      </c>
      <c r="H97" s="39" t="s">
        <v>43</v>
      </c>
      <c r="I97" s="39" t="s">
        <v>108</v>
      </c>
      <c r="J97" s="40" t="s">
        <v>21</v>
      </c>
      <c r="K97" s="41" t="s">
        <v>22</v>
      </c>
      <c r="L97" s="42" t="s">
        <v>23</v>
      </c>
      <c r="M97" s="43" t="s">
        <v>24</v>
      </c>
      <c r="N97" s="42" t="s">
        <v>25</v>
      </c>
      <c r="O97" s="42" t="s">
        <v>21</v>
      </c>
      <c r="P97" s="44"/>
    </row>
    <row r="98" spans="1:16" customFormat="1" ht="15" customHeight="1" x14ac:dyDescent="0.25">
      <c r="A98" t="str">
        <f t="shared" si="1"/>
        <v>ALR_COMUNICAZIONE_2_IMP-Allarme comunicazione dispositivo</v>
      </c>
      <c r="B98" t="str">
        <f>VLOOKUP(A98,'EXPORT IRIS PROD 13-11-2024'!A:A,1,0)</f>
        <v>ALR_COMUNICAZIONE_2_IMP-Allarme comunicazione dispositivo</v>
      </c>
      <c r="C98" t="str">
        <f>VLOOKUP(F98,'EXPORT IRIS PROD 13-11-2024'!F:F,1,0)</f>
        <v>ALR_COMUNICAZIONE_2_IMP</v>
      </c>
      <c r="D98" t="str">
        <f>VLOOKUP(G98,'EXPORT IRIS PROD 13-11-2024'!D:D,1,0)</f>
        <v>Allarme comunicazione dispositivo</v>
      </c>
      <c r="E98" s="37" t="s">
        <v>53</v>
      </c>
      <c r="F98" s="38" t="s">
        <v>253</v>
      </c>
      <c r="G98" s="38" t="s">
        <v>251</v>
      </c>
      <c r="H98" s="39" t="s">
        <v>56</v>
      </c>
      <c r="I98" s="39" t="s">
        <v>57</v>
      </c>
      <c r="J98" s="40" t="s">
        <v>21</v>
      </c>
      <c r="K98" s="41" t="s">
        <v>22</v>
      </c>
      <c r="L98" s="42" t="s">
        <v>23</v>
      </c>
      <c r="M98" s="43" t="s">
        <v>24</v>
      </c>
      <c r="N98" s="42" t="s">
        <v>25</v>
      </c>
      <c r="O98" s="42" t="s">
        <v>21</v>
      </c>
      <c r="P98" s="44"/>
    </row>
    <row r="99" spans="1:16" customFormat="1" ht="15" customHeight="1" x14ac:dyDescent="0.25">
      <c r="A99" t="str">
        <f t="shared" si="1"/>
        <v>ALR_COMUNICAZIONE_2_IMP-Allarme comunicazione dispositivo</v>
      </c>
      <c r="B99" t="str">
        <f>VLOOKUP(A99,'EXPORT IRIS PROD 13-11-2024'!A:A,1,0)</f>
        <v>ALR_COMUNICAZIONE_2_IMP-Allarme comunicazione dispositivo</v>
      </c>
      <c r="C99" t="str">
        <f>VLOOKUP(F99,'EXPORT IRIS PROD 13-11-2024'!F:F,1,0)</f>
        <v>ALR_COMUNICAZIONE_2_IMP</v>
      </c>
      <c r="D99" t="str">
        <f>VLOOKUP(G99,'EXPORT IRIS PROD 13-11-2024'!D:D,1,0)</f>
        <v>Allarme comunicazione dispositivo</v>
      </c>
      <c r="E99" s="37" t="s">
        <v>53</v>
      </c>
      <c r="F99" s="38" t="s">
        <v>253</v>
      </c>
      <c r="G99" s="38" t="s">
        <v>251</v>
      </c>
      <c r="H99" s="39" t="s">
        <v>56</v>
      </c>
      <c r="I99" s="39" t="s">
        <v>254</v>
      </c>
      <c r="J99" s="40" t="s">
        <v>21</v>
      </c>
      <c r="K99" s="41" t="s">
        <v>22</v>
      </c>
      <c r="L99" s="42" t="s">
        <v>23</v>
      </c>
      <c r="M99" s="43" t="s">
        <v>24</v>
      </c>
      <c r="N99" s="42" t="s">
        <v>25</v>
      </c>
      <c r="O99" s="42" t="s">
        <v>21</v>
      </c>
      <c r="P99" s="44"/>
    </row>
    <row r="100" spans="1:16" customFormat="1" ht="15" customHeight="1" x14ac:dyDescent="0.25">
      <c r="A100" t="str">
        <f t="shared" si="1"/>
        <v>ALR_COMUNICAZIONE_2_IMP-Allarme comunicazione dispositivo</v>
      </c>
      <c r="B100" t="str">
        <f>VLOOKUP(A100,'EXPORT IRIS PROD 13-11-2024'!A:A,1,0)</f>
        <v>ALR_COMUNICAZIONE_2_IMP-Allarme comunicazione dispositivo</v>
      </c>
      <c r="C100" t="str">
        <f>VLOOKUP(F100,'EXPORT IRIS PROD 13-11-2024'!F:F,1,0)</f>
        <v>ALR_COMUNICAZIONE_2_IMP</v>
      </c>
      <c r="D100" t="str">
        <f>VLOOKUP(G100,'EXPORT IRIS PROD 13-11-2024'!D:D,1,0)</f>
        <v>Allarme comunicazione dispositivo</v>
      </c>
      <c r="E100" s="37" t="s">
        <v>53</v>
      </c>
      <c r="F100" s="38" t="s">
        <v>253</v>
      </c>
      <c r="G100" s="38" t="s">
        <v>251</v>
      </c>
      <c r="H100" s="39" t="s">
        <v>56</v>
      </c>
      <c r="I100" s="39" t="s">
        <v>114</v>
      </c>
      <c r="J100" s="40" t="s">
        <v>21</v>
      </c>
      <c r="K100" s="41" t="s">
        <v>22</v>
      </c>
      <c r="L100" s="42" t="s">
        <v>23</v>
      </c>
      <c r="M100" s="43" t="s">
        <v>24</v>
      </c>
      <c r="N100" s="42" t="s">
        <v>25</v>
      </c>
      <c r="O100" s="42" t="s">
        <v>21</v>
      </c>
      <c r="P100" s="44"/>
    </row>
    <row r="101" spans="1:16" customFormat="1" ht="15" customHeight="1" x14ac:dyDescent="0.25">
      <c r="A101" t="str">
        <f t="shared" si="1"/>
        <v>ALR_COMUNICAZIONE_2_IMP-Allarme comunicazione dispositivo</v>
      </c>
      <c r="B101" t="str">
        <f>VLOOKUP(A101,'EXPORT IRIS PROD 13-11-2024'!A:A,1,0)</f>
        <v>ALR_COMUNICAZIONE_2_IMP-Allarme comunicazione dispositivo</v>
      </c>
      <c r="C101" t="str">
        <f>VLOOKUP(F101,'EXPORT IRIS PROD 13-11-2024'!F:F,1,0)</f>
        <v>ALR_COMUNICAZIONE_2_IMP</v>
      </c>
      <c r="D101" t="str">
        <f>VLOOKUP(G101,'EXPORT IRIS PROD 13-11-2024'!D:D,1,0)</f>
        <v>Allarme comunicazione dispositivo</v>
      </c>
      <c r="E101" s="37" t="s">
        <v>53</v>
      </c>
      <c r="F101" s="38" t="s">
        <v>253</v>
      </c>
      <c r="G101" s="38" t="s">
        <v>251</v>
      </c>
      <c r="H101" s="39" t="s">
        <v>56</v>
      </c>
      <c r="I101" s="39" t="s">
        <v>255</v>
      </c>
      <c r="J101" s="40" t="s">
        <v>21</v>
      </c>
      <c r="K101" s="41" t="s">
        <v>22</v>
      </c>
      <c r="L101" s="42" t="s">
        <v>23</v>
      </c>
      <c r="M101" s="43" t="s">
        <v>24</v>
      </c>
      <c r="N101" s="42" t="s">
        <v>25</v>
      </c>
      <c r="O101" s="42" t="s">
        <v>21</v>
      </c>
      <c r="P101" s="44"/>
    </row>
    <row r="102" spans="1:16" customFormat="1" ht="15" customHeight="1" x14ac:dyDescent="0.25">
      <c r="A102" t="str">
        <f t="shared" si="1"/>
        <v>ALR_COMUNICAZIONE_2_IMP-Allarme comunicazione dispositivo</v>
      </c>
      <c r="B102" t="str">
        <f>VLOOKUP(A102,'EXPORT IRIS PROD 13-11-2024'!A:A,1,0)</f>
        <v>ALR_COMUNICAZIONE_2_IMP-Allarme comunicazione dispositivo</v>
      </c>
      <c r="C102" t="str">
        <f>VLOOKUP(F102,'EXPORT IRIS PROD 13-11-2024'!F:F,1,0)</f>
        <v>ALR_COMUNICAZIONE_2_IMP</v>
      </c>
      <c r="D102" t="str">
        <f>VLOOKUP(G102,'EXPORT IRIS PROD 13-11-2024'!D:D,1,0)</f>
        <v>Allarme comunicazione dispositivo</v>
      </c>
      <c r="E102" s="37" t="s">
        <v>115</v>
      </c>
      <c r="F102" s="38" t="s">
        <v>253</v>
      </c>
      <c r="G102" s="38" t="s">
        <v>251</v>
      </c>
      <c r="H102" s="39" t="s">
        <v>116</v>
      </c>
      <c r="I102" s="39" t="s">
        <v>256</v>
      </c>
      <c r="J102" s="40" t="s">
        <v>21</v>
      </c>
      <c r="K102" s="41" t="s">
        <v>22</v>
      </c>
      <c r="L102" s="42" t="s">
        <v>23</v>
      </c>
      <c r="M102" s="43" t="s">
        <v>24</v>
      </c>
      <c r="N102" s="42" t="s">
        <v>25</v>
      </c>
      <c r="O102" s="42" t="s">
        <v>21</v>
      </c>
      <c r="P102" s="44"/>
    </row>
    <row r="103" spans="1:16" customFormat="1" ht="15" customHeight="1" x14ac:dyDescent="0.25">
      <c r="A103" t="str">
        <f t="shared" si="1"/>
        <v>ALR_COMUNICAZIONE_2_IMP-Allarme comunicazione dispositivo</v>
      </c>
      <c r="B103" t="str">
        <f>VLOOKUP(A103,'EXPORT IRIS PROD 13-11-2024'!A:A,1,0)</f>
        <v>ALR_COMUNICAZIONE_2_IMP-Allarme comunicazione dispositivo</v>
      </c>
      <c r="C103" t="str">
        <f>VLOOKUP(F103,'EXPORT IRIS PROD 13-11-2024'!F:F,1,0)</f>
        <v>ALR_COMUNICAZIONE_2_IMP</v>
      </c>
      <c r="D103" t="str">
        <f>VLOOKUP(G103,'EXPORT IRIS PROD 13-11-2024'!D:D,1,0)</f>
        <v>Allarme comunicazione dispositivo</v>
      </c>
      <c r="E103" s="37" t="s">
        <v>115</v>
      </c>
      <c r="F103" s="38" t="s">
        <v>253</v>
      </c>
      <c r="G103" s="38" t="s">
        <v>251</v>
      </c>
      <c r="H103" s="39" t="s">
        <v>116</v>
      </c>
      <c r="I103" s="39" t="s">
        <v>257</v>
      </c>
      <c r="J103" s="40" t="s">
        <v>21</v>
      </c>
      <c r="K103" s="41" t="s">
        <v>22</v>
      </c>
      <c r="L103" s="42" t="s">
        <v>23</v>
      </c>
      <c r="M103" s="43" t="s">
        <v>24</v>
      </c>
      <c r="N103" s="42" t="s">
        <v>25</v>
      </c>
      <c r="O103" s="42" t="s">
        <v>21</v>
      </c>
      <c r="P103" s="44"/>
    </row>
    <row r="104" spans="1:16" customFormat="1" ht="15" customHeight="1" x14ac:dyDescent="0.25">
      <c r="A104" t="str">
        <f t="shared" si="1"/>
        <v>ALR_COMUNICAZIONE_2_IMP-Allarme comunicazione dispositivo</v>
      </c>
      <c r="B104" t="str">
        <f>VLOOKUP(A104,'EXPORT IRIS PROD 13-11-2024'!A:A,1,0)</f>
        <v>ALR_COMUNICAZIONE_2_IMP-Allarme comunicazione dispositivo</v>
      </c>
      <c r="C104" t="str">
        <f>VLOOKUP(F104,'EXPORT IRIS PROD 13-11-2024'!F:F,1,0)</f>
        <v>ALR_COMUNICAZIONE_2_IMP</v>
      </c>
      <c r="D104" t="str">
        <f>VLOOKUP(G104,'EXPORT IRIS PROD 13-11-2024'!D:D,1,0)</f>
        <v>Allarme comunicazione dispositivo</v>
      </c>
      <c r="E104" s="37" t="s">
        <v>16</v>
      </c>
      <c r="F104" s="38" t="s">
        <v>253</v>
      </c>
      <c r="G104" s="38" t="s">
        <v>251</v>
      </c>
      <c r="H104" s="39" t="s">
        <v>19</v>
      </c>
      <c r="I104" s="39" t="s">
        <v>258</v>
      </c>
      <c r="J104" s="40" t="s">
        <v>21</v>
      </c>
      <c r="K104" s="41" t="s">
        <v>22</v>
      </c>
      <c r="L104" s="42" t="s">
        <v>23</v>
      </c>
      <c r="M104" s="43" t="s">
        <v>24</v>
      </c>
      <c r="N104" s="42" t="s">
        <v>25</v>
      </c>
      <c r="O104" s="42" t="s">
        <v>21</v>
      </c>
      <c r="P104" s="44"/>
    </row>
    <row r="105" spans="1:16" customFormat="1" ht="15" customHeight="1" x14ac:dyDescent="0.25">
      <c r="A105" t="str">
        <f t="shared" si="1"/>
        <v>ALR_COMUNICAZIONE_2_IMP-Allarme comunicazione dispositivo</v>
      </c>
      <c r="B105" t="str">
        <f>VLOOKUP(A105,'EXPORT IRIS PROD 13-11-2024'!A:A,1,0)</f>
        <v>ALR_COMUNICAZIONE_2_IMP-Allarme comunicazione dispositivo</v>
      </c>
      <c r="C105" t="str">
        <f>VLOOKUP(F105,'EXPORT IRIS PROD 13-11-2024'!F:F,1,0)</f>
        <v>ALR_COMUNICAZIONE_2_IMP</v>
      </c>
      <c r="D105" t="str">
        <f>VLOOKUP(G105,'EXPORT IRIS PROD 13-11-2024'!D:D,1,0)</f>
        <v>Allarme comunicazione dispositivo</v>
      </c>
      <c r="E105" s="37" t="s">
        <v>16</v>
      </c>
      <c r="F105" s="38" t="s">
        <v>253</v>
      </c>
      <c r="G105" s="38" t="s">
        <v>251</v>
      </c>
      <c r="H105" s="39" t="s">
        <v>19</v>
      </c>
      <c r="I105" s="39" t="s">
        <v>259</v>
      </c>
      <c r="J105" s="40" t="s">
        <v>21</v>
      </c>
      <c r="K105" s="41" t="s">
        <v>22</v>
      </c>
      <c r="L105" s="42" t="s">
        <v>23</v>
      </c>
      <c r="M105" s="43" t="s">
        <v>24</v>
      </c>
      <c r="N105" s="42" t="s">
        <v>25</v>
      </c>
      <c r="O105" s="42" t="s">
        <v>21</v>
      </c>
      <c r="P105" s="44"/>
    </row>
    <row r="106" spans="1:16" customFormat="1" ht="15" customHeight="1" x14ac:dyDescent="0.25">
      <c r="A106" t="str">
        <f t="shared" si="1"/>
        <v>ALR_COMUNICAZIONE_2_IMP-Allarme comunicazione dispositivo</v>
      </c>
      <c r="B106" t="str">
        <f>VLOOKUP(A106,'EXPORT IRIS PROD 13-11-2024'!A:A,1,0)</f>
        <v>ALR_COMUNICAZIONE_2_IMP-Allarme comunicazione dispositivo</v>
      </c>
      <c r="C106" t="str">
        <f>VLOOKUP(F106,'EXPORT IRIS PROD 13-11-2024'!F:F,1,0)</f>
        <v>ALR_COMUNICAZIONE_2_IMP</v>
      </c>
      <c r="D106" t="str">
        <f>VLOOKUP(G106,'EXPORT IRIS PROD 13-11-2024'!D:D,1,0)</f>
        <v>Allarme comunicazione dispositivo</v>
      </c>
      <c r="E106" s="37" t="s">
        <v>89</v>
      </c>
      <c r="F106" s="38" t="s">
        <v>253</v>
      </c>
      <c r="G106" s="38" t="s">
        <v>251</v>
      </c>
      <c r="H106" s="39" t="s">
        <v>29</v>
      </c>
      <c r="I106" s="39" t="s">
        <v>30</v>
      </c>
      <c r="J106" s="40" t="s">
        <v>21</v>
      </c>
      <c r="K106" s="41" t="s">
        <v>22</v>
      </c>
      <c r="L106" s="42" t="s">
        <v>23</v>
      </c>
      <c r="M106" s="43" t="s">
        <v>24</v>
      </c>
      <c r="N106" s="42" t="s">
        <v>25</v>
      </c>
      <c r="O106" s="42" t="s">
        <v>21</v>
      </c>
      <c r="P106" s="44"/>
    </row>
    <row r="107" spans="1:16" customFormat="1" ht="15" customHeight="1" x14ac:dyDescent="0.25">
      <c r="A107" t="str">
        <f t="shared" si="1"/>
        <v>ALR_COMUNICAZIONE_2_IMP-Allarme comunicazione dispositivo</v>
      </c>
      <c r="B107" t="str">
        <f>VLOOKUP(A107,'EXPORT IRIS PROD 13-11-2024'!A:A,1,0)</f>
        <v>ALR_COMUNICAZIONE_2_IMP-Allarme comunicazione dispositivo</v>
      </c>
      <c r="C107" t="str">
        <f>VLOOKUP(F107,'EXPORT IRIS PROD 13-11-2024'!F:F,1,0)</f>
        <v>ALR_COMUNICAZIONE_2_IMP</v>
      </c>
      <c r="D107" t="str">
        <f>VLOOKUP(G107,'EXPORT IRIS PROD 13-11-2024'!D:D,1,0)</f>
        <v>Allarme comunicazione dispositivo</v>
      </c>
      <c r="E107" s="37" t="s">
        <v>198</v>
      </c>
      <c r="F107" s="38" t="s">
        <v>253</v>
      </c>
      <c r="G107" s="38" t="s">
        <v>251</v>
      </c>
      <c r="H107" s="39" t="s">
        <v>201</v>
      </c>
      <c r="I107" s="39" t="s">
        <v>260</v>
      </c>
      <c r="J107" s="40" t="s">
        <v>21</v>
      </c>
      <c r="K107" s="41" t="s">
        <v>22</v>
      </c>
      <c r="L107" s="42" t="s">
        <v>23</v>
      </c>
      <c r="M107" s="43" t="s">
        <v>24</v>
      </c>
      <c r="N107" s="42" t="s">
        <v>25</v>
      </c>
      <c r="O107" s="42" t="s">
        <v>21</v>
      </c>
      <c r="P107" s="44"/>
    </row>
    <row r="108" spans="1:16" customFormat="1" ht="15" customHeight="1" x14ac:dyDescent="0.25">
      <c r="A108" t="str">
        <f t="shared" si="1"/>
        <v>ALR_COMUNICAZIONE_2_IMP-Allarme comunicazione dispositivo</v>
      </c>
      <c r="B108" t="str">
        <f>VLOOKUP(A108,'EXPORT IRIS PROD 13-11-2024'!A:A,1,0)</f>
        <v>ALR_COMUNICAZIONE_2_IMP-Allarme comunicazione dispositivo</v>
      </c>
      <c r="C108" t="str">
        <f>VLOOKUP(F108,'EXPORT IRIS PROD 13-11-2024'!F:F,1,0)</f>
        <v>ALR_COMUNICAZIONE_2_IMP</v>
      </c>
      <c r="D108" t="str">
        <f>VLOOKUP(G108,'EXPORT IRIS PROD 13-11-2024'!D:D,1,0)</f>
        <v>Allarme comunicazione dispositivo</v>
      </c>
      <c r="E108" s="37" t="s">
        <v>85</v>
      </c>
      <c r="F108" s="38" t="s">
        <v>253</v>
      </c>
      <c r="G108" s="38" t="s">
        <v>251</v>
      </c>
      <c r="H108" s="39" t="s">
        <v>50</v>
      </c>
      <c r="I108" s="39" t="s">
        <v>88</v>
      </c>
      <c r="J108" s="40" t="s">
        <v>21</v>
      </c>
      <c r="K108" s="41" t="s">
        <v>22</v>
      </c>
      <c r="L108" s="42" t="s">
        <v>23</v>
      </c>
      <c r="M108" s="43" t="s">
        <v>24</v>
      </c>
      <c r="N108" s="42" t="s">
        <v>25</v>
      </c>
      <c r="O108" s="42" t="s">
        <v>21</v>
      </c>
      <c r="P108" s="44"/>
    </row>
    <row r="109" spans="1:16" customFormat="1" ht="15" customHeight="1" x14ac:dyDescent="0.25">
      <c r="A109" t="str">
        <f t="shared" si="1"/>
        <v>ALR_COMUNICAZIONE_2_IMP-Allarme comunicazione dispositivo</v>
      </c>
      <c r="B109" t="str">
        <f>VLOOKUP(A109,'EXPORT IRIS PROD 13-11-2024'!A:A,1,0)</f>
        <v>ALR_COMUNICAZIONE_2_IMP-Allarme comunicazione dispositivo</v>
      </c>
      <c r="C109" t="str">
        <f>VLOOKUP(F109,'EXPORT IRIS PROD 13-11-2024'!F:F,1,0)</f>
        <v>ALR_COMUNICAZIONE_2_IMP</v>
      </c>
      <c r="D109" t="str">
        <f>VLOOKUP(G109,'EXPORT IRIS PROD 13-11-2024'!D:D,1,0)</f>
        <v>Allarme comunicazione dispositivo</v>
      </c>
      <c r="E109" s="37" t="s">
        <v>85</v>
      </c>
      <c r="F109" s="38" t="s">
        <v>253</v>
      </c>
      <c r="G109" s="38" t="s">
        <v>251</v>
      </c>
      <c r="H109" s="39" t="s">
        <v>50</v>
      </c>
      <c r="I109" s="39" t="s">
        <v>51</v>
      </c>
      <c r="J109" s="40" t="s">
        <v>21</v>
      </c>
      <c r="K109" s="41" t="s">
        <v>22</v>
      </c>
      <c r="L109" s="42" t="s">
        <v>23</v>
      </c>
      <c r="M109" s="43" t="s">
        <v>24</v>
      </c>
      <c r="N109" s="42" t="s">
        <v>25</v>
      </c>
      <c r="O109" s="42" t="s">
        <v>21</v>
      </c>
      <c r="P109" s="44"/>
    </row>
    <row r="110" spans="1:16" customFormat="1" ht="15" customHeight="1" x14ac:dyDescent="0.25">
      <c r="A110" t="str">
        <f t="shared" si="1"/>
        <v>ALR_COMUNICAZIONE_2_IMP-Allarme comunicazione dispositivo</v>
      </c>
      <c r="B110" t="str">
        <f>VLOOKUP(A110,'EXPORT IRIS PROD 13-11-2024'!A:A,1,0)</f>
        <v>ALR_COMUNICAZIONE_2_IMP-Allarme comunicazione dispositivo</v>
      </c>
      <c r="C110" t="str">
        <f>VLOOKUP(F110,'EXPORT IRIS PROD 13-11-2024'!F:F,1,0)</f>
        <v>ALR_COMUNICAZIONE_2_IMP</v>
      </c>
      <c r="D110" t="str">
        <f>VLOOKUP(G110,'EXPORT IRIS PROD 13-11-2024'!D:D,1,0)</f>
        <v>Allarme comunicazione dispositivo</v>
      </c>
      <c r="E110" s="37" t="s">
        <v>85</v>
      </c>
      <c r="F110" s="38" t="s">
        <v>253</v>
      </c>
      <c r="G110" s="38" t="s">
        <v>251</v>
      </c>
      <c r="H110" s="39" t="s">
        <v>50</v>
      </c>
      <c r="I110" s="39" t="s">
        <v>52</v>
      </c>
      <c r="J110" s="40" t="s">
        <v>21</v>
      </c>
      <c r="K110" s="41" t="s">
        <v>22</v>
      </c>
      <c r="L110" s="42" t="s">
        <v>23</v>
      </c>
      <c r="M110" s="43" t="s">
        <v>24</v>
      </c>
      <c r="N110" s="42" t="s">
        <v>25</v>
      </c>
      <c r="O110" s="42" t="s">
        <v>21</v>
      </c>
      <c r="P110" s="44"/>
    </row>
    <row r="111" spans="1:16" customFormat="1" ht="15" customHeight="1" x14ac:dyDescent="0.25">
      <c r="A111" t="str">
        <f t="shared" si="1"/>
        <v>ALR_CONFIGURATA-Allarme configurazione mancante</v>
      </c>
      <c r="B111" t="str">
        <f>VLOOKUP(A111,'EXPORT IRIS PROD 13-11-2024'!A:A,1,0)</f>
        <v>ALR_CONFIGURATA-Allarme configurazione mancante</v>
      </c>
      <c r="C111" t="str">
        <f>VLOOKUP(F111,'EXPORT IRIS PROD 13-11-2024'!F:F,1,0)</f>
        <v>ALR_CONFIGURATA</v>
      </c>
      <c r="D111" t="str">
        <f>VLOOKUP(G111,'EXPORT IRIS PROD 13-11-2024'!D:D,1,0)</f>
        <v>Allarme configurazione mancante</v>
      </c>
      <c r="E111" s="37" t="s">
        <v>198</v>
      </c>
      <c r="F111" s="38" t="s">
        <v>261</v>
      </c>
      <c r="G111" s="45" t="s">
        <v>262</v>
      </c>
      <c r="H111" s="46" t="s">
        <v>201</v>
      </c>
      <c r="I111" s="46" t="s">
        <v>263</v>
      </c>
      <c r="J111" s="40" t="s">
        <v>21</v>
      </c>
      <c r="K111" s="41" t="s">
        <v>22</v>
      </c>
      <c r="L111" s="42" t="s">
        <v>23</v>
      </c>
      <c r="M111" s="43" t="s">
        <v>24</v>
      </c>
      <c r="N111" s="42" t="s">
        <v>25</v>
      </c>
      <c r="O111" s="42" t="s">
        <v>21</v>
      </c>
      <c r="P111" s="44"/>
    </row>
    <row r="112" spans="1:16" customFormat="1" ht="15" customHeight="1" x14ac:dyDescent="0.25">
      <c r="A112" t="str">
        <f t="shared" si="1"/>
        <v>ALR_CONGIUNTORE-Allarme congiuntore</v>
      </c>
      <c r="B112" t="str">
        <f>VLOOKUP(A112,'EXPORT IRIS PROD 13-11-2024'!A:A,1,0)</f>
        <v>ALR_CONGIUNTORE-Allarme congiuntore</v>
      </c>
      <c r="C112" t="str">
        <f>VLOOKUP(F112,'EXPORT IRIS PROD 13-11-2024'!F:F,1,0)</f>
        <v>ALR_CONGIUNTORE</v>
      </c>
      <c r="D112" t="str">
        <f>VLOOKUP(G112,'EXPORT IRIS PROD 13-11-2024'!D:D,1,0)</f>
        <v>Allarme congiuntore</v>
      </c>
      <c r="E112" s="37" t="s">
        <v>53</v>
      </c>
      <c r="F112" s="38" t="s">
        <v>264</v>
      </c>
      <c r="G112" s="38" t="s">
        <v>265</v>
      </c>
      <c r="H112" s="39" t="s">
        <v>56</v>
      </c>
      <c r="I112" s="39" t="s">
        <v>266</v>
      </c>
      <c r="J112" s="40" t="s">
        <v>21</v>
      </c>
      <c r="K112" s="41" t="s">
        <v>22</v>
      </c>
      <c r="L112" s="42" t="s">
        <v>23</v>
      </c>
      <c r="M112" s="43" t="s">
        <v>24</v>
      </c>
      <c r="N112" s="42" t="s">
        <v>25</v>
      </c>
      <c r="O112" s="42" t="s">
        <v>21</v>
      </c>
      <c r="P112" s="44"/>
    </row>
    <row r="113" spans="1:16" customFormat="1" ht="15" customHeight="1" x14ac:dyDescent="0.25">
      <c r="A113" t="str">
        <f t="shared" si="1"/>
        <v>ALR_CORRENTE_MAX-Allarme corrente massima Gruppo Elettrogeno</v>
      </c>
      <c r="B113" t="str">
        <f>VLOOKUP(A113,'EXPORT IRIS PROD 13-11-2024'!A:A,1,0)</f>
        <v>ALR_CORRENTE_MAX-Allarme corrente massima Gruppo Elettrogeno</v>
      </c>
      <c r="C113" t="str">
        <f>VLOOKUP(F113,'EXPORT IRIS PROD 13-11-2024'!F:F,1,0)</f>
        <v>ALR_CORRENTE_MAX</v>
      </c>
      <c r="D113" t="str">
        <f>VLOOKUP(G113,'EXPORT IRIS PROD 13-11-2024'!D:D,1,0)</f>
        <v>Allarme corrente massima Gruppo Elettrogeno</v>
      </c>
      <c r="E113" s="37" t="s">
        <v>53</v>
      </c>
      <c r="F113" s="38" t="s">
        <v>267</v>
      </c>
      <c r="G113" s="38" t="s">
        <v>268</v>
      </c>
      <c r="H113" s="39" t="s">
        <v>56</v>
      </c>
      <c r="I113" s="39" t="s">
        <v>57</v>
      </c>
      <c r="J113" s="40" t="s">
        <v>21</v>
      </c>
      <c r="K113" s="41" t="s">
        <v>22</v>
      </c>
      <c r="L113" s="42" t="s">
        <v>23</v>
      </c>
      <c r="M113" s="43" t="s">
        <v>24</v>
      </c>
      <c r="N113" s="42" t="s">
        <v>25</v>
      </c>
      <c r="O113" s="42" t="s">
        <v>21</v>
      </c>
      <c r="P113" s="44"/>
    </row>
    <row r="114" spans="1:16" customFormat="1" ht="15" customHeight="1" x14ac:dyDescent="0.25">
      <c r="A114" t="str">
        <f t="shared" si="1"/>
        <v>ALR_CORRENTE_MIN-Allarme corrente minima</v>
      </c>
      <c r="B114" t="str">
        <f>VLOOKUP(A114,'EXPORT IRIS PROD 13-11-2024'!A:A,1,0)</f>
        <v>ALR_CORRENTE_MIN-Allarme corrente minima</v>
      </c>
      <c r="C114" t="str">
        <f>VLOOKUP(F114,'EXPORT IRIS PROD 13-11-2024'!F:F,1,0)</f>
        <v>ALR_CORRENTE_MIN</v>
      </c>
      <c r="D114" t="str">
        <f>VLOOKUP(G114,'EXPORT IRIS PROD 13-11-2024'!D:D,1,0)</f>
        <v>Allarme corrente minima</v>
      </c>
      <c r="E114" s="37" t="s">
        <v>85</v>
      </c>
      <c r="F114" s="38" t="s">
        <v>269</v>
      </c>
      <c r="G114" s="38" t="s">
        <v>270</v>
      </c>
      <c r="H114" s="39" t="s">
        <v>50</v>
      </c>
      <c r="I114" s="39" t="s">
        <v>124</v>
      </c>
      <c r="J114" s="40" t="s">
        <v>21</v>
      </c>
      <c r="K114" s="41" t="s">
        <v>22</v>
      </c>
      <c r="L114" s="42" t="s">
        <v>23</v>
      </c>
      <c r="M114" s="43" t="s">
        <v>24</v>
      </c>
      <c r="N114" s="42" t="s">
        <v>25</v>
      </c>
      <c r="O114" s="42" t="s">
        <v>21</v>
      </c>
      <c r="P114" s="44"/>
    </row>
    <row r="115" spans="1:16" customFormat="1" ht="15" customHeight="1" x14ac:dyDescent="0.25">
      <c r="A115" t="str">
        <f t="shared" si="1"/>
        <v>ALR_CUMULATIVO-Allarme cumulativo serranda</v>
      </c>
      <c r="B115" t="str">
        <f>VLOOKUP(A115,'EXPORT IRIS PROD 13-11-2024'!A:A,1,0)</f>
        <v>ALR_CUMULATIVO-Allarme cumulativo serranda</v>
      </c>
      <c r="C115" t="str">
        <f>VLOOKUP(F115,'EXPORT IRIS PROD 13-11-2024'!F:F,1,0)</f>
        <v>ALR_CUMULATIVO</v>
      </c>
      <c r="D115" t="str">
        <f>VLOOKUP(G115,'EXPORT IRIS PROD 13-11-2024'!D:D,1,0)</f>
        <v>Allarme cumulativo serranda</v>
      </c>
      <c r="E115" s="37" t="s">
        <v>271</v>
      </c>
      <c r="F115" s="38" t="s">
        <v>272</v>
      </c>
      <c r="G115" s="38" t="s">
        <v>273</v>
      </c>
      <c r="H115" s="39" t="s">
        <v>274</v>
      </c>
      <c r="I115" s="39" t="s">
        <v>275</v>
      </c>
      <c r="J115" s="40" t="s">
        <v>21</v>
      </c>
      <c r="K115" s="41" t="s">
        <v>22</v>
      </c>
      <c r="L115" s="42" t="s">
        <v>23</v>
      </c>
      <c r="M115" s="43" t="s">
        <v>24</v>
      </c>
      <c r="N115" s="42" t="s">
        <v>25</v>
      </c>
      <c r="O115" s="42" t="s">
        <v>21</v>
      </c>
      <c r="P115" s="44"/>
    </row>
    <row r="116" spans="1:16" customFormat="1" ht="15" customHeight="1" x14ac:dyDescent="0.25">
      <c r="A116" t="str">
        <f t="shared" si="1"/>
        <v>ALR_CUMULATIVO_GE-Allarme cumulativo GE</v>
      </c>
      <c r="B116" t="str">
        <f>VLOOKUP(A116,'EXPORT IRIS PROD 13-11-2024'!A:A,1,0)</f>
        <v>ALR_CUMULATIVO_GE-Allarme cumulativo GE</v>
      </c>
      <c r="C116" t="str">
        <f>VLOOKUP(F116,'EXPORT IRIS PROD 13-11-2024'!F:F,1,0)</f>
        <v>ALR_CUMULATIVO_GE</v>
      </c>
      <c r="D116" t="str">
        <f>VLOOKUP(G116,'EXPORT IRIS PROD 13-11-2024'!D:D,1,0)</f>
        <v>Allarme cumulativo GE</v>
      </c>
      <c r="E116" s="37" t="s">
        <v>53</v>
      </c>
      <c r="F116" s="38" t="s">
        <v>276</v>
      </c>
      <c r="G116" s="38" t="s">
        <v>277</v>
      </c>
      <c r="H116" s="39" t="s">
        <v>56</v>
      </c>
      <c r="I116" s="39" t="s">
        <v>57</v>
      </c>
      <c r="J116" s="40" t="s">
        <v>21</v>
      </c>
      <c r="K116" s="41" t="s">
        <v>22</v>
      </c>
      <c r="L116" s="42" t="s">
        <v>23</v>
      </c>
      <c r="M116" s="43" t="s">
        <v>24</v>
      </c>
      <c r="N116" s="42" t="s">
        <v>25</v>
      </c>
      <c r="O116" s="42" t="s">
        <v>21</v>
      </c>
      <c r="P116" s="44"/>
    </row>
    <row r="117" spans="1:16" customFormat="1" ht="15" customHeight="1" x14ac:dyDescent="0.25">
      <c r="A117" t="str">
        <f t="shared" si="1"/>
        <v>ALR_CUMULATIVO_SOFT_START-Allarme cumulativo soft star</v>
      </c>
      <c r="B117" t="str">
        <f>VLOOKUP(A117,'EXPORT IRIS PROD 13-11-2024'!A:A,1,0)</f>
        <v>ALR_CUMULATIVO_SOFT_START-Allarme cumulativo soft star</v>
      </c>
      <c r="C117" t="str">
        <f>VLOOKUP(F117,'EXPORT IRIS PROD 13-11-2024'!F:F,1,0)</f>
        <v>ALR_CUMULATIVO_SOFT_START</v>
      </c>
      <c r="D117" t="str">
        <f>VLOOKUP(G117,'EXPORT IRIS PROD 13-11-2024'!D:D,1,0)</f>
        <v>Allarme cumulativo soft star</v>
      </c>
      <c r="E117" s="37" t="s">
        <v>85</v>
      </c>
      <c r="F117" s="38" t="s">
        <v>278</v>
      </c>
      <c r="G117" s="38" t="s">
        <v>279</v>
      </c>
      <c r="H117" s="39" t="s">
        <v>50</v>
      </c>
      <c r="I117" s="39" t="s">
        <v>124</v>
      </c>
      <c r="J117" s="40" t="s">
        <v>21</v>
      </c>
      <c r="K117" s="41" t="s">
        <v>22</v>
      </c>
      <c r="L117" s="42" t="s">
        <v>23</v>
      </c>
      <c r="M117" s="43" t="s">
        <v>24</v>
      </c>
      <c r="N117" s="42" t="s">
        <v>25</v>
      </c>
      <c r="O117" s="42" t="s">
        <v>21</v>
      </c>
      <c r="P117" s="44"/>
    </row>
    <row r="118" spans="1:16" customFormat="1" ht="15" customHeight="1" x14ac:dyDescent="0.25">
      <c r="A118" t="str">
        <f t="shared" si="1"/>
        <v>ALR_CUMULATIVO_VENTILATORE-Allarme cumulativo ventilatore</v>
      </c>
      <c r="B118" t="str">
        <f>VLOOKUP(A118,'EXPORT IRIS PROD 13-11-2024'!A:A,1,0)</f>
        <v>ALR_CUMULATIVO_VENTILATORE-Allarme cumulativo ventilatore</v>
      </c>
      <c r="C118" t="str">
        <f>VLOOKUP(F118,'EXPORT IRIS PROD 13-11-2024'!F:F,1,0)</f>
        <v>ALR_CUMULATIVO_VENTILATORE</v>
      </c>
      <c r="D118" t="str">
        <f>VLOOKUP(G118,'EXPORT IRIS PROD 13-11-2024'!D:D,1,0)</f>
        <v>Allarme cumulativo ventilatore</v>
      </c>
      <c r="E118" s="37" t="s">
        <v>280</v>
      </c>
      <c r="F118" s="38" t="s">
        <v>281</v>
      </c>
      <c r="G118" s="38" t="s">
        <v>282</v>
      </c>
      <c r="H118" s="39" t="s">
        <v>50</v>
      </c>
      <c r="I118" s="39" t="s">
        <v>124</v>
      </c>
      <c r="J118" s="40" t="s">
        <v>21</v>
      </c>
      <c r="K118" s="41" t="s">
        <v>22</v>
      </c>
      <c r="L118" s="42" t="s">
        <v>23</v>
      </c>
      <c r="M118" s="43" t="s">
        <v>24</v>
      </c>
      <c r="N118" s="42" t="s">
        <v>25</v>
      </c>
      <c r="O118" s="42" t="s">
        <v>21</v>
      </c>
      <c r="P118" s="44"/>
    </row>
    <row r="119" spans="1:16" customFormat="1" ht="15" customHeight="1" x14ac:dyDescent="0.25">
      <c r="A119" t="str">
        <f t="shared" si="1"/>
        <v>ALR_CUSCINETTO-Allarme cuscinetto</v>
      </c>
      <c r="B119" t="str">
        <f>VLOOKUP(A119,'EXPORT IRIS PROD 13-11-2024'!A:A,1,0)</f>
        <v>ALR_CUSCINETTO-Allarme cuscinetto</v>
      </c>
      <c r="C119" t="str">
        <f>VLOOKUP(F119,'EXPORT IRIS PROD 13-11-2024'!F:F,1,0)</f>
        <v>ALR_CUSCINETTO</v>
      </c>
      <c r="D119" t="str">
        <f>VLOOKUP(G119,'EXPORT IRIS PROD 13-11-2024'!D:D,1,0)</f>
        <v>Allarme cuscinetto</v>
      </c>
      <c r="E119" s="37" t="s">
        <v>85</v>
      </c>
      <c r="F119" s="38" t="s">
        <v>283</v>
      </c>
      <c r="G119" s="38" t="s">
        <v>284</v>
      </c>
      <c r="H119" s="39" t="s">
        <v>50</v>
      </c>
      <c r="I119" s="39" t="s">
        <v>124</v>
      </c>
      <c r="J119" s="40" t="s">
        <v>21</v>
      </c>
      <c r="K119" s="41" t="s">
        <v>22</v>
      </c>
      <c r="L119" s="42" t="s">
        <v>23</v>
      </c>
      <c r="M119" s="43" t="s">
        <v>24</v>
      </c>
      <c r="N119" s="42" t="s">
        <v>25</v>
      </c>
      <c r="O119" s="42" t="s">
        <v>21</v>
      </c>
      <c r="P119" s="44"/>
    </row>
    <row r="120" spans="1:16" customFormat="1" ht="15" customHeight="1" x14ac:dyDescent="0.25">
      <c r="A120" t="str">
        <f t="shared" si="1"/>
        <v>ALR_CUSCINETTO_2-Allarme cuscinetto 2</v>
      </c>
      <c r="B120" t="str">
        <f>VLOOKUP(A120,'EXPORT IRIS PROD 13-11-2024'!A:A,1,0)</f>
        <v>ALR_CUSCINETTO_2-Allarme cuscinetto 2</v>
      </c>
      <c r="C120" t="str">
        <f>VLOOKUP(F120,'EXPORT IRIS PROD 13-11-2024'!F:F,1,0)</f>
        <v>ALR_CUSCINETTO_2</v>
      </c>
      <c r="D120" t="str">
        <f>VLOOKUP(G120,'EXPORT IRIS PROD 13-11-2024'!D:D,1,0)</f>
        <v>Allarme cuscinetto 2</v>
      </c>
      <c r="E120" s="37" t="s">
        <v>85</v>
      </c>
      <c r="F120" s="38" t="s">
        <v>285</v>
      </c>
      <c r="G120" s="38" t="s">
        <v>286</v>
      </c>
      <c r="H120" s="39" t="s">
        <v>50</v>
      </c>
      <c r="I120" s="39" t="s">
        <v>124</v>
      </c>
      <c r="J120" s="40" t="s">
        <v>21</v>
      </c>
      <c r="K120" s="41" t="s">
        <v>22</v>
      </c>
      <c r="L120" s="42" t="s">
        <v>23</v>
      </c>
      <c r="M120" s="43" t="s">
        <v>24</v>
      </c>
      <c r="N120" s="42" t="s">
        <v>25</v>
      </c>
      <c r="O120" s="42" t="s">
        <v>21</v>
      </c>
      <c r="P120" s="44"/>
    </row>
    <row r="121" spans="1:16" ht="15" customHeight="1" x14ac:dyDescent="0.25">
      <c r="A121" t="str">
        <f t="shared" si="1"/>
        <v>ALR_DIAGNOSTICA_IN_ERR-Allarme diagnostica in errore</v>
      </c>
      <c r="B121" t="str">
        <f>VLOOKUP(A121,'EXPORT IRIS PROD 13-11-2024'!A:A,1,0)</f>
        <v>ALR_DIAGNOSTICA_IN_ERR-Allarme diagnostica in errore</v>
      </c>
      <c r="C121" t="str">
        <f>VLOOKUP(F121,'EXPORT IRIS PROD 13-11-2024'!F:F,1,0)</f>
        <v>ALR_DIAGNOSTICA_IN_ERR</v>
      </c>
      <c r="D121" t="str">
        <f>VLOOKUP(G121,'EXPORT IRIS PROD 13-11-2024'!D:D,1,0)</f>
        <v>Allarme diagnostica in errore</v>
      </c>
      <c r="E121" s="37" t="s">
        <v>16</v>
      </c>
      <c r="F121" s="38" t="s">
        <v>287</v>
      </c>
      <c r="G121" s="38" t="s">
        <v>288</v>
      </c>
      <c r="H121" s="39" t="s">
        <v>19</v>
      </c>
      <c r="I121" s="39" t="s">
        <v>258</v>
      </c>
      <c r="J121" s="40" t="s">
        <v>21</v>
      </c>
      <c r="K121" s="41" t="s">
        <v>22</v>
      </c>
      <c r="L121" s="42" t="s">
        <v>23</v>
      </c>
      <c r="M121" s="43" t="s">
        <v>24</v>
      </c>
      <c r="N121" s="42" t="s">
        <v>25</v>
      </c>
      <c r="O121" s="42" t="s">
        <v>21</v>
      </c>
      <c r="P121" s="44"/>
    </row>
    <row r="122" spans="1:16" ht="15" customHeight="1" x14ac:dyDescent="0.25">
      <c r="A122" t="str">
        <f t="shared" si="1"/>
        <v>ALR_DIFFERENZIALE-Allarme differenziale</v>
      </c>
      <c r="B122" t="str">
        <f>VLOOKUP(A122,'EXPORT IRIS PROD 13-11-2024'!A:A,1,0)</f>
        <v>ALR_DIFFERENZIALE-Allarme differenziale</v>
      </c>
      <c r="C122" t="str">
        <f>VLOOKUP(F122,'EXPORT IRIS PROD 13-11-2024'!F:F,1,0)</f>
        <v>ALR_DIFFERENZIALE</v>
      </c>
      <c r="D122" t="str">
        <f>VLOOKUP(G122,'EXPORT IRIS PROD 13-11-2024'!D:D,1,0)</f>
        <v>Allarme differenziale</v>
      </c>
      <c r="E122" s="37" t="s">
        <v>53</v>
      </c>
      <c r="F122" s="38" t="s">
        <v>289</v>
      </c>
      <c r="G122" s="38" t="s">
        <v>290</v>
      </c>
      <c r="H122" s="39" t="s">
        <v>56</v>
      </c>
      <c r="I122" s="39" t="s">
        <v>291</v>
      </c>
      <c r="J122" s="40" t="s">
        <v>21</v>
      </c>
      <c r="K122" s="41" t="s">
        <v>22</v>
      </c>
      <c r="L122" s="42" t="s">
        <v>23</v>
      </c>
      <c r="M122" s="43" t="s">
        <v>24</v>
      </c>
      <c r="N122" s="42" t="s">
        <v>25</v>
      </c>
      <c r="O122" s="42" t="s">
        <v>21</v>
      </c>
      <c r="P122" s="44"/>
    </row>
    <row r="123" spans="1:16" customFormat="1" ht="15" customHeight="1" x14ac:dyDescent="0.25">
      <c r="A123" t="str">
        <f t="shared" si="1"/>
        <v>ALR_DIRETTI-Allarmi diretti: Sala pompe</v>
      </c>
      <c r="B123" t="str">
        <f>VLOOKUP(A123,'EXPORT IRIS PROD 13-11-2024'!A:A,1,0)</f>
        <v>ALR_DIRETTI-Allarmi diretti: Sala pompe</v>
      </c>
      <c r="C123" t="str">
        <f>VLOOKUP(F123,'EXPORT IRIS PROD 13-11-2024'!F:F,1,0)</f>
        <v>ALR_DIRETTI</v>
      </c>
      <c r="D123" t="str">
        <f>VLOOKUP(G123,'EXPORT IRIS PROD 13-11-2024'!D:D,1,0)</f>
        <v>Allarmi diretti: Sala pompe</v>
      </c>
      <c r="E123" s="37" t="s">
        <v>35</v>
      </c>
      <c r="F123" s="38" t="s">
        <v>292</v>
      </c>
      <c r="G123" s="38" t="s">
        <v>293</v>
      </c>
      <c r="H123" s="39" t="s">
        <v>38</v>
      </c>
      <c r="I123" s="39" t="s">
        <v>130</v>
      </c>
      <c r="J123" s="40" t="s">
        <v>21</v>
      </c>
      <c r="K123" s="41" t="s">
        <v>22</v>
      </c>
      <c r="L123" s="42" t="s">
        <v>23</v>
      </c>
      <c r="M123" s="43" t="s">
        <v>157</v>
      </c>
      <c r="N123" s="42" t="s">
        <v>158</v>
      </c>
      <c r="O123" s="42" t="s">
        <v>21</v>
      </c>
      <c r="P123" s="51"/>
    </row>
    <row r="124" spans="1:16" customFormat="1" ht="15" customHeight="1" x14ac:dyDescent="0.25">
      <c r="A124" t="str">
        <f t="shared" si="1"/>
        <v>ALR_DISCONNESSO-Allarme sensore disconnesso</v>
      </c>
      <c r="B124" t="str">
        <f>VLOOKUP(A124,'EXPORT IRIS PROD 13-11-2024'!A:A,1,0)</f>
        <v>ALR_DISCONNESSO-Allarme sensore disconnesso</v>
      </c>
      <c r="C124" t="str">
        <f>VLOOKUP(F124,'EXPORT IRIS PROD 13-11-2024'!F:F,1,0)</f>
        <v>ALR_DISCONNESSO</v>
      </c>
      <c r="D124" t="str">
        <f>VLOOKUP(G124,'EXPORT IRIS PROD 13-11-2024'!D:D,1,0)</f>
        <v>Allarme sensore disconnesso</v>
      </c>
      <c r="E124" s="37" t="s">
        <v>85</v>
      </c>
      <c r="F124" s="38" t="s">
        <v>294</v>
      </c>
      <c r="G124" s="38" t="s">
        <v>295</v>
      </c>
      <c r="H124" s="39" t="s">
        <v>50</v>
      </c>
      <c r="I124" s="39" t="s">
        <v>88</v>
      </c>
      <c r="J124" s="40" t="s">
        <v>21</v>
      </c>
      <c r="K124" s="41" t="s">
        <v>22</v>
      </c>
      <c r="L124" s="42" t="s">
        <v>23</v>
      </c>
      <c r="M124" s="43" t="s">
        <v>24</v>
      </c>
      <c r="N124" s="42" t="s">
        <v>25</v>
      </c>
      <c r="O124" s="42" t="s">
        <v>21</v>
      </c>
      <c r="P124" s="44"/>
    </row>
    <row r="125" spans="1:16" customFormat="1" ht="15" customHeight="1" x14ac:dyDescent="0.25">
      <c r="A125" t="str">
        <f t="shared" si="1"/>
        <v>ALR_DISCONNESSO-Allarme sensore disconnesso</v>
      </c>
      <c r="B125" t="str">
        <f>VLOOKUP(A125,'EXPORT IRIS PROD 13-11-2024'!A:A,1,0)</f>
        <v>ALR_DISCONNESSO-Allarme sensore disconnesso</v>
      </c>
      <c r="C125" t="str">
        <f>VLOOKUP(F125,'EXPORT IRIS PROD 13-11-2024'!F:F,1,0)</f>
        <v>ALR_DISCONNESSO</v>
      </c>
      <c r="D125" t="str">
        <f>VLOOKUP(G125,'EXPORT IRIS PROD 13-11-2024'!D:D,1,0)</f>
        <v>Allarme sensore disconnesso</v>
      </c>
      <c r="E125" s="37" t="s">
        <v>85</v>
      </c>
      <c r="F125" s="38" t="s">
        <v>294</v>
      </c>
      <c r="G125" s="38" t="s">
        <v>295</v>
      </c>
      <c r="H125" s="39" t="s">
        <v>50</v>
      </c>
      <c r="I125" s="39" t="s">
        <v>51</v>
      </c>
      <c r="J125" s="40" t="s">
        <v>21</v>
      </c>
      <c r="K125" s="41" t="s">
        <v>22</v>
      </c>
      <c r="L125" s="42" t="s">
        <v>23</v>
      </c>
      <c r="M125" s="43" t="s">
        <v>24</v>
      </c>
      <c r="N125" s="42" t="s">
        <v>25</v>
      </c>
      <c r="O125" s="42" t="s">
        <v>21</v>
      </c>
      <c r="P125" s="44"/>
    </row>
    <row r="126" spans="1:16" customFormat="1" ht="15" customHeight="1" x14ac:dyDescent="0.25">
      <c r="A126" t="str">
        <f t="shared" si="1"/>
        <v>ALR_DISCONNESSO-Allarme sensore disconnesso</v>
      </c>
      <c r="B126" t="str">
        <f>VLOOKUP(A126,'EXPORT IRIS PROD 13-11-2024'!A:A,1,0)</f>
        <v>ALR_DISCONNESSO-Allarme sensore disconnesso</v>
      </c>
      <c r="C126" t="str">
        <f>VLOOKUP(F126,'EXPORT IRIS PROD 13-11-2024'!F:F,1,0)</f>
        <v>ALR_DISCONNESSO</v>
      </c>
      <c r="D126" t="str">
        <f>VLOOKUP(G126,'EXPORT IRIS PROD 13-11-2024'!D:D,1,0)</f>
        <v>Allarme sensore disconnesso</v>
      </c>
      <c r="E126" s="37" t="s">
        <v>85</v>
      </c>
      <c r="F126" s="38" t="s">
        <v>294</v>
      </c>
      <c r="G126" s="38" t="s">
        <v>295</v>
      </c>
      <c r="H126" s="39" t="s">
        <v>50</v>
      </c>
      <c r="I126" s="39" t="s">
        <v>52</v>
      </c>
      <c r="J126" s="40" t="s">
        <v>21</v>
      </c>
      <c r="K126" s="41" t="s">
        <v>22</v>
      </c>
      <c r="L126" s="42" t="s">
        <v>23</v>
      </c>
      <c r="M126" s="43" t="s">
        <v>24</v>
      </c>
      <c r="N126" s="42" t="s">
        <v>25</v>
      </c>
      <c r="O126" s="42" t="s">
        <v>21</v>
      </c>
      <c r="P126" s="44"/>
    </row>
    <row r="127" spans="1:16" customFormat="1" ht="15" customHeight="1" x14ac:dyDescent="0.25">
      <c r="A127" t="str">
        <f t="shared" si="1"/>
        <v>ALR_DISTACCO_TRAFO-Allarme distacco trafo</v>
      </c>
      <c r="B127" t="str">
        <f>VLOOKUP(A127,'EXPORT IRIS PROD 13-11-2024'!A:A,1,0)</f>
        <v>ALR_DISTACCO_TRAFO-Allarme distacco trafo</v>
      </c>
      <c r="C127" t="str">
        <f>VLOOKUP(F127,'EXPORT IRIS PROD 13-11-2024'!F:F,1,0)</f>
        <v>ALR_DISTACCO_TRAFO</v>
      </c>
      <c r="D127" t="str">
        <f>VLOOKUP(G127,'EXPORT IRIS PROD 13-11-2024'!D:D,1,0)</f>
        <v>Allarme distacco trafo</v>
      </c>
      <c r="E127" s="37" t="s">
        <v>53</v>
      </c>
      <c r="F127" s="38" t="s">
        <v>296</v>
      </c>
      <c r="G127" s="38" t="s">
        <v>297</v>
      </c>
      <c r="H127" s="39" t="s">
        <v>56</v>
      </c>
      <c r="I127" s="39" t="s">
        <v>208</v>
      </c>
      <c r="J127" s="40" t="s">
        <v>21</v>
      </c>
      <c r="K127" s="41" t="s">
        <v>22</v>
      </c>
      <c r="L127" s="42" t="s">
        <v>23</v>
      </c>
      <c r="M127" s="43" t="s">
        <v>24</v>
      </c>
      <c r="N127" s="42" t="s">
        <v>25</v>
      </c>
      <c r="O127" s="42" t="s">
        <v>21</v>
      </c>
      <c r="P127" s="44"/>
    </row>
    <row r="128" spans="1:16" customFormat="1" ht="15" customHeight="1" x14ac:dyDescent="0.25">
      <c r="A128" t="str">
        <f t="shared" si="1"/>
        <v>ALR_ELETTROPOMPA_AVVIATA-Allarme elettropompa avviata</v>
      </c>
      <c r="B128" t="str">
        <f>VLOOKUP(A128,'EXPORT IRIS PROD 13-11-2024'!A:A,1,0)</f>
        <v>ALR_ELETTROPOMPA_AVVIATA-Allarme elettropompa avviata</v>
      </c>
      <c r="C128" t="str">
        <f>VLOOKUP(F128,'EXPORT IRIS PROD 13-11-2024'!F:F,1,0)</f>
        <v>ALR_ELETTROPOMPA_AVVIATA</v>
      </c>
      <c r="D128" t="str">
        <f>VLOOKUP(G128,'EXPORT IRIS PROD 13-11-2024'!D:D,1,0)</f>
        <v>Allarme elettropompa avviata</v>
      </c>
      <c r="E128" s="37" t="s">
        <v>298</v>
      </c>
      <c r="F128" s="38" t="s">
        <v>299</v>
      </c>
      <c r="G128" s="38" t="s">
        <v>300</v>
      </c>
      <c r="H128" s="39" t="s">
        <v>38</v>
      </c>
      <c r="I128" s="39" t="s">
        <v>301</v>
      </c>
      <c r="J128" s="40" t="s">
        <v>31</v>
      </c>
      <c r="K128" s="41" t="s">
        <v>32</v>
      </c>
      <c r="L128" s="43">
        <v>2</v>
      </c>
      <c r="M128" s="43" t="s">
        <v>33</v>
      </c>
      <c r="N128" s="42" t="s">
        <v>34</v>
      </c>
      <c r="O128" s="42" t="s">
        <v>31</v>
      </c>
      <c r="P128" s="44"/>
    </row>
    <row r="129" spans="1:16" customFormat="1" ht="15" customHeight="1" x14ac:dyDescent="0.25">
      <c r="A129" t="str">
        <f t="shared" si="1"/>
        <v>ALR_ELETTROVALVOLA_APERTA-Allarme elettrovalvola antincendio aperta</v>
      </c>
      <c r="B129" t="str">
        <f>VLOOKUP(A129,'EXPORT IRIS PROD 13-11-2024'!A:A,1,0)</f>
        <v>ALR_ELETTROVALVOLA_APERTA-Allarme elettrovalvola antincendio aperta</v>
      </c>
      <c r="C129" t="str">
        <f>VLOOKUP(F129,'EXPORT IRIS PROD 13-11-2024'!F:F,1,0)</f>
        <v>ALR_ELETTROVALVOLA_APERTA</v>
      </c>
      <c r="D129" t="str">
        <f>VLOOKUP(G129,'EXPORT IRIS PROD 13-11-2024'!D:D,1,0)</f>
        <v>Allarme elettrovalvola antincendio aperta</v>
      </c>
      <c r="E129" s="37" t="s">
        <v>298</v>
      </c>
      <c r="F129" s="38" t="s">
        <v>302</v>
      </c>
      <c r="G129" s="38" t="s">
        <v>303</v>
      </c>
      <c r="H129" s="39" t="s">
        <v>38</v>
      </c>
      <c r="I129" s="39" t="s">
        <v>304</v>
      </c>
      <c r="J129" s="40" t="s">
        <v>21</v>
      </c>
      <c r="K129" s="41" t="s">
        <v>22</v>
      </c>
      <c r="L129" s="42" t="s">
        <v>23</v>
      </c>
      <c r="M129" s="43" t="s">
        <v>24</v>
      </c>
      <c r="N129" s="42" t="s">
        <v>25</v>
      </c>
      <c r="O129" s="42" t="s">
        <v>21</v>
      </c>
      <c r="P129" s="52"/>
    </row>
    <row r="130" spans="1:16" customFormat="1" ht="15" customHeight="1" x14ac:dyDescent="0.25">
      <c r="A130" t="str">
        <f t="shared" si="1"/>
        <v>ALR_ERRORE_COMUNICAZIONE-Allarme errore comunicazione dispositivo</v>
      </c>
      <c r="B130" t="str">
        <f>VLOOKUP(A130,'EXPORT IRIS PROD 13-11-2024'!A:A,1,0)</f>
        <v>ALR_ERRORE_COMUNICAZIONE-Allarme errore comunicazione dispositivo</v>
      </c>
      <c r="C130" t="str">
        <f>VLOOKUP(F130,'EXPORT IRIS PROD 13-11-2024'!F:F,1,0)</f>
        <v>ALR_ERRORE_COMUNICAZIONE</v>
      </c>
      <c r="D130" t="str">
        <f>VLOOKUP(G130,'EXPORT IRIS PROD 13-11-2024'!D:D,1,0)</f>
        <v>Allarme errore comunicazione dispositivo</v>
      </c>
      <c r="E130" s="37" t="s">
        <v>53</v>
      </c>
      <c r="F130" s="38" t="s">
        <v>305</v>
      </c>
      <c r="G130" s="38" t="s">
        <v>306</v>
      </c>
      <c r="H130" s="39" t="s">
        <v>56</v>
      </c>
      <c r="I130" s="39" t="s">
        <v>57</v>
      </c>
      <c r="J130" s="40" t="s">
        <v>21</v>
      </c>
      <c r="K130" s="41" t="s">
        <v>22</v>
      </c>
      <c r="L130" s="42" t="s">
        <v>23</v>
      </c>
      <c r="M130" s="43" t="s">
        <v>24</v>
      </c>
      <c r="N130" s="42" t="s">
        <v>25</v>
      </c>
      <c r="O130" s="42" t="s">
        <v>21</v>
      </c>
      <c r="P130" s="44"/>
    </row>
    <row r="131" spans="1:16" customFormat="1" ht="15" customHeight="1" x14ac:dyDescent="0.25">
      <c r="A131" t="str">
        <f t="shared" ref="A131:A194" si="2">CONCATENATE(F131,"-",G131)</f>
        <v>ALR_ERRORE_ESECUZIONE_CMD-Allarme esecuzione comandi</v>
      </c>
      <c r="B131" t="str">
        <f>VLOOKUP(A131,'EXPORT IRIS PROD 13-11-2024'!A:A,1,0)</f>
        <v>ALR_ERRORE_ESECUZIONE_CMD-Allarme esecuzione comandi</v>
      </c>
      <c r="C131" t="str">
        <f>VLOOKUP(F131,'EXPORT IRIS PROD 13-11-2024'!F:F,1,0)</f>
        <v>ALR_ERRORE_ESECUZIONE_CMD</v>
      </c>
      <c r="D131" t="str">
        <f>VLOOKUP(G131,'EXPORT IRIS PROD 13-11-2024'!D:D,1,0)</f>
        <v>Allarme esecuzione comandi</v>
      </c>
      <c r="E131" s="37" t="s">
        <v>109</v>
      </c>
      <c r="F131" s="38" t="s">
        <v>307</v>
      </c>
      <c r="G131" s="38" t="s">
        <v>308</v>
      </c>
      <c r="H131" s="39" t="s">
        <v>111</v>
      </c>
      <c r="I131" s="39" t="s">
        <v>127</v>
      </c>
      <c r="J131" s="40" t="s">
        <v>21</v>
      </c>
      <c r="K131" s="41" t="s">
        <v>22</v>
      </c>
      <c r="L131" s="42" t="s">
        <v>23</v>
      </c>
      <c r="M131" s="43" t="s">
        <v>24</v>
      </c>
      <c r="N131" s="42" t="s">
        <v>25</v>
      </c>
      <c r="O131" s="42" t="s">
        <v>21</v>
      </c>
      <c r="P131" s="44"/>
    </row>
    <row r="132" spans="1:16" customFormat="1" ht="15" customHeight="1" x14ac:dyDescent="0.25">
      <c r="A132" t="str">
        <f t="shared" si="2"/>
        <v>ALR_ESCLUSIONE-Allarme esclusione</v>
      </c>
      <c r="B132" t="str">
        <f>VLOOKUP(A132,'EXPORT IRIS PROD 13-11-2024'!A:A,1,0)</f>
        <v>ALR_ESCLUSIONE-Allarme esclusione</v>
      </c>
      <c r="C132" t="str">
        <f>VLOOKUP(F132,'EXPORT IRIS PROD 13-11-2024'!F:F,1,0)</f>
        <v>ALR_ESCLUSIONE</v>
      </c>
      <c r="D132" t="str">
        <f>VLOOKUP(G132,'EXPORT IRIS PROD 13-11-2024'!D:D,1,0)</f>
        <v>Allarme esclusione</v>
      </c>
      <c r="E132" s="37" t="s">
        <v>85</v>
      </c>
      <c r="F132" s="38" t="s">
        <v>309</v>
      </c>
      <c r="G132" s="38" t="s">
        <v>310</v>
      </c>
      <c r="H132" s="39" t="s">
        <v>50</v>
      </c>
      <c r="I132" s="39" t="s">
        <v>52</v>
      </c>
      <c r="J132" s="40" t="s">
        <v>21</v>
      </c>
      <c r="K132" s="41" t="s">
        <v>22</v>
      </c>
      <c r="L132" s="42" t="s">
        <v>23</v>
      </c>
      <c r="M132" s="43" t="s">
        <v>24</v>
      </c>
      <c r="N132" s="42" t="s">
        <v>25</v>
      </c>
      <c r="O132" s="42" t="s">
        <v>21</v>
      </c>
      <c r="P132" s="44"/>
    </row>
    <row r="133" spans="1:16" customFormat="1" ht="15" customHeight="1" x14ac:dyDescent="0.25">
      <c r="A133" t="str">
        <f t="shared" si="2"/>
        <v>ALR_ESCLUSO_AUTO_MOTOPOMPA-Allarme esclusione Motopompa</v>
      </c>
      <c r="B133" t="str">
        <f>VLOOKUP(A133,'EXPORT IRIS PROD 13-11-2024'!A:A,1,0)</f>
        <v>ALR_ESCLUSO_AUTO_MOTOPOMPA-Allarme esclusione Motopompa</v>
      </c>
      <c r="C133" t="str">
        <f>VLOOKUP(F133,'EXPORT IRIS PROD 13-11-2024'!F:F,1,0)</f>
        <v>ALR_ESCLUSO_AUTO_MOTOPOMPA</v>
      </c>
      <c r="D133" t="str">
        <f>VLOOKUP(G133,'EXPORT IRIS PROD 13-11-2024'!D:D,1,0)</f>
        <v>Allarme esclusione Motopompa</v>
      </c>
      <c r="E133" s="37" t="s">
        <v>35</v>
      </c>
      <c r="F133" s="38" t="s">
        <v>311</v>
      </c>
      <c r="G133" s="38" t="s">
        <v>312</v>
      </c>
      <c r="H133" s="39" t="s">
        <v>38</v>
      </c>
      <c r="I133" s="39" t="s">
        <v>172</v>
      </c>
      <c r="J133" s="40" t="s">
        <v>21</v>
      </c>
      <c r="K133" s="41" t="s">
        <v>22</v>
      </c>
      <c r="L133" s="42" t="s">
        <v>23</v>
      </c>
      <c r="M133" s="43" t="s">
        <v>24</v>
      </c>
      <c r="N133" s="42" t="s">
        <v>25</v>
      </c>
      <c r="O133" s="42" t="s">
        <v>21</v>
      </c>
      <c r="P133" s="44"/>
    </row>
    <row r="134" spans="1:16" customFormat="1" ht="15" customHeight="1" x14ac:dyDescent="0.25">
      <c r="A134" t="str">
        <f t="shared" si="2"/>
        <v>ALR_ESTRAZIONE_ESTINTORE-Allarme SOS estintore estratto</v>
      </c>
      <c r="B134" t="str">
        <f>VLOOKUP(A134,'EXPORT IRIS PROD 13-11-2024'!A:A,1,0)</f>
        <v>ALR_ESTRAZIONE_ESTINTORE-Allarme SOS estintore estratto</v>
      </c>
      <c r="C134" t="str">
        <f>VLOOKUP(F134,'EXPORT IRIS PROD 13-11-2024'!F:F,1,0)</f>
        <v>ALR_ESTRAZIONE_ESTINTORE</v>
      </c>
      <c r="D134" t="str">
        <f>VLOOKUP(G134,'EXPORT IRIS PROD 13-11-2024'!D:D,1,0)</f>
        <v>Allarme SOS estintore estratto</v>
      </c>
      <c r="E134" s="37" t="s">
        <v>26</v>
      </c>
      <c r="F134" s="38" t="s">
        <v>313</v>
      </c>
      <c r="G134" s="45" t="s">
        <v>314</v>
      </c>
      <c r="H134" s="46" t="s">
        <v>29</v>
      </c>
      <c r="I134" s="46" t="s">
        <v>30</v>
      </c>
      <c r="J134" s="47" t="s">
        <v>31</v>
      </c>
      <c r="K134" s="48" t="s">
        <v>32</v>
      </c>
      <c r="L134" s="43">
        <v>1</v>
      </c>
      <c r="M134" s="43" t="s">
        <v>24</v>
      </c>
      <c r="N134" s="43" t="s">
        <v>25</v>
      </c>
      <c r="O134" s="42" t="s">
        <v>21</v>
      </c>
      <c r="P134" s="49"/>
    </row>
    <row r="135" spans="1:16" customFormat="1" ht="15" customHeight="1" x14ac:dyDescent="0.25">
      <c r="A135" t="str">
        <f t="shared" si="2"/>
        <v>ALR_ESTRAZIONE_ESTINTORE_2-Allarme SOS estintore 2 estratto</v>
      </c>
      <c r="B135" t="str">
        <f>VLOOKUP(A135,'EXPORT IRIS PROD 13-11-2024'!A:A,1,0)</f>
        <v>ALR_ESTRAZIONE_ESTINTORE_2-Allarme SOS estintore 2 estratto</v>
      </c>
      <c r="C135" t="str">
        <f>VLOOKUP(F135,'EXPORT IRIS PROD 13-11-2024'!F:F,1,0)</f>
        <v>ALR_ESTRAZIONE_ESTINTORE_2</v>
      </c>
      <c r="D135" t="str">
        <f>VLOOKUP(G135,'EXPORT IRIS PROD 13-11-2024'!D:D,1,0)</f>
        <v>Allarme SOS estintore 2 estratto</v>
      </c>
      <c r="E135" s="37" t="s">
        <v>26</v>
      </c>
      <c r="F135" s="38" t="s">
        <v>315</v>
      </c>
      <c r="G135" s="45" t="s">
        <v>316</v>
      </c>
      <c r="H135" s="46" t="s">
        <v>29</v>
      </c>
      <c r="I135" s="46" t="s">
        <v>30</v>
      </c>
      <c r="J135" s="47" t="s">
        <v>31</v>
      </c>
      <c r="K135" s="48" t="s">
        <v>32</v>
      </c>
      <c r="L135" s="43">
        <v>1</v>
      </c>
      <c r="M135" s="43" t="s">
        <v>24</v>
      </c>
      <c r="N135" s="43" t="s">
        <v>25</v>
      </c>
      <c r="O135" s="42" t="s">
        <v>21</v>
      </c>
      <c r="P135" s="49"/>
    </row>
    <row r="136" spans="1:16" customFormat="1" ht="15" customHeight="1" x14ac:dyDescent="0.25">
      <c r="A136" t="str">
        <f t="shared" si="2"/>
        <v>ALR_FILO_ISOLATO-Allarme filo D+ isolato</v>
      </c>
      <c r="B136" t="str">
        <f>VLOOKUP(A136,'EXPORT IRIS PROD 13-11-2024'!A:A,1,0)</f>
        <v>ALR_FILO_ISOLATO-Allarme filo D+ isolato</v>
      </c>
      <c r="C136" t="str">
        <f>VLOOKUP(F136,'EXPORT IRIS PROD 13-11-2024'!F:F,1,0)</f>
        <v>ALR_FILO_ISOLATO</v>
      </c>
      <c r="D136" t="str">
        <f>VLOOKUP(G136,'EXPORT IRIS PROD 13-11-2024'!D:D,1,0)</f>
        <v>Allarme filo D+ isolato</v>
      </c>
      <c r="E136" s="37" t="s">
        <v>53</v>
      </c>
      <c r="F136" s="38" t="s">
        <v>317</v>
      </c>
      <c r="G136" s="38" t="s">
        <v>318</v>
      </c>
      <c r="H136" s="39" t="s">
        <v>56</v>
      </c>
      <c r="I136" s="39" t="s">
        <v>57</v>
      </c>
      <c r="J136" s="40" t="s">
        <v>21</v>
      </c>
      <c r="K136" s="41" t="s">
        <v>22</v>
      </c>
      <c r="L136" s="42" t="s">
        <v>23</v>
      </c>
      <c r="M136" s="43" t="s">
        <v>24</v>
      </c>
      <c r="N136" s="42" t="s">
        <v>25</v>
      </c>
      <c r="O136" s="42" t="s">
        <v>21</v>
      </c>
      <c r="P136" s="44"/>
    </row>
    <row r="137" spans="1:16" customFormat="1" ht="15" customHeight="1" x14ac:dyDescent="0.25">
      <c r="A137" t="str">
        <f t="shared" si="2"/>
        <v>ALR_FILO_PRESSIONE_OLIO-Allarme filo pressione olio</v>
      </c>
      <c r="B137" t="str">
        <f>VLOOKUP(A137,'EXPORT IRIS PROD 13-11-2024'!A:A,1,0)</f>
        <v>ALR_FILO_PRESSIONE_OLIO-Allarme filo pressione olio</v>
      </c>
      <c r="C137" t="str">
        <f>VLOOKUP(F137,'EXPORT IRIS PROD 13-11-2024'!F:F,1,0)</f>
        <v>ALR_FILO_PRESSIONE_OLIO</v>
      </c>
      <c r="D137" t="str">
        <f>VLOOKUP(G137,'EXPORT IRIS PROD 13-11-2024'!D:D,1,0)</f>
        <v>Allarme filo pressione olio</v>
      </c>
      <c r="E137" s="37" t="s">
        <v>53</v>
      </c>
      <c r="F137" s="38" t="s">
        <v>319</v>
      </c>
      <c r="G137" s="38" t="s">
        <v>320</v>
      </c>
      <c r="H137" s="39" t="s">
        <v>56</v>
      </c>
      <c r="I137" s="39" t="s">
        <v>57</v>
      </c>
      <c r="J137" s="40" t="s">
        <v>21</v>
      </c>
      <c r="K137" s="41" t="s">
        <v>22</v>
      </c>
      <c r="L137" s="42" t="s">
        <v>23</v>
      </c>
      <c r="M137" s="43" t="s">
        <v>24</v>
      </c>
      <c r="N137" s="42" t="s">
        <v>25</v>
      </c>
      <c r="O137" s="42" t="s">
        <v>21</v>
      </c>
      <c r="P137" s="44"/>
    </row>
    <row r="138" spans="1:16" customFormat="1" ht="15" customHeight="1" x14ac:dyDescent="0.25">
      <c r="A138" t="str">
        <f t="shared" si="2"/>
        <v>ALR_FORZA_REMOTO-Allarme forzatura remoto</v>
      </c>
      <c r="B138" t="str">
        <f>VLOOKUP(A138,'EXPORT IRIS PROD 13-11-2024'!A:A,1,0)</f>
        <v>ALR_FORZA_REMOTO-Allarme forzatura remoto</v>
      </c>
      <c r="C138" t="str">
        <f>VLOOKUP(F138,'EXPORT IRIS PROD 13-11-2024'!F:F,1,0)</f>
        <v>ALR_FORZA_REMOTO</v>
      </c>
      <c r="D138" t="str">
        <f>VLOOKUP(G138,'EXPORT IRIS PROD 13-11-2024'!D:D,1,0)</f>
        <v>Allarme forzatura remoto</v>
      </c>
      <c r="E138" s="37" t="s">
        <v>16</v>
      </c>
      <c r="F138" s="38" t="s">
        <v>321</v>
      </c>
      <c r="G138" s="38" t="s">
        <v>322</v>
      </c>
      <c r="H138" s="39" t="s">
        <v>19</v>
      </c>
      <c r="I138" s="39" t="s">
        <v>167</v>
      </c>
      <c r="J138" s="40" t="s">
        <v>21</v>
      </c>
      <c r="K138" s="41" t="s">
        <v>22</v>
      </c>
      <c r="L138" s="42" t="s">
        <v>23</v>
      </c>
      <c r="M138" s="43" t="s">
        <v>24</v>
      </c>
      <c r="N138" s="42" t="s">
        <v>25</v>
      </c>
      <c r="O138" s="42" t="s">
        <v>21</v>
      </c>
      <c r="P138" s="44"/>
    </row>
    <row r="139" spans="1:16" customFormat="1" ht="15" customHeight="1" x14ac:dyDescent="0.25">
      <c r="A139" t="str">
        <f t="shared" si="2"/>
        <v>ALR_FREQUENZA_FUORI_SOGLIA-Allarme frequenza fuori soglia</v>
      </c>
      <c r="B139" t="str">
        <f>VLOOKUP(A139,'EXPORT IRIS PROD 13-11-2024'!A:A,1,0)</f>
        <v>ALR_FREQUENZA_FUORI_SOGLIA-Allarme frequenza fuori soglia</v>
      </c>
      <c r="C139" t="str">
        <f>VLOOKUP(F139,'EXPORT IRIS PROD 13-11-2024'!F:F,1,0)</f>
        <v>ALR_FREQUENZA_FUORI_SOGLIA</v>
      </c>
      <c r="D139" t="str">
        <f>VLOOKUP(G139,'EXPORT IRIS PROD 13-11-2024'!D:D,1,0)</f>
        <v>Allarme frequenza fuori soglia</v>
      </c>
      <c r="E139" s="37" t="s">
        <v>53</v>
      </c>
      <c r="F139" s="38" t="s">
        <v>323</v>
      </c>
      <c r="G139" s="38" t="s">
        <v>324</v>
      </c>
      <c r="H139" s="39" t="s">
        <v>56</v>
      </c>
      <c r="I139" s="39" t="s">
        <v>57</v>
      </c>
      <c r="J139" s="40" t="s">
        <v>21</v>
      </c>
      <c r="K139" s="41" t="s">
        <v>22</v>
      </c>
      <c r="L139" s="42" t="s">
        <v>23</v>
      </c>
      <c r="M139" s="43" t="s">
        <v>24</v>
      </c>
      <c r="N139" s="42" t="s">
        <v>25</v>
      </c>
      <c r="O139" s="42" t="s">
        <v>21</v>
      </c>
      <c r="P139" s="44"/>
    </row>
    <row r="140" spans="1:16" customFormat="1" ht="15" customHeight="1" x14ac:dyDescent="0.25">
      <c r="A140" t="str">
        <f t="shared" si="2"/>
        <v xml:space="preserve">ALR_FUSIBILE_ALIM_GATEWAY-Allarme fusibile alim. gateway </v>
      </c>
      <c r="B140" t="str">
        <f>VLOOKUP(A140,'EXPORT IRIS PROD 13-11-2024'!A:A,1,0)</f>
        <v xml:space="preserve">ALR_FUSIBILE_ALIM_GATEWAY-Allarme fusibile alim. gateway </v>
      </c>
      <c r="C140" t="str">
        <f>VLOOKUP(F140,'EXPORT IRIS PROD 13-11-2024'!F:F,1,0)</f>
        <v>ALR_FUSIBILE_ALIM_GATEWAY</v>
      </c>
      <c r="D140" t="str">
        <f>VLOOKUP(G140,'EXPORT IRIS PROD 13-11-2024'!D:D,1,0)</f>
        <v xml:space="preserve">Allarme fusibile alim. gateway </v>
      </c>
      <c r="E140" s="37" t="s">
        <v>53</v>
      </c>
      <c r="F140" s="38" t="s">
        <v>325</v>
      </c>
      <c r="G140" s="38" t="s">
        <v>326</v>
      </c>
      <c r="H140" s="39" t="s">
        <v>56</v>
      </c>
      <c r="I140" s="39" t="s">
        <v>327</v>
      </c>
      <c r="J140" s="40" t="s">
        <v>21</v>
      </c>
      <c r="K140" s="41" t="s">
        <v>22</v>
      </c>
      <c r="L140" s="42" t="s">
        <v>23</v>
      </c>
      <c r="M140" s="43" t="s">
        <v>24</v>
      </c>
      <c r="N140" s="42" t="s">
        <v>25</v>
      </c>
      <c r="O140" s="42" t="s">
        <v>21</v>
      </c>
      <c r="P140" s="44"/>
    </row>
    <row r="141" spans="1:16" customFormat="1" ht="15" customHeight="1" x14ac:dyDescent="0.25">
      <c r="A141" t="str">
        <f t="shared" si="2"/>
        <v>ALR_FUSIBILE_CONVERTITORE_DC-Allarme fusibile convertitore DC</v>
      </c>
      <c r="B141" t="str">
        <f>VLOOKUP(A141,'EXPORT IRIS PROD 13-11-2024'!A:A,1,0)</f>
        <v>ALR_FUSIBILE_CONVERTITORE_DC-Allarme fusibile convertitore DC</v>
      </c>
      <c r="C141" t="str">
        <f>VLOOKUP(F141,'EXPORT IRIS PROD 13-11-2024'!F:F,1,0)</f>
        <v>ALR_FUSIBILE_CONVERTITORE_DC</v>
      </c>
      <c r="D141" t="str">
        <f>VLOOKUP(G141,'EXPORT IRIS PROD 13-11-2024'!D:D,1,0)</f>
        <v>Allarme fusibile convertitore DC</v>
      </c>
      <c r="E141" s="37" t="s">
        <v>53</v>
      </c>
      <c r="F141" s="38" t="s">
        <v>328</v>
      </c>
      <c r="G141" s="38" t="s">
        <v>329</v>
      </c>
      <c r="H141" s="39" t="s">
        <v>56</v>
      </c>
      <c r="I141" s="39" t="s">
        <v>327</v>
      </c>
      <c r="J141" s="40" t="s">
        <v>21</v>
      </c>
      <c r="K141" s="41" t="s">
        <v>22</v>
      </c>
      <c r="L141" s="42" t="s">
        <v>23</v>
      </c>
      <c r="M141" s="43" t="s">
        <v>24</v>
      </c>
      <c r="N141" s="42" t="s">
        <v>25</v>
      </c>
      <c r="O141" s="42" t="s">
        <v>21</v>
      </c>
      <c r="P141" s="44"/>
    </row>
    <row r="142" spans="1:16" customFormat="1" ht="15" customHeight="1" x14ac:dyDescent="0.25">
      <c r="A142" t="str">
        <f t="shared" si="2"/>
        <v>ALR_FUSIBILE_CORONA_LED_PALO-Allarme fusibile corona LED palo</v>
      </c>
      <c r="B142" t="str">
        <f>VLOOKUP(A142,'EXPORT IRIS PROD 13-11-2024'!A:A,1,0)</f>
        <v>ALR_FUSIBILE_CORONA_LED_PALO-Allarme fusibile corona LED palo</v>
      </c>
      <c r="C142" t="str">
        <f>VLOOKUP(F142,'EXPORT IRIS PROD 13-11-2024'!F:F,1,0)</f>
        <v>ALR_FUSIBILE_CORONA_LED_PALO</v>
      </c>
      <c r="D142" t="str">
        <f>VLOOKUP(G142,'EXPORT IRIS PROD 13-11-2024'!D:D,1,0)</f>
        <v>Allarme fusibile corona LED palo</v>
      </c>
      <c r="E142" s="37" t="s">
        <v>53</v>
      </c>
      <c r="F142" s="38" t="s">
        <v>330</v>
      </c>
      <c r="G142" s="38" t="s">
        <v>331</v>
      </c>
      <c r="H142" s="39" t="s">
        <v>56</v>
      </c>
      <c r="I142" s="39" t="s">
        <v>327</v>
      </c>
      <c r="J142" s="40" t="s">
        <v>21</v>
      </c>
      <c r="K142" s="41" t="s">
        <v>22</v>
      </c>
      <c r="L142" s="42" t="s">
        <v>23</v>
      </c>
      <c r="M142" s="43" t="s">
        <v>24</v>
      </c>
      <c r="N142" s="42" t="s">
        <v>25</v>
      </c>
      <c r="O142" s="42" t="s">
        <v>21</v>
      </c>
      <c r="P142" s="44"/>
    </row>
    <row r="143" spans="1:16" customFormat="1" ht="15" customHeight="1" x14ac:dyDescent="0.25">
      <c r="A143" t="str">
        <f t="shared" si="2"/>
        <v>ALR_FUSIBILE_PACCO_BATTERIE-Allarme fusibile pacco batterie</v>
      </c>
      <c r="B143" t="str">
        <f>VLOOKUP(A143,'EXPORT IRIS PROD 13-11-2024'!A:A,1,0)</f>
        <v>ALR_FUSIBILE_PACCO_BATTERIE-Allarme fusibile pacco batterie</v>
      </c>
      <c r="C143" t="str">
        <f>VLOOKUP(F143,'EXPORT IRIS PROD 13-11-2024'!F:F,1,0)</f>
        <v>ALR_FUSIBILE_PACCO_BATTERIE</v>
      </c>
      <c r="D143" t="str">
        <f>VLOOKUP(G143,'EXPORT IRIS PROD 13-11-2024'!D:D,1,0)</f>
        <v>Allarme fusibile pacco batterie</v>
      </c>
      <c r="E143" s="37" t="s">
        <v>53</v>
      </c>
      <c r="F143" s="38" t="s">
        <v>332</v>
      </c>
      <c r="G143" s="38" t="s">
        <v>333</v>
      </c>
      <c r="H143" s="39" t="s">
        <v>56</v>
      </c>
      <c r="I143" s="39" t="s">
        <v>327</v>
      </c>
      <c r="J143" s="40" t="s">
        <v>21</v>
      </c>
      <c r="K143" s="41" t="s">
        <v>22</v>
      </c>
      <c r="L143" s="42" t="s">
        <v>23</v>
      </c>
      <c r="M143" s="43" t="s">
        <v>24</v>
      </c>
      <c r="N143" s="42" t="s">
        <v>25</v>
      </c>
      <c r="O143" s="42" t="s">
        <v>21</v>
      </c>
      <c r="P143" s="44"/>
    </row>
    <row r="144" spans="1:16" customFormat="1" ht="15" customHeight="1" x14ac:dyDescent="0.25">
      <c r="A144" t="str">
        <f t="shared" si="2"/>
        <v>ALR_FUSIBILE_REMOTA_IO-Allarme fusibile base remota I/O</v>
      </c>
      <c r="B144" t="str">
        <f>VLOOKUP(A144,'EXPORT IRIS PROD 13-11-2024'!A:A,1,0)</f>
        <v>ALR_FUSIBILE_REMOTA_IO-Allarme fusibile base remota I/O</v>
      </c>
      <c r="C144" t="str">
        <f>VLOOKUP(F144,'EXPORT IRIS PROD 13-11-2024'!F:F,1,0)</f>
        <v>ALR_FUSIBILE_REMOTA_IO</v>
      </c>
      <c r="D144" t="str">
        <f>VLOOKUP(G144,'EXPORT IRIS PROD 13-11-2024'!D:D,1,0)</f>
        <v>Allarme fusibile base remota I/O</v>
      </c>
      <c r="E144" s="37" t="s">
        <v>53</v>
      </c>
      <c r="F144" s="38" t="s">
        <v>334</v>
      </c>
      <c r="G144" s="38" t="s">
        <v>335</v>
      </c>
      <c r="H144" s="39" t="s">
        <v>56</v>
      </c>
      <c r="I144" s="39" t="s">
        <v>327</v>
      </c>
      <c r="J144" s="40" t="s">
        <v>21</v>
      </c>
      <c r="K144" s="41" t="s">
        <v>22</v>
      </c>
      <c r="L144" s="42" t="s">
        <v>23</v>
      </c>
      <c r="M144" s="43" t="s">
        <v>24</v>
      </c>
      <c r="N144" s="42" t="s">
        <v>25</v>
      </c>
      <c r="O144" s="42" t="s">
        <v>21</v>
      </c>
      <c r="P144" s="44"/>
    </row>
    <row r="145" spans="1:16" customFormat="1" ht="15" customHeight="1" x14ac:dyDescent="0.25">
      <c r="A145" t="str">
        <f t="shared" si="2"/>
        <v>ALR_FUSIBILE_RESISTENZA_ANTICONDENSA-Allarme fusibile resistenza anticondensa</v>
      </c>
      <c r="B145" t="str">
        <f>VLOOKUP(A145,'EXPORT IRIS PROD 13-11-2024'!A:A,1,0)</f>
        <v>ALR_FUSIBILE_RESISTENZA_ANTICONDENSA-Allarme fusibile resistenza anticondensa</v>
      </c>
      <c r="C145" t="str">
        <f>VLOOKUP(F145,'EXPORT IRIS PROD 13-11-2024'!F:F,1,0)</f>
        <v>ALR_FUSIBILE_RESISTENZA_ANTICONDENSA</v>
      </c>
      <c r="D145" t="str">
        <f>VLOOKUP(G145,'EXPORT IRIS PROD 13-11-2024'!D:D,1,0)</f>
        <v>Allarme fusibile resistenza anticondensa</v>
      </c>
      <c r="E145" s="37" t="s">
        <v>53</v>
      </c>
      <c r="F145" s="38" t="s">
        <v>336</v>
      </c>
      <c r="G145" s="38" t="s">
        <v>337</v>
      </c>
      <c r="H145" s="39" t="s">
        <v>56</v>
      </c>
      <c r="I145" s="39" t="s">
        <v>327</v>
      </c>
      <c r="J145" s="40" t="s">
        <v>21</v>
      </c>
      <c r="K145" s="41" t="s">
        <v>22</v>
      </c>
      <c r="L145" s="42" t="s">
        <v>23</v>
      </c>
      <c r="M145" s="43" t="s">
        <v>24</v>
      </c>
      <c r="N145" s="42" t="s">
        <v>25</v>
      </c>
      <c r="O145" s="42" t="s">
        <v>21</v>
      </c>
      <c r="P145" s="44"/>
    </row>
    <row r="146" spans="1:16" customFormat="1" ht="15" customHeight="1" x14ac:dyDescent="0.25">
      <c r="A146" t="str">
        <f t="shared" si="2"/>
        <v>ALR_FUSIBILE_SWITCH-Allarme fusibile switch</v>
      </c>
      <c r="B146" t="str">
        <f>VLOOKUP(A146,'EXPORT IRIS PROD 13-11-2024'!A:A,1,0)</f>
        <v>ALR_FUSIBILE_SWITCH-Allarme fusibile switch</v>
      </c>
      <c r="C146" t="str">
        <f>VLOOKUP(F146,'EXPORT IRIS PROD 13-11-2024'!F:F,1,0)</f>
        <v>ALR_FUSIBILE_SWITCH</v>
      </c>
      <c r="D146" t="str">
        <f>VLOOKUP(G146,'EXPORT IRIS PROD 13-11-2024'!D:D,1,0)</f>
        <v>Allarme fusibile switch</v>
      </c>
      <c r="E146" s="37" t="s">
        <v>53</v>
      </c>
      <c r="F146" s="38" t="s">
        <v>338</v>
      </c>
      <c r="G146" s="38" t="s">
        <v>339</v>
      </c>
      <c r="H146" s="39" t="s">
        <v>56</v>
      </c>
      <c r="I146" s="39" t="s">
        <v>327</v>
      </c>
      <c r="J146" s="40" t="s">
        <v>21</v>
      </c>
      <c r="K146" s="41" t="s">
        <v>22</v>
      </c>
      <c r="L146" s="42" t="s">
        <v>23</v>
      </c>
      <c r="M146" s="43" t="s">
        <v>24</v>
      </c>
      <c r="N146" s="42" t="s">
        <v>25</v>
      </c>
      <c r="O146" s="42" t="s">
        <v>21</v>
      </c>
      <c r="P146" s="44"/>
    </row>
    <row r="147" spans="1:16" customFormat="1" ht="15" customHeight="1" x14ac:dyDescent="0.25">
      <c r="A147" t="str">
        <f t="shared" si="2"/>
        <v>ALR_FUSIBILE_TELECAMERA_SMART-Allarme fusibile telecamere smart</v>
      </c>
      <c r="B147" t="str">
        <f>VLOOKUP(A147,'EXPORT IRIS PROD 13-11-2024'!A:A,1,0)</f>
        <v>ALR_FUSIBILE_TELECAMERA_SMART-Allarme fusibile telecamere smart</v>
      </c>
      <c r="C147" t="str">
        <f>VLOOKUP(F147,'EXPORT IRIS PROD 13-11-2024'!F:F,1,0)</f>
        <v>ALR_FUSIBILE_TELECAMERA_SMART</v>
      </c>
      <c r="D147" t="str">
        <f>VLOOKUP(G147,'EXPORT IRIS PROD 13-11-2024'!D:D,1,0)</f>
        <v>Allarme fusibile telecamere smart</v>
      </c>
      <c r="E147" s="37" t="s">
        <v>53</v>
      </c>
      <c r="F147" s="38" t="s">
        <v>340</v>
      </c>
      <c r="G147" s="38" t="s">
        <v>341</v>
      </c>
      <c r="H147" s="39" t="s">
        <v>56</v>
      </c>
      <c r="I147" s="39" t="s">
        <v>327</v>
      </c>
      <c r="J147" s="40" t="s">
        <v>21</v>
      </c>
      <c r="K147" s="41" t="s">
        <v>22</v>
      </c>
      <c r="L147" s="42" t="s">
        <v>23</v>
      </c>
      <c r="M147" s="43" t="s">
        <v>24</v>
      </c>
      <c r="N147" s="42" t="s">
        <v>25</v>
      </c>
      <c r="O147" s="42" t="s">
        <v>21</v>
      </c>
      <c r="P147" s="44"/>
    </row>
    <row r="148" spans="1:16" customFormat="1" ht="15" customHeight="1" x14ac:dyDescent="0.25">
      <c r="A148" t="str">
        <f t="shared" si="2"/>
        <v>ALR_FUSIBILE_VENTOLA-Allarme fusibile ventola</v>
      </c>
      <c r="B148" t="str">
        <f>VLOOKUP(A148,'EXPORT IRIS PROD 13-11-2024'!A:A,1,0)</f>
        <v>ALR_FUSIBILE_VENTOLA-Allarme fusibile ventola</v>
      </c>
      <c r="C148" t="str">
        <f>VLOOKUP(F148,'EXPORT IRIS PROD 13-11-2024'!F:F,1,0)</f>
        <v>ALR_FUSIBILE_VENTOLA</v>
      </c>
      <c r="D148" t="str">
        <f>VLOOKUP(G148,'EXPORT IRIS PROD 13-11-2024'!D:D,1,0)</f>
        <v>Allarme fusibile ventola</v>
      </c>
      <c r="E148" s="37" t="s">
        <v>53</v>
      </c>
      <c r="F148" s="38" t="s">
        <v>342</v>
      </c>
      <c r="G148" s="38" t="s">
        <v>343</v>
      </c>
      <c r="H148" s="39" t="s">
        <v>56</v>
      </c>
      <c r="I148" s="39" t="s">
        <v>327</v>
      </c>
      <c r="J148" s="40" t="s">
        <v>21</v>
      </c>
      <c r="K148" s="41" t="s">
        <v>22</v>
      </c>
      <c r="L148" s="42" t="s">
        <v>23</v>
      </c>
      <c r="M148" s="43" t="s">
        <v>24</v>
      </c>
      <c r="N148" s="42" t="s">
        <v>25</v>
      </c>
      <c r="O148" s="42" t="s">
        <v>21</v>
      </c>
      <c r="P148" s="44"/>
    </row>
    <row r="149" spans="1:16" customFormat="1" ht="15" customHeight="1" x14ac:dyDescent="0.25">
      <c r="A149" t="str">
        <f t="shared" si="2"/>
        <v>ALR_GASOLIO_FINITO-Allarme gasolio esaurito</v>
      </c>
      <c r="B149" t="str">
        <f>VLOOKUP(A149,'EXPORT IRIS PROD 13-11-2024'!A:A,1,0)</f>
        <v>ALR_GASOLIO_FINITO-Allarme gasolio esaurito</v>
      </c>
      <c r="C149" t="str">
        <f>VLOOKUP(F149,'EXPORT IRIS PROD 13-11-2024'!F:F,1,0)</f>
        <v>ALR_GASOLIO_FINITO</v>
      </c>
      <c r="D149" t="str">
        <f>VLOOKUP(G149,'EXPORT IRIS PROD 13-11-2024'!D:D,1,0)</f>
        <v>Allarme gasolio esaurito</v>
      </c>
      <c r="E149" s="37" t="s">
        <v>53</v>
      </c>
      <c r="F149" s="38" t="s">
        <v>344</v>
      </c>
      <c r="G149" s="38" t="s">
        <v>345</v>
      </c>
      <c r="H149" s="39" t="s">
        <v>56</v>
      </c>
      <c r="I149" s="39" t="s">
        <v>137</v>
      </c>
      <c r="J149" s="40" t="s">
        <v>21</v>
      </c>
      <c r="K149" s="41" t="s">
        <v>22</v>
      </c>
      <c r="L149" s="42" t="s">
        <v>23</v>
      </c>
      <c r="M149" s="43" t="s">
        <v>24</v>
      </c>
      <c r="N149" s="42" t="s">
        <v>25</v>
      </c>
      <c r="O149" s="42" t="s">
        <v>21</v>
      </c>
      <c r="P149" s="44"/>
    </row>
    <row r="150" spans="1:16" customFormat="1" ht="15" customHeight="1" x14ac:dyDescent="0.25">
      <c r="A150" t="str">
        <f t="shared" si="2"/>
        <v>ALR_GENERALE_1_IMP-Allarme generale dispositivo</v>
      </c>
      <c r="B150" t="str">
        <f>VLOOKUP(A150,'EXPORT IRIS PROD 13-11-2024'!A:A,1,0)</f>
        <v>ALR_GENERALE_1_IMP-Allarme generale dispositivo</v>
      </c>
      <c r="C150" t="str">
        <f>VLOOKUP(F150,'EXPORT IRIS PROD 13-11-2024'!F:F,1,0)</f>
        <v>ALR_GENERALE_1_IMP</v>
      </c>
      <c r="D150" t="str">
        <f>VLOOKUP(G150,'EXPORT IRIS PROD 13-11-2024'!D:D,1,0)</f>
        <v>Allarme generale dispositivo</v>
      </c>
      <c r="E150" s="37" t="s">
        <v>35</v>
      </c>
      <c r="F150" s="38" t="s">
        <v>346</v>
      </c>
      <c r="G150" s="38" t="s">
        <v>347</v>
      </c>
      <c r="H150" s="39" t="s">
        <v>38</v>
      </c>
      <c r="I150" s="39" t="s">
        <v>301</v>
      </c>
      <c r="J150" s="40" t="s">
        <v>21</v>
      </c>
      <c r="K150" s="41" t="s">
        <v>22</v>
      </c>
      <c r="L150" s="42" t="s">
        <v>23</v>
      </c>
      <c r="M150" s="43" t="s">
        <v>157</v>
      </c>
      <c r="N150" s="42" t="s">
        <v>158</v>
      </c>
      <c r="O150" s="42" t="s">
        <v>21</v>
      </c>
      <c r="P150" s="44"/>
    </row>
    <row r="151" spans="1:16" customFormat="1" ht="15" customHeight="1" x14ac:dyDescent="0.25">
      <c r="A151" t="str">
        <f t="shared" si="2"/>
        <v>ALR_GENERALE_1_IMP-Allarme generale dispositivo</v>
      </c>
      <c r="B151" t="str">
        <f>VLOOKUP(A151,'EXPORT IRIS PROD 13-11-2024'!A:A,1,0)</f>
        <v>ALR_GENERALE_1_IMP-Allarme generale dispositivo</v>
      </c>
      <c r="C151" t="str">
        <f>VLOOKUP(F151,'EXPORT IRIS PROD 13-11-2024'!F:F,1,0)</f>
        <v>ALR_GENERALE_1_IMP</v>
      </c>
      <c r="D151" t="str">
        <f>VLOOKUP(G151,'EXPORT IRIS PROD 13-11-2024'!D:D,1,0)</f>
        <v>Allarme generale dispositivo</v>
      </c>
      <c r="E151" s="37" t="s">
        <v>35</v>
      </c>
      <c r="F151" s="38" t="s">
        <v>346</v>
      </c>
      <c r="G151" s="38" t="s">
        <v>347</v>
      </c>
      <c r="H151" s="39" t="s">
        <v>38</v>
      </c>
      <c r="I151" s="39" t="s">
        <v>172</v>
      </c>
      <c r="J151" s="40" t="s">
        <v>21</v>
      </c>
      <c r="K151" s="41" t="s">
        <v>22</v>
      </c>
      <c r="L151" s="42" t="s">
        <v>23</v>
      </c>
      <c r="M151" s="43" t="s">
        <v>157</v>
      </c>
      <c r="N151" s="42" t="s">
        <v>158</v>
      </c>
      <c r="O151" s="42" t="s">
        <v>21</v>
      </c>
      <c r="P151" s="44"/>
    </row>
    <row r="152" spans="1:16" customFormat="1" ht="15" customHeight="1" x14ac:dyDescent="0.25">
      <c r="A152" t="str">
        <f t="shared" si="2"/>
        <v>ALR_GENERALE_1_IMP-Allarme generale dispositivo</v>
      </c>
      <c r="B152" t="str">
        <f>VLOOKUP(A152,'EXPORT IRIS PROD 13-11-2024'!A:A,1,0)</f>
        <v>ALR_GENERALE_1_IMP-Allarme generale dispositivo</v>
      </c>
      <c r="C152" t="str">
        <f>VLOOKUP(F152,'EXPORT IRIS PROD 13-11-2024'!F:F,1,0)</f>
        <v>ALR_GENERALE_1_IMP</v>
      </c>
      <c r="D152" t="str">
        <f>VLOOKUP(G152,'EXPORT IRIS PROD 13-11-2024'!D:D,1,0)</f>
        <v>Allarme generale dispositivo</v>
      </c>
      <c r="E152" s="37" t="s">
        <v>53</v>
      </c>
      <c r="F152" s="38" t="s">
        <v>346</v>
      </c>
      <c r="G152" s="38" t="s">
        <v>347</v>
      </c>
      <c r="H152" s="39" t="s">
        <v>56</v>
      </c>
      <c r="I152" s="39" t="s">
        <v>104</v>
      </c>
      <c r="J152" s="40" t="s">
        <v>21</v>
      </c>
      <c r="K152" s="41" t="s">
        <v>22</v>
      </c>
      <c r="L152" s="42" t="s">
        <v>23</v>
      </c>
      <c r="M152" s="43" t="s">
        <v>157</v>
      </c>
      <c r="N152" s="42" t="s">
        <v>158</v>
      </c>
      <c r="O152" s="42" t="s">
        <v>21</v>
      </c>
      <c r="P152" s="44"/>
    </row>
    <row r="153" spans="1:16" ht="15" customHeight="1" x14ac:dyDescent="0.25">
      <c r="A153" t="str">
        <f t="shared" si="2"/>
        <v>ALR_GENERALE_2_IMP-Allarme generale dispositivo</v>
      </c>
      <c r="B153" t="str">
        <f>VLOOKUP(A153,'EXPORT IRIS PROD 13-11-2024'!A:A,1,0)</f>
        <v>ALR_GENERALE_2_IMP-Allarme generale dispositivo</v>
      </c>
      <c r="C153" t="str">
        <f>VLOOKUP(F153,'EXPORT IRIS PROD 13-11-2024'!F:F,1,0)</f>
        <v>ALR_GENERALE_2_IMP</v>
      </c>
      <c r="D153" t="str">
        <f>VLOOKUP(G153,'EXPORT IRIS PROD 13-11-2024'!D:D,1,0)</f>
        <v>Allarme generale dispositivo</v>
      </c>
      <c r="E153" s="37" t="s">
        <v>53</v>
      </c>
      <c r="F153" s="38" t="s">
        <v>348</v>
      </c>
      <c r="G153" s="38" t="s">
        <v>347</v>
      </c>
      <c r="H153" s="39" t="s">
        <v>56</v>
      </c>
      <c r="I153" s="39" t="s">
        <v>57</v>
      </c>
      <c r="J153" s="40" t="s">
        <v>21</v>
      </c>
      <c r="K153" s="41" t="s">
        <v>22</v>
      </c>
      <c r="L153" s="42" t="s">
        <v>23</v>
      </c>
      <c r="M153" s="43" t="s">
        <v>24</v>
      </c>
      <c r="N153" s="42" t="s">
        <v>25</v>
      </c>
      <c r="O153" s="42" t="s">
        <v>21</v>
      </c>
      <c r="P153" s="44"/>
    </row>
    <row r="154" spans="1:16" customFormat="1" ht="15" customHeight="1" x14ac:dyDescent="0.25">
      <c r="A154" t="str">
        <f t="shared" si="2"/>
        <v>ALR_GENERALE_2_IMP-Allarme generale dispositivo</v>
      </c>
      <c r="B154" t="str">
        <f>VLOOKUP(A154,'EXPORT IRIS PROD 13-11-2024'!A:A,1,0)</f>
        <v>ALR_GENERALE_2_IMP-Allarme generale dispositivo</v>
      </c>
      <c r="C154" t="str">
        <f>VLOOKUP(F154,'EXPORT IRIS PROD 13-11-2024'!F:F,1,0)</f>
        <v>ALR_GENERALE_2_IMP</v>
      </c>
      <c r="D154" t="str">
        <f>VLOOKUP(G154,'EXPORT IRIS PROD 13-11-2024'!D:D,1,0)</f>
        <v>Allarme generale dispositivo</v>
      </c>
      <c r="E154" s="37" t="s">
        <v>53</v>
      </c>
      <c r="F154" s="38" t="s">
        <v>348</v>
      </c>
      <c r="G154" s="38" t="s">
        <v>347</v>
      </c>
      <c r="H154" s="39" t="s">
        <v>56</v>
      </c>
      <c r="I154" s="39" t="s">
        <v>114</v>
      </c>
      <c r="J154" s="40" t="s">
        <v>21</v>
      </c>
      <c r="K154" s="41" t="s">
        <v>22</v>
      </c>
      <c r="L154" s="42" t="s">
        <v>23</v>
      </c>
      <c r="M154" s="43" t="s">
        <v>24</v>
      </c>
      <c r="N154" s="42" t="s">
        <v>25</v>
      </c>
      <c r="O154" s="42" t="s">
        <v>21</v>
      </c>
      <c r="P154" s="44"/>
    </row>
    <row r="155" spans="1:16" customFormat="1" ht="15" customHeight="1" x14ac:dyDescent="0.25">
      <c r="A155" t="str">
        <f t="shared" si="2"/>
        <v>ALR_GENERALE_2_IMP-Allarme generale dispositivo</v>
      </c>
      <c r="B155" t="str">
        <f>VLOOKUP(A155,'EXPORT IRIS PROD 13-11-2024'!A:A,1,0)</f>
        <v>ALR_GENERALE_2_IMP-Allarme generale dispositivo</v>
      </c>
      <c r="C155" t="str">
        <f>VLOOKUP(F155,'EXPORT IRIS PROD 13-11-2024'!F:F,1,0)</f>
        <v>ALR_GENERALE_2_IMP</v>
      </c>
      <c r="D155" t="str">
        <f>VLOOKUP(G155,'EXPORT IRIS PROD 13-11-2024'!D:D,1,0)</f>
        <v>Allarme generale dispositivo</v>
      </c>
      <c r="E155" s="37" t="s">
        <v>53</v>
      </c>
      <c r="F155" s="38" t="s">
        <v>348</v>
      </c>
      <c r="G155" s="38" t="s">
        <v>347</v>
      </c>
      <c r="H155" s="39" t="s">
        <v>56</v>
      </c>
      <c r="I155" s="39" t="s">
        <v>208</v>
      </c>
      <c r="J155" s="40" t="s">
        <v>21</v>
      </c>
      <c r="K155" s="41" t="s">
        <v>22</v>
      </c>
      <c r="L155" s="42" t="s">
        <v>23</v>
      </c>
      <c r="M155" s="43" t="s">
        <v>24</v>
      </c>
      <c r="N155" s="42" t="s">
        <v>25</v>
      </c>
      <c r="O155" s="42" t="s">
        <v>21</v>
      </c>
      <c r="P155" s="44"/>
    </row>
    <row r="156" spans="1:16" customFormat="1" ht="15" customHeight="1" x14ac:dyDescent="0.25">
      <c r="A156" t="str">
        <f t="shared" si="2"/>
        <v>ALR_GENERALE_POMPA-Allarme generale pompa</v>
      </c>
      <c r="B156" t="str">
        <f>VLOOKUP(A156,'EXPORT IRIS PROD 13-11-2024'!A:A,1,0)</f>
        <v>ALR_GENERALE_POMPA-Allarme generale pompa</v>
      </c>
      <c r="C156" t="str">
        <f>VLOOKUP(F156,'EXPORT IRIS PROD 13-11-2024'!F:F,1,0)</f>
        <v>ALR_GENERALE_POMPA</v>
      </c>
      <c r="D156" t="str">
        <f>VLOOKUP(G156,'EXPORT IRIS PROD 13-11-2024'!D:D,1,0)</f>
        <v>Allarme generale pompa</v>
      </c>
      <c r="E156" s="37" t="s">
        <v>35</v>
      </c>
      <c r="F156" s="38" t="s">
        <v>349</v>
      </c>
      <c r="G156" s="38" t="s">
        <v>350</v>
      </c>
      <c r="H156" s="39" t="s">
        <v>38</v>
      </c>
      <c r="I156" s="39" t="s">
        <v>39</v>
      </c>
      <c r="J156" s="40" t="s">
        <v>21</v>
      </c>
      <c r="K156" s="41" t="s">
        <v>22</v>
      </c>
      <c r="L156" s="42" t="s">
        <v>23</v>
      </c>
      <c r="M156" s="43" t="s">
        <v>24</v>
      </c>
      <c r="N156" s="42" t="s">
        <v>25</v>
      </c>
      <c r="O156" s="42" t="s">
        <v>21</v>
      </c>
      <c r="P156" s="44"/>
    </row>
    <row r="157" spans="1:16" customFormat="1" ht="15" customHeight="1" x14ac:dyDescent="0.25">
      <c r="A157" t="str">
        <f t="shared" si="2"/>
        <v>ALR_GENERATORE-Allarme gruppo elettrogeno</v>
      </c>
      <c r="B157" t="str">
        <f>VLOOKUP(A157,'EXPORT IRIS PROD 13-11-2024'!A:A,1,0)</f>
        <v>ALR_GENERATORE-Allarme gruppo elettrogeno</v>
      </c>
      <c r="C157" t="str">
        <f>VLOOKUP(F157,'EXPORT IRIS PROD 13-11-2024'!F:F,1,0)</f>
        <v>ALR_GENERATORE</v>
      </c>
      <c r="D157" t="str">
        <f>VLOOKUP(G157,'EXPORT IRIS PROD 13-11-2024'!D:D,1,0)</f>
        <v>Allarme gruppo elettrogeno</v>
      </c>
      <c r="E157" s="37" t="s">
        <v>53</v>
      </c>
      <c r="F157" s="38" t="s">
        <v>351</v>
      </c>
      <c r="G157" s="38" t="s">
        <v>352</v>
      </c>
      <c r="H157" s="39" t="s">
        <v>56</v>
      </c>
      <c r="I157" s="39" t="s">
        <v>57</v>
      </c>
      <c r="J157" s="40" t="s">
        <v>21</v>
      </c>
      <c r="K157" s="41" t="s">
        <v>22</v>
      </c>
      <c r="L157" s="42" t="s">
        <v>23</v>
      </c>
      <c r="M157" s="43" t="s">
        <v>24</v>
      </c>
      <c r="N157" s="42" t="s">
        <v>25</v>
      </c>
      <c r="O157" s="42" t="s">
        <v>21</v>
      </c>
      <c r="P157" s="44"/>
    </row>
    <row r="158" spans="1:16" customFormat="1" ht="15" customHeight="1" x14ac:dyDescent="0.25">
      <c r="A158" t="str">
        <f t="shared" si="2"/>
        <v>ALR_GENERICO-Allarme dispositivo</v>
      </c>
      <c r="B158" t="str">
        <f>VLOOKUP(A158,'EXPORT IRIS PROD 13-11-2024'!A:A,1,0)</f>
        <v>ALR_GENERICO-Allarme dispositivo</v>
      </c>
      <c r="C158" t="str">
        <f>VLOOKUP(F158,'EXPORT IRIS PROD 13-11-2024'!F:F,1,0)</f>
        <v>ALR_GENERICO</v>
      </c>
      <c r="D158" t="str">
        <f>VLOOKUP(G158,'EXPORT IRIS PROD 13-11-2024'!D:D,1,0)</f>
        <v>Allarme dispositivo</v>
      </c>
      <c r="E158" s="37" t="s">
        <v>105</v>
      </c>
      <c r="F158" s="38" t="s">
        <v>353</v>
      </c>
      <c r="G158" s="38" t="s">
        <v>354</v>
      </c>
      <c r="H158" s="39" t="s">
        <v>43</v>
      </c>
      <c r="I158" s="39" t="s">
        <v>108</v>
      </c>
      <c r="J158" s="40" t="s">
        <v>21</v>
      </c>
      <c r="K158" s="41" t="s">
        <v>22</v>
      </c>
      <c r="L158" s="42" t="s">
        <v>23</v>
      </c>
      <c r="M158" s="43" t="s">
        <v>24</v>
      </c>
      <c r="N158" s="42" t="s">
        <v>25</v>
      </c>
      <c r="O158" s="42" t="s">
        <v>21</v>
      </c>
      <c r="P158" s="44"/>
    </row>
    <row r="159" spans="1:16" customFormat="1" ht="15" customHeight="1" x14ac:dyDescent="0.25">
      <c r="A159" t="str">
        <f t="shared" si="2"/>
        <v>ALR_GENERICO-Allarme dispositivo</v>
      </c>
      <c r="B159" t="str">
        <f>VLOOKUP(A159,'EXPORT IRIS PROD 13-11-2024'!A:A,1,0)</f>
        <v>ALR_GENERICO-Allarme dispositivo</v>
      </c>
      <c r="C159" t="str">
        <f>VLOOKUP(F159,'EXPORT IRIS PROD 13-11-2024'!F:F,1,0)</f>
        <v>ALR_GENERICO</v>
      </c>
      <c r="D159" t="str">
        <f>VLOOKUP(G159,'EXPORT IRIS PROD 13-11-2024'!D:D,1,0)</f>
        <v>Allarme dispositivo</v>
      </c>
      <c r="E159" s="37" t="s">
        <v>35</v>
      </c>
      <c r="F159" s="38" t="s">
        <v>353</v>
      </c>
      <c r="G159" s="38" t="s">
        <v>354</v>
      </c>
      <c r="H159" s="39" t="s">
        <v>38</v>
      </c>
      <c r="I159" s="39" t="s">
        <v>39</v>
      </c>
      <c r="J159" s="40" t="s">
        <v>21</v>
      </c>
      <c r="K159" s="41" t="s">
        <v>22</v>
      </c>
      <c r="L159" s="42" t="s">
        <v>23</v>
      </c>
      <c r="M159" s="43" t="s">
        <v>24</v>
      </c>
      <c r="N159" s="42" t="s">
        <v>25</v>
      </c>
      <c r="O159" s="42" t="s">
        <v>21</v>
      </c>
      <c r="P159" s="44"/>
    </row>
    <row r="160" spans="1:16" customFormat="1" ht="15" customHeight="1" x14ac:dyDescent="0.25">
      <c r="A160" t="str">
        <f t="shared" si="2"/>
        <v>ALR_GENERICO-Allarme dispositivo</v>
      </c>
      <c r="B160" t="str">
        <f>VLOOKUP(A160,'EXPORT IRIS PROD 13-11-2024'!A:A,1,0)</f>
        <v>ALR_GENERICO-Allarme dispositivo</v>
      </c>
      <c r="C160" t="str">
        <f>VLOOKUP(F160,'EXPORT IRIS PROD 13-11-2024'!F:F,1,0)</f>
        <v>ALR_GENERICO</v>
      </c>
      <c r="D160" t="str">
        <f>VLOOKUP(G160,'EXPORT IRIS PROD 13-11-2024'!D:D,1,0)</f>
        <v>Allarme dispositivo</v>
      </c>
      <c r="E160" s="37" t="s">
        <v>53</v>
      </c>
      <c r="F160" s="38" t="s">
        <v>353</v>
      </c>
      <c r="G160" s="38" t="s">
        <v>354</v>
      </c>
      <c r="H160" s="39" t="s">
        <v>56</v>
      </c>
      <c r="I160" s="39" t="s">
        <v>355</v>
      </c>
      <c r="J160" s="40" t="s">
        <v>21</v>
      </c>
      <c r="K160" s="41" t="s">
        <v>22</v>
      </c>
      <c r="L160" s="42" t="s">
        <v>23</v>
      </c>
      <c r="M160" s="43" t="s">
        <v>24</v>
      </c>
      <c r="N160" s="42" t="s">
        <v>25</v>
      </c>
      <c r="O160" s="42" t="s">
        <v>21</v>
      </c>
      <c r="P160" s="44"/>
    </row>
    <row r="161" spans="1:16" ht="15" customHeight="1" x14ac:dyDescent="0.25">
      <c r="A161" t="str">
        <f t="shared" si="2"/>
        <v>ALR_GENERICO-Allarme dispositivo</v>
      </c>
      <c r="B161" t="str">
        <f>VLOOKUP(A161,'EXPORT IRIS PROD 13-11-2024'!A:A,1,0)</f>
        <v>ALR_GENERICO-Allarme dispositivo</v>
      </c>
      <c r="C161" t="str">
        <f>VLOOKUP(F161,'EXPORT IRIS PROD 13-11-2024'!F:F,1,0)</f>
        <v>ALR_GENERICO</v>
      </c>
      <c r="D161" t="str">
        <f>VLOOKUP(G161,'EXPORT IRIS PROD 13-11-2024'!D:D,1,0)</f>
        <v>Allarme dispositivo</v>
      </c>
      <c r="E161" s="37" t="s">
        <v>53</v>
      </c>
      <c r="F161" s="38" t="s">
        <v>353</v>
      </c>
      <c r="G161" s="38" t="s">
        <v>354</v>
      </c>
      <c r="H161" s="39" t="s">
        <v>56</v>
      </c>
      <c r="I161" s="53" t="s">
        <v>57</v>
      </c>
      <c r="J161" s="40" t="s">
        <v>21</v>
      </c>
      <c r="K161" s="41" t="s">
        <v>22</v>
      </c>
      <c r="L161" s="42" t="s">
        <v>23</v>
      </c>
      <c r="M161" s="43" t="s">
        <v>24</v>
      </c>
      <c r="N161" s="42" t="s">
        <v>25</v>
      </c>
      <c r="O161" s="42" t="s">
        <v>21</v>
      </c>
      <c r="P161" s="44"/>
    </row>
    <row r="162" spans="1:16" customFormat="1" ht="15" customHeight="1" x14ac:dyDescent="0.25">
      <c r="A162" t="str">
        <f t="shared" si="2"/>
        <v>ALR_GENERICO-Allarme dispositivo</v>
      </c>
      <c r="B162" t="str">
        <f>VLOOKUP(A162,'EXPORT IRIS PROD 13-11-2024'!A:A,1,0)</f>
        <v>ALR_GENERICO-Allarme dispositivo</v>
      </c>
      <c r="C162" t="str">
        <f>VLOOKUP(F162,'EXPORT IRIS PROD 13-11-2024'!F:F,1,0)</f>
        <v>ALR_GENERICO</v>
      </c>
      <c r="D162" t="str">
        <f>VLOOKUP(G162,'EXPORT IRIS PROD 13-11-2024'!D:D,1,0)</f>
        <v>Allarme dispositivo</v>
      </c>
      <c r="E162" s="37" t="s">
        <v>53</v>
      </c>
      <c r="F162" s="38" t="s">
        <v>353</v>
      </c>
      <c r="G162" s="38" t="s">
        <v>354</v>
      </c>
      <c r="H162" s="39" t="s">
        <v>56</v>
      </c>
      <c r="I162" s="53" t="s">
        <v>114</v>
      </c>
      <c r="J162" s="40" t="s">
        <v>21</v>
      </c>
      <c r="K162" s="41" t="s">
        <v>22</v>
      </c>
      <c r="L162" s="42" t="s">
        <v>23</v>
      </c>
      <c r="M162" s="43" t="s">
        <v>24</v>
      </c>
      <c r="N162" s="42" t="s">
        <v>25</v>
      </c>
      <c r="O162" s="42" t="s">
        <v>21</v>
      </c>
      <c r="P162" s="44"/>
    </row>
    <row r="163" spans="1:16" customFormat="1" ht="15" customHeight="1" x14ac:dyDescent="0.25">
      <c r="A163" t="str">
        <f t="shared" si="2"/>
        <v>ALR_GENERICO-Allarme dispositivo</v>
      </c>
      <c r="B163" t="str">
        <f>VLOOKUP(A163,'EXPORT IRIS PROD 13-11-2024'!A:A,1,0)</f>
        <v>ALR_GENERICO-Allarme dispositivo</v>
      </c>
      <c r="C163" t="str">
        <f>VLOOKUP(F163,'EXPORT IRIS PROD 13-11-2024'!F:F,1,0)</f>
        <v>ALR_GENERICO</v>
      </c>
      <c r="D163" t="str">
        <f>VLOOKUP(G163,'EXPORT IRIS PROD 13-11-2024'!D:D,1,0)</f>
        <v>Allarme dispositivo</v>
      </c>
      <c r="E163" s="37" t="s">
        <v>53</v>
      </c>
      <c r="F163" s="38" t="s">
        <v>353</v>
      </c>
      <c r="G163" s="38" t="s">
        <v>354</v>
      </c>
      <c r="H163" s="39" t="s">
        <v>56</v>
      </c>
      <c r="I163" s="53" t="s">
        <v>104</v>
      </c>
      <c r="J163" s="40" t="s">
        <v>21</v>
      </c>
      <c r="K163" s="41" t="s">
        <v>22</v>
      </c>
      <c r="L163" s="42" t="s">
        <v>23</v>
      </c>
      <c r="M163" s="43" t="s">
        <v>24</v>
      </c>
      <c r="N163" s="42" t="s">
        <v>25</v>
      </c>
      <c r="O163" s="42" t="s">
        <v>21</v>
      </c>
      <c r="P163" s="44"/>
    </row>
    <row r="164" spans="1:16" customFormat="1" ht="15" customHeight="1" x14ac:dyDescent="0.25">
      <c r="A164" t="str">
        <f t="shared" si="2"/>
        <v>ALR_GENERICO-Allarme dispositivo</v>
      </c>
      <c r="B164" t="str">
        <f>VLOOKUP(A164,'EXPORT IRIS PROD 13-11-2024'!A:A,1,0)</f>
        <v>ALR_GENERICO-Allarme dispositivo</v>
      </c>
      <c r="C164" t="str">
        <f>VLOOKUP(F164,'EXPORT IRIS PROD 13-11-2024'!F:F,1,0)</f>
        <v>ALR_GENERICO</v>
      </c>
      <c r="D164" t="str">
        <f>VLOOKUP(G164,'EXPORT IRIS PROD 13-11-2024'!D:D,1,0)</f>
        <v>Allarme dispositivo</v>
      </c>
      <c r="E164" s="37" t="s">
        <v>105</v>
      </c>
      <c r="F164" s="38" t="s">
        <v>353</v>
      </c>
      <c r="G164" s="38" t="s">
        <v>354</v>
      </c>
      <c r="H164" s="39" t="s">
        <v>43</v>
      </c>
      <c r="I164" s="39" t="s">
        <v>130</v>
      </c>
      <c r="J164" s="40" t="s">
        <v>21</v>
      </c>
      <c r="K164" s="41" t="s">
        <v>22</v>
      </c>
      <c r="L164" s="42" t="s">
        <v>23</v>
      </c>
      <c r="M164" s="43" t="s">
        <v>24</v>
      </c>
      <c r="N164" s="42" t="s">
        <v>25</v>
      </c>
      <c r="O164" s="42" t="s">
        <v>21</v>
      </c>
      <c r="P164" s="44"/>
    </row>
    <row r="165" spans="1:16" customFormat="1" ht="15" customHeight="1" x14ac:dyDescent="0.25">
      <c r="A165" t="str">
        <f t="shared" si="2"/>
        <v>ALR_GIRI_MOTORE_BASSI-Allarme giri motori bassi</v>
      </c>
      <c r="B165" t="str">
        <f>VLOOKUP(A165,'EXPORT IRIS PROD 13-11-2024'!A:A,1,0)</f>
        <v>ALR_GIRI_MOTORE_BASSI-Allarme giri motori bassi</v>
      </c>
      <c r="C165" t="str">
        <f>VLOOKUP(F165,'EXPORT IRIS PROD 13-11-2024'!F:F,1,0)</f>
        <v>ALR_GIRI_MOTORE_BASSI</v>
      </c>
      <c r="D165" t="str">
        <f>VLOOKUP(G165,'EXPORT IRIS PROD 13-11-2024'!D:D,1,0)</f>
        <v>Allarme giri motori bassi</v>
      </c>
      <c r="E165" s="37" t="s">
        <v>53</v>
      </c>
      <c r="F165" s="38" t="s">
        <v>356</v>
      </c>
      <c r="G165" s="38" t="s">
        <v>357</v>
      </c>
      <c r="H165" s="39" t="s">
        <v>56</v>
      </c>
      <c r="I165" s="39" t="s">
        <v>57</v>
      </c>
      <c r="J165" s="40" t="s">
        <v>21</v>
      </c>
      <c r="K165" s="41" t="s">
        <v>22</v>
      </c>
      <c r="L165" s="42" t="s">
        <v>23</v>
      </c>
      <c r="M165" s="43" t="s">
        <v>24</v>
      </c>
      <c r="N165" s="42" t="s">
        <v>25</v>
      </c>
      <c r="O165" s="42" t="s">
        <v>21</v>
      </c>
      <c r="P165" s="44"/>
    </row>
    <row r="166" spans="1:16" customFormat="1" ht="15" customHeight="1" x14ac:dyDescent="0.25">
      <c r="A166" t="str">
        <f t="shared" si="2"/>
        <v>ALR_GIROFARO_ATTIVO-Allarme girofaro attivo</v>
      </c>
      <c r="B166" t="str">
        <f>VLOOKUP(A166,'EXPORT IRIS PROD 13-11-2024'!A:A,1,0)</f>
        <v>ALR_GIROFARO_ATTIVO-Allarme girofaro attivo</v>
      </c>
      <c r="C166" t="str">
        <f>VLOOKUP(F166,'EXPORT IRIS PROD 13-11-2024'!F:F,1,0)</f>
        <v>ALR_GIROFARO_ATTIVO</v>
      </c>
      <c r="D166" t="str">
        <f>VLOOKUP(G166,'EXPORT IRIS PROD 13-11-2024'!D:D,1,0)</f>
        <v>Allarme girofaro attivo</v>
      </c>
      <c r="E166" s="37" t="s">
        <v>26</v>
      </c>
      <c r="F166" s="38" t="s">
        <v>358</v>
      </c>
      <c r="G166" s="45" t="s">
        <v>359</v>
      </c>
      <c r="H166" s="46" t="s">
        <v>29</v>
      </c>
      <c r="I166" s="46" t="s">
        <v>360</v>
      </c>
      <c r="J166" s="47" t="s">
        <v>31</v>
      </c>
      <c r="K166" s="48" t="s">
        <v>32</v>
      </c>
      <c r="L166" s="43">
        <v>1</v>
      </c>
      <c r="M166" s="43" t="s">
        <v>157</v>
      </c>
      <c r="N166" s="43" t="s">
        <v>158</v>
      </c>
      <c r="O166" s="42" t="s">
        <v>21</v>
      </c>
      <c r="P166" s="49"/>
    </row>
    <row r="167" spans="1:16" customFormat="1" ht="15" customHeight="1" x14ac:dyDescent="0.25">
      <c r="A167" t="str">
        <f t="shared" si="2"/>
        <v>ALR_GIROFARO_SIRENA-Allarme girofaro e sirena attivi</v>
      </c>
      <c r="B167" t="str">
        <f>VLOOKUP(A167,'EXPORT IRIS PROD 13-11-2024'!A:A,1,0)</f>
        <v>ALR_GIROFARO_SIRENA-Allarme girofaro e sirena attivi</v>
      </c>
      <c r="C167" t="str">
        <f>VLOOKUP(F167,'EXPORT IRIS PROD 13-11-2024'!F:F,1,0)</f>
        <v>ALR_GIROFARO_SIRENA</v>
      </c>
      <c r="D167" t="str">
        <f>VLOOKUP(G167,'EXPORT IRIS PROD 13-11-2024'!D:D,1,0)</f>
        <v>Allarme girofaro e sirena attivi</v>
      </c>
      <c r="E167" s="37" t="s">
        <v>26</v>
      </c>
      <c r="F167" s="38" t="s">
        <v>361</v>
      </c>
      <c r="G167" s="38" t="s">
        <v>362</v>
      </c>
      <c r="H167" s="39" t="s">
        <v>29</v>
      </c>
      <c r="I167" s="39" t="s">
        <v>360</v>
      </c>
      <c r="J167" s="40" t="s">
        <v>31</v>
      </c>
      <c r="K167" s="41" t="s">
        <v>32</v>
      </c>
      <c r="L167" s="43">
        <v>1</v>
      </c>
      <c r="M167" s="43" t="s">
        <v>157</v>
      </c>
      <c r="N167" s="42" t="s">
        <v>158</v>
      </c>
      <c r="O167" s="42" t="s">
        <v>21</v>
      </c>
      <c r="P167" s="44"/>
    </row>
    <row r="168" spans="1:16" customFormat="1" ht="16.350000000000001" customHeight="1" x14ac:dyDescent="0.25">
      <c r="A168" t="str">
        <f t="shared" si="2"/>
        <v>ALR_GRADIENTE-Allarme gradiente sensore</v>
      </c>
      <c r="B168" t="str">
        <f>VLOOKUP(A168,'EXPORT IRIS PROD 13-11-2024'!A:A,1,0)</f>
        <v>ALR_GRADIENTE-Allarme gradiente sensore</v>
      </c>
      <c r="C168" t="str">
        <f>VLOOKUP(F168,'EXPORT IRIS PROD 13-11-2024'!F:F,1,0)</f>
        <v>ALR_GRADIENTE</v>
      </c>
      <c r="D168" t="str">
        <f>VLOOKUP(G168,'EXPORT IRIS PROD 13-11-2024'!D:D,1,0)</f>
        <v>Allarme gradiente sensore</v>
      </c>
      <c r="E168" s="37" t="s">
        <v>213</v>
      </c>
      <c r="F168" s="38" t="s">
        <v>363</v>
      </c>
      <c r="G168" s="38" t="s">
        <v>364</v>
      </c>
      <c r="H168" s="39" t="s">
        <v>50</v>
      </c>
      <c r="I168" s="39" t="s">
        <v>88</v>
      </c>
      <c r="J168" s="40" t="s">
        <v>21</v>
      </c>
      <c r="K168" s="41" t="s">
        <v>22</v>
      </c>
      <c r="L168" s="42" t="s">
        <v>23</v>
      </c>
      <c r="M168" s="43" t="s">
        <v>157</v>
      </c>
      <c r="N168" s="42" t="s">
        <v>158</v>
      </c>
      <c r="O168" s="42" t="s">
        <v>21</v>
      </c>
      <c r="P168" s="44"/>
    </row>
    <row r="169" spans="1:16" customFormat="1" ht="15" customHeight="1" x14ac:dyDescent="0.25">
      <c r="A169" t="str">
        <f t="shared" si="2"/>
        <v>ALR_GRADIENTE-Allarme gradiente sensore</v>
      </c>
      <c r="B169" t="str">
        <f>VLOOKUP(A169,'EXPORT IRIS PROD 13-11-2024'!A:A,1,0)</f>
        <v>ALR_GRADIENTE-Allarme gradiente sensore</v>
      </c>
      <c r="C169" t="str">
        <f>VLOOKUP(F169,'EXPORT IRIS PROD 13-11-2024'!F:F,1,0)</f>
        <v>ALR_GRADIENTE</v>
      </c>
      <c r="D169" t="str">
        <f>VLOOKUP(G169,'EXPORT IRIS PROD 13-11-2024'!D:D,1,0)</f>
        <v>Allarme gradiente sensore</v>
      </c>
      <c r="E169" s="37" t="s">
        <v>213</v>
      </c>
      <c r="F169" s="38" t="s">
        <v>363</v>
      </c>
      <c r="G169" s="38" t="s">
        <v>364</v>
      </c>
      <c r="H169" s="39" t="s">
        <v>50</v>
      </c>
      <c r="I169" s="39" t="s">
        <v>51</v>
      </c>
      <c r="J169" s="40" t="s">
        <v>21</v>
      </c>
      <c r="K169" s="41" t="s">
        <v>22</v>
      </c>
      <c r="L169" s="42" t="s">
        <v>23</v>
      </c>
      <c r="M169" s="43" t="s">
        <v>157</v>
      </c>
      <c r="N169" s="42" t="s">
        <v>158</v>
      </c>
      <c r="O169" s="42" t="s">
        <v>21</v>
      </c>
      <c r="P169" s="44"/>
    </row>
    <row r="170" spans="1:16" customFormat="1" ht="15" customHeight="1" x14ac:dyDescent="0.25">
      <c r="A170" t="str">
        <f t="shared" si="2"/>
        <v>ALR_GRADIENTE-Allarme gradiente sensore</v>
      </c>
      <c r="B170" t="str">
        <f>VLOOKUP(A170,'EXPORT IRIS PROD 13-11-2024'!A:A,1,0)</f>
        <v>ALR_GRADIENTE-Allarme gradiente sensore</v>
      </c>
      <c r="C170" t="str">
        <f>VLOOKUP(F170,'EXPORT IRIS PROD 13-11-2024'!F:F,1,0)</f>
        <v>ALR_GRADIENTE</v>
      </c>
      <c r="D170" t="str">
        <f>VLOOKUP(G170,'EXPORT IRIS PROD 13-11-2024'!D:D,1,0)</f>
        <v>Allarme gradiente sensore</v>
      </c>
      <c r="E170" s="37" t="s">
        <v>213</v>
      </c>
      <c r="F170" s="38" t="s">
        <v>363</v>
      </c>
      <c r="G170" s="38" t="s">
        <v>364</v>
      </c>
      <c r="H170" s="39" t="s">
        <v>50</v>
      </c>
      <c r="I170" s="39" t="s">
        <v>21</v>
      </c>
      <c r="J170" s="40" t="s">
        <v>21</v>
      </c>
      <c r="K170" s="41" t="s">
        <v>22</v>
      </c>
      <c r="L170" s="42" t="s">
        <v>23</v>
      </c>
      <c r="M170" s="43" t="s">
        <v>157</v>
      </c>
      <c r="N170" s="42" t="s">
        <v>158</v>
      </c>
      <c r="O170" s="42" t="s">
        <v>21</v>
      </c>
      <c r="P170" s="44"/>
    </row>
    <row r="171" spans="1:16" customFormat="1" ht="15" customHeight="1" x14ac:dyDescent="0.25">
      <c r="A171" t="str">
        <f t="shared" si="2"/>
        <v>ALR_GRADIENTE-Allarme gradiente sensore</v>
      </c>
      <c r="B171" t="str">
        <f>VLOOKUP(A171,'EXPORT IRIS PROD 13-11-2024'!A:A,1,0)</f>
        <v>ALR_GRADIENTE-Allarme gradiente sensore</v>
      </c>
      <c r="C171" t="str">
        <f>VLOOKUP(F171,'EXPORT IRIS PROD 13-11-2024'!F:F,1,0)</f>
        <v>ALR_GRADIENTE</v>
      </c>
      <c r="D171" t="str">
        <f>VLOOKUP(G171,'EXPORT IRIS PROD 13-11-2024'!D:D,1,0)</f>
        <v>Allarme gradiente sensore</v>
      </c>
      <c r="E171" s="37" t="s">
        <v>213</v>
      </c>
      <c r="F171" s="38" t="s">
        <v>363</v>
      </c>
      <c r="G171" s="38" t="s">
        <v>364</v>
      </c>
      <c r="H171" s="39" t="s">
        <v>50</v>
      </c>
      <c r="I171" s="39" t="s">
        <v>52</v>
      </c>
      <c r="J171" s="40" t="s">
        <v>21</v>
      </c>
      <c r="K171" s="41" t="s">
        <v>22</v>
      </c>
      <c r="L171" s="42" t="s">
        <v>23</v>
      </c>
      <c r="M171" s="43" t="s">
        <v>157</v>
      </c>
      <c r="N171" s="42" t="s">
        <v>158</v>
      </c>
      <c r="O171" s="42" t="s">
        <v>21</v>
      </c>
      <c r="P171" s="44"/>
    </row>
    <row r="172" spans="1:16" customFormat="1" ht="15" customHeight="1" x14ac:dyDescent="0.25">
      <c r="A172" t="str">
        <f t="shared" si="2"/>
        <v>ALR_GRUPPO-Allarme gruppo</v>
      </c>
      <c r="B172" t="str">
        <f>VLOOKUP(A172,'EXPORT IRIS PROD 13-11-2024'!A:A,1,0)</f>
        <v>ALR_GRUPPO-Allarme gruppo</v>
      </c>
      <c r="C172" t="str">
        <f>VLOOKUP(F172,'EXPORT IRIS PROD 13-11-2024'!F:F,1,0)</f>
        <v>ALR_GRUPPO</v>
      </c>
      <c r="D172" t="str">
        <f>VLOOKUP(G172,'EXPORT IRIS PROD 13-11-2024'!D:D,1,0)</f>
        <v>Allarme gruppo</v>
      </c>
      <c r="E172" s="37" t="s">
        <v>53</v>
      </c>
      <c r="F172" s="38" t="s">
        <v>365</v>
      </c>
      <c r="G172" s="38" t="s">
        <v>366</v>
      </c>
      <c r="H172" s="39" t="s">
        <v>56</v>
      </c>
      <c r="I172" s="39" t="s">
        <v>57</v>
      </c>
      <c r="J172" s="40" t="s">
        <v>21</v>
      </c>
      <c r="K172" s="41" t="s">
        <v>22</v>
      </c>
      <c r="L172" s="42" t="s">
        <v>23</v>
      </c>
      <c r="M172" s="43" t="s">
        <v>24</v>
      </c>
      <c r="N172" s="42" t="s">
        <v>25</v>
      </c>
      <c r="O172" s="42" t="s">
        <v>21</v>
      </c>
      <c r="P172" s="44"/>
    </row>
    <row r="173" spans="1:16" customFormat="1" ht="15" customHeight="1" x14ac:dyDescent="0.25">
      <c r="A173" t="str">
        <f t="shared" si="2"/>
        <v>ALR_GRUPPO_EL_AVARIA-Allarme avaria Gruppo Elettrogeno</v>
      </c>
      <c r="B173" t="str">
        <f>VLOOKUP(A173,'EXPORT IRIS PROD 13-11-2024'!A:A,1,0)</f>
        <v>ALR_GRUPPO_EL_AVARIA-Allarme avaria Gruppo Elettrogeno</v>
      </c>
      <c r="C173" t="str">
        <f>VLOOKUP(F173,'EXPORT IRIS PROD 13-11-2024'!F:F,1,0)</f>
        <v>ALR_GRUPPO_EL_AVARIA</v>
      </c>
      <c r="D173" t="str">
        <f>VLOOKUP(G173,'EXPORT IRIS PROD 13-11-2024'!D:D,1,0)</f>
        <v>Allarme avaria Gruppo Elettrogeno</v>
      </c>
      <c r="E173" s="37" t="s">
        <v>53</v>
      </c>
      <c r="F173" s="38" t="s">
        <v>367</v>
      </c>
      <c r="G173" s="38" t="s">
        <v>368</v>
      </c>
      <c r="H173" s="39" t="s">
        <v>56</v>
      </c>
      <c r="I173" s="39" t="s">
        <v>57</v>
      </c>
      <c r="J173" s="40" t="s">
        <v>21</v>
      </c>
      <c r="K173" s="41" t="s">
        <v>22</v>
      </c>
      <c r="L173" s="42" t="s">
        <v>23</v>
      </c>
      <c r="M173" s="43" t="s">
        <v>33</v>
      </c>
      <c r="N173" s="42" t="s">
        <v>34</v>
      </c>
      <c r="O173" s="54" t="s">
        <v>31</v>
      </c>
      <c r="P173" s="52"/>
    </row>
    <row r="174" spans="1:16" customFormat="1" ht="15" customHeight="1" x14ac:dyDescent="0.25">
      <c r="A174" t="str">
        <f t="shared" si="2"/>
        <v>ALR_GRUPPO_ELETTROGENO_AVVIATO-Allarme Gruppo Elettrogeno avviato</v>
      </c>
      <c r="B174" t="str">
        <f>VLOOKUP(A174,'EXPORT IRIS PROD 13-11-2024'!A:A,1,0)</f>
        <v>ALR_GRUPPO_ELETTROGENO_AVVIATO-Allarme Gruppo Elettrogeno avviato</v>
      </c>
      <c r="C174" t="str">
        <f>VLOOKUP(F174,'EXPORT IRIS PROD 13-11-2024'!F:F,1,0)</f>
        <v>ALR_GRUPPO_ELETTROGENO_AVVIATO</v>
      </c>
      <c r="D174" t="str">
        <f>VLOOKUP(G174,'EXPORT IRIS PROD 13-11-2024'!D:D,1,0)</f>
        <v>Allarme Gruppo Elettrogeno avviato</v>
      </c>
      <c r="E174" s="37" t="s">
        <v>369</v>
      </c>
      <c r="F174" s="38" t="s">
        <v>370</v>
      </c>
      <c r="G174" s="45" t="s">
        <v>371</v>
      </c>
      <c r="H174" s="46" t="s">
        <v>56</v>
      </c>
      <c r="I174" s="46" t="s">
        <v>57</v>
      </c>
      <c r="J174" s="47" t="s">
        <v>31</v>
      </c>
      <c r="K174" s="48" t="s">
        <v>32</v>
      </c>
      <c r="L174" s="43">
        <v>2</v>
      </c>
      <c r="M174" s="43" t="s">
        <v>33</v>
      </c>
      <c r="N174" s="43" t="s">
        <v>34</v>
      </c>
      <c r="O174" s="43" t="s">
        <v>31</v>
      </c>
      <c r="P174" s="49"/>
    </row>
    <row r="175" spans="1:16" customFormat="1" ht="15" customHeight="1" x14ac:dyDescent="0.25">
      <c r="A175" t="str">
        <f t="shared" si="2"/>
        <v>ALR_GRUPPO_NON_PRONTO-Allarme Gruppo Elettrogeno non pronto</v>
      </c>
      <c r="B175" t="str">
        <f>VLOOKUP(A175,'EXPORT IRIS PROD 13-11-2024'!A:A,1,0)</f>
        <v>ALR_GRUPPO_NON_PRONTO-Allarme Gruppo Elettrogeno non pronto</v>
      </c>
      <c r="C175" t="str">
        <f>VLOOKUP(F175,'EXPORT IRIS PROD 13-11-2024'!F:F,1,0)</f>
        <v>ALR_GRUPPO_NON_PRONTO</v>
      </c>
      <c r="D175" t="str">
        <f>VLOOKUP(G175,'EXPORT IRIS PROD 13-11-2024'!D:D,1,0)</f>
        <v>Allarme Gruppo Elettrogeno non pronto</v>
      </c>
      <c r="E175" s="37" t="s">
        <v>53</v>
      </c>
      <c r="F175" s="38" t="s">
        <v>372</v>
      </c>
      <c r="G175" s="38" t="s">
        <v>373</v>
      </c>
      <c r="H175" s="39" t="s">
        <v>56</v>
      </c>
      <c r="I175" s="39" t="s">
        <v>57</v>
      </c>
      <c r="J175" s="40" t="s">
        <v>21</v>
      </c>
      <c r="K175" s="41" t="s">
        <v>22</v>
      </c>
      <c r="L175" s="42" t="s">
        <v>23</v>
      </c>
      <c r="M175" s="43" t="s">
        <v>24</v>
      </c>
      <c r="N175" s="42" t="s">
        <v>25</v>
      </c>
      <c r="O175" s="42" t="s">
        <v>21</v>
      </c>
      <c r="P175" s="44"/>
    </row>
    <row r="176" spans="1:16" customFormat="1" ht="15" customHeight="1" x14ac:dyDescent="0.25">
      <c r="A176" t="str">
        <f t="shared" si="2"/>
        <v>ALR_GUASTO_1_IMP-Allarme guasto dispositivo</v>
      </c>
      <c r="B176" t="str">
        <f>VLOOKUP(A176,'EXPORT IRIS PROD 13-11-2024'!A:A,1,0)</f>
        <v>ALR_GUASTO_1_IMP-Allarme guasto dispositivo</v>
      </c>
      <c r="C176" t="str">
        <f>VLOOKUP(F176,'EXPORT IRIS PROD 13-11-2024'!F:F,1,0)</f>
        <v>ALR_GUASTO_1_IMP</v>
      </c>
      <c r="D176" t="str">
        <f>VLOOKUP(G176,'EXPORT IRIS PROD 13-11-2024'!D:D,1,0)</f>
        <v>Allarme guasto dispositivo</v>
      </c>
      <c r="E176" s="37" t="s">
        <v>109</v>
      </c>
      <c r="F176" s="38" t="s">
        <v>374</v>
      </c>
      <c r="G176" s="38" t="s">
        <v>375</v>
      </c>
      <c r="H176" s="39" t="s">
        <v>111</v>
      </c>
      <c r="I176" s="39" t="s">
        <v>376</v>
      </c>
      <c r="J176" s="40" t="s">
        <v>21</v>
      </c>
      <c r="K176" s="41" t="s">
        <v>22</v>
      </c>
      <c r="L176" s="42" t="s">
        <v>23</v>
      </c>
      <c r="M176" s="43" t="s">
        <v>157</v>
      </c>
      <c r="N176" s="42" t="s">
        <v>158</v>
      </c>
      <c r="O176" s="42" t="s">
        <v>21</v>
      </c>
      <c r="P176" s="44"/>
    </row>
    <row r="177" spans="1:16" customFormat="1" ht="15" customHeight="1" x14ac:dyDescent="0.25">
      <c r="A177" t="str">
        <f t="shared" si="2"/>
        <v>ALR_GUASTO_2_IMP-Allarme guasto dispositivo</v>
      </c>
      <c r="B177" t="str">
        <f>VLOOKUP(A177,'EXPORT IRIS PROD 13-11-2024'!A:A,1,0)</f>
        <v>ALR_GUASTO_2_IMP-Allarme guasto dispositivo</v>
      </c>
      <c r="C177" t="str">
        <f>VLOOKUP(F177,'EXPORT IRIS PROD 13-11-2024'!F:F,1,0)</f>
        <v>ALR_GUASTO_2_IMP</v>
      </c>
      <c r="D177" t="str">
        <f>VLOOKUP(G177,'EXPORT IRIS PROD 13-11-2024'!D:D,1,0)</f>
        <v>Allarme guasto dispositivo</v>
      </c>
      <c r="E177" s="37" t="s">
        <v>109</v>
      </c>
      <c r="F177" s="38" t="s">
        <v>377</v>
      </c>
      <c r="G177" s="38" t="s">
        <v>375</v>
      </c>
      <c r="H177" s="39" t="s">
        <v>111</v>
      </c>
      <c r="I177" s="39" t="s">
        <v>127</v>
      </c>
      <c r="J177" s="40" t="s">
        <v>21</v>
      </c>
      <c r="K177" s="41" t="s">
        <v>22</v>
      </c>
      <c r="L177" s="42" t="s">
        <v>23</v>
      </c>
      <c r="M177" s="43" t="s">
        <v>24</v>
      </c>
      <c r="N177" s="42" t="s">
        <v>25</v>
      </c>
      <c r="O177" s="42" t="s">
        <v>21</v>
      </c>
      <c r="P177" s="44"/>
    </row>
    <row r="178" spans="1:16" customFormat="1" ht="15" customHeight="1" x14ac:dyDescent="0.25">
      <c r="A178" t="str">
        <f t="shared" si="2"/>
        <v>ALR_GUASTO_2_IMP-Allarme guasto dispositivo</v>
      </c>
      <c r="B178" t="str">
        <f>VLOOKUP(A178,'EXPORT IRIS PROD 13-11-2024'!A:A,1,0)</f>
        <v>ALR_GUASTO_2_IMP-Allarme guasto dispositivo</v>
      </c>
      <c r="C178" t="str">
        <f>VLOOKUP(F178,'EXPORT IRIS PROD 13-11-2024'!F:F,1,0)</f>
        <v>ALR_GUASTO_2_IMP</v>
      </c>
      <c r="D178" t="str">
        <f>VLOOKUP(G178,'EXPORT IRIS PROD 13-11-2024'!D:D,1,0)</f>
        <v>Allarme guasto dispositivo</v>
      </c>
      <c r="E178" s="37" t="s">
        <v>198</v>
      </c>
      <c r="F178" s="38" t="s">
        <v>377</v>
      </c>
      <c r="G178" s="38" t="s">
        <v>375</v>
      </c>
      <c r="H178" s="39" t="s">
        <v>201</v>
      </c>
      <c r="I178" s="39" t="s">
        <v>263</v>
      </c>
      <c r="J178" s="40" t="s">
        <v>21</v>
      </c>
      <c r="K178" s="41" t="s">
        <v>22</v>
      </c>
      <c r="L178" s="42" t="s">
        <v>23</v>
      </c>
      <c r="M178" s="43" t="s">
        <v>24</v>
      </c>
      <c r="N178" s="42" t="s">
        <v>25</v>
      </c>
      <c r="O178" s="42" t="s">
        <v>21</v>
      </c>
      <c r="P178" s="44"/>
    </row>
    <row r="179" spans="1:16" customFormat="1" ht="15" customHeight="1" x14ac:dyDescent="0.25">
      <c r="A179" t="str">
        <f t="shared" si="2"/>
        <v>ALR_GUASTO_2_IMP-Allarme guasto dispositivo</v>
      </c>
      <c r="B179" t="str">
        <f>VLOOKUP(A179,'EXPORT IRIS PROD 13-11-2024'!A:A,1,0)</f>
        <v>ALR_GUASTO_2_IMP-Allarme guasto dispositivo</v>
      </c>
      <c r="C179" t="str">
        <f>VLOOKUP(F179,'EXPORT IRIS PROD 13-11-2024'!F:F,1,0)</f>
        <v>ALR_GUASTO_2_IMP</v>
      </c>
      <c r="D179" t="str">
        <f>VLOOKUP(G179,'EXPORT IRIS PROD 13-11-2024'!D:D,1,0)</f>
        <v>Allarme guasto dispositivo</v>
      </c>
      <c r="E179" s="37" t="s">
        <v>109</v>
      </c>
      <c r="F179" s="38" t="s">
        <v>377</v>
      </c>
      <c r="G179" s="55" t="s">
        <v>375</v>
      </c>
      <c r="H179" s="50" t="s">
        <v>378</v>
      </c>
      <c r="I179" s="39" t="s">
        <v>379</v>
      </c>
      <c r="J179" s="40" t="s">
        <v>21</v>
      </c>
      <c r="K179" s="41" t="s">
        <v>22</v>
      </c>
      <c r="L179" s="42" t="s">
        <v>23</v>
      </c>
      <c r="M179" s="43" t="s">
        <v>24</v>
      </c>
      <c r="N179" s="42" t="s">
        <v>25</v>
      </c>
      <c r="O179" s="42" t="s">
        <v>21</v>
      </c>
      <c r="P179" s="44"/>
    </row>
    <row r="180" spans="1:16" customFormat="1" ht="15" customHeight="1" x14ac:dyDescent="0.25">
      <c r="A180" t="str">
        <f t="shared" si="2"/>
        <v>ALR_GUASTO_2_IMP-Allarme guasto dispositivo</v>
      </c>
      <c r="B180" t="str">
        <f>VLOOKUP(A180,'EXPORT IRIS PROD 13-11-2024'!A:A,1,0)</f>
        <v>ALR_GUASTO_2_IMP-Allarme guasto dispositivo</v>
      </c>
      <c r="C180" t="str">
        <f>VLOOKUP(F180,'EXPORT IRIS PROD 13-11-2024'!F:F,1,0)</f>
        <v>ALR_GUASTO_2_IMP</v>
      </c>
      <c r="D180" t="str">
        <f>VLOOKUP(G180,'EXPORT IRIS PROD 13-11-2024'!D:D,1,0)</f>
        <v>Allarme guasto dispositivo</v>
      </c>
      <c r="E180" s="37" t="s">
        <v>53</v>
      </c>
      <c r="F180" s="38" t="s">
        <v>377</v>
      </c>
      <c r="G180" s="38" t="s">
        <v>375</v>
      </c>
      <c r="H180" s="39" t="s">
        <v>56</v>
      </c>
      <c r="I180" s="39" t="s">
        <v>355</v>
      </c>
      <c r="J180" s="40" t="s">
        <v>21</v>
      </c>
      <c r="K180" s="41" t="s">
        <v>22</v>
      </c>
      <c r="L180" s="42" t="s">
        <v>23</v>
      </c>
      <c r="M180" s="43" t="s">
        <v>24</v>
      </c>
      <c r="N180" s="42" t="s">
        <v>25</v>
      </c>
      <c r="O180" s="42" t="s">
        <v>21</v>
      </c>
      <c r="P180" s="44"/>
    </row>
    <row r="181" spans="1:16" customFormat="1" ht="15" customHeight="1" x14ac:dyDescent="0.25">
      <c r="A181" t="str">
        <f t="shared" si="2"/>
        <v>ALR_GUASTO_2_IMP-Allarme guasto dispositivo</v>
      </c>
      <c r="B181" t="str">
        <f>VLOOKUP(A181,'EXPORT IRIS PROD 13-11-2024'!A:A,1,0)</f>
        <v>ALR_GUASTO_2_IMP-Allarme guasto dispositivo</v>
      </c>
      <c r="C181" t="str">
        <f>VLOOKUP(F181,'EXPORT IRIS PROD 13-11-2024'!F:F,1,0)</f>
        <v>ALR_GUASTO_2_IMP</v>
      </c>
      <c r="D181" t="str">
        <f>VLOOKUP(G181,'EXPORT IRIS PROD 13-11-2024'!D:D,1,0)</f>
        <v>Allarme guasto dispositivo</v>
      </c>
      <c r="E181" s="37" t="s">
        <v>53</v>
      </c>
      <c r="F181" s="38" t="s">
        <v>377</v>
      </c>
      <c r="G181" s="38" t="s">
        <v>375</v>
      </c>
      <c r="H181" s="39" t="s">
        <v>56</v>
      </c>
      <c r="I181" s="39" t="s">
        <v>104</v>
      </c>
      <c r="J181" s="40" t="s">
        <v>21</v>
      </c>
      <c r="K181" s="41" t="s">
        <v>22</v>
      </c>
      <c r="L181" s="42" t="s">
        <v>23</v>
      </c>
      <c r="M181" s="43" t="s">
        <v>24</v>
      </c>
      <c r="N181" s="42" t="s">
        <v>25</v>
      </c>
      <c r="O181" s="42" t="s">
        <v>21</v>
      </c>
      <c r="P181" s="44"/>
    </row>
    <row r="182" spans="1:16" customFormat="1" ht="15" customHeight="1" x14ac:dyDescent="0.25">
      <c r="A182" t="str">
        <f t="shared" si="2"/>
        <v>ALR_GUASTO_2_IMP-Allarme guasto dispositivo</v>
      </c>
      <c r="B182" t="str">
        <f>VLOOKUP(A182,'EXPORT IRIS PROD 13-11-2024'!A:A,1,0)</f>
        <v>ALR_GUASTO_2_IMP-Allarme guasto dispositivo</v>
      </c>
      <c r="C182" t="str">
        <f>VLOOKUP(F182,'EXPORT IRIS PROD 13-11-2024'!F:F,1,0)</f>
        <v>ALR_GUASTO_2_IMP</v>
      </c>
      <c r="D182" t="str">
        <f>VLOOKUP(G182,'EXPORT IRIS PROD 13-11-2024'!D:D,1,0)</f>
        <v>Allarme guasto dispositivo</v>
      </c>
      <c r="E182" s="37" t="s">
        <v>115</v>
      </c>
      <c r="F182" s="38" t="s">
        <v>377</v>
      </c>
      <c r="G182" s="38" t="s">
        <v>375</v>
      </c>
      <c r="H182" s="39" t="s">
        <v>116</v>
      </c>
      <c r="I182" s="39" t="s">
        <v>257</v>
      </c>
      <c r="J182" s="40" t="s">
        <v>21</v>
      </c>
      <c r="K182" s="41" t="s">
        <v>22</v>
      </c>
      <c r="L182" s="42" t="s">
        <v>23</v>
      </c>
      <c r="M182" s="43" t="s">
        <v>24</v>
      </c>
      <c r="N182" s="42" t="s">
        <v>25</v>
      </c>
      <c r="O182" s="42" t="s">
        <v>21</v>
      </c>
      <c r="P182" s="44"/>
    </row>
    <row r="183" spans="1:16" customFormat="1" ht="15" customHeight="1" x14ac:dyDescent="0.25">
      <c r="A183" t="str">
        <f t="shared" si="2"/>
        <v>ALR_GUASTO_2_IMP-Allarme guasto dispositivo</v>
      </c>
      <c r="B183" t="str">
        <f>VLOOKUP(A183,'EXPORT IRIS PROD 13-11-2024'!A:A,1,0)</f>
        <v>ALR_GUASTO_2_IMP-Allarme guasto dispositivo</v>
      </c>
      <c r="C183" t="str">
        <f>VLOOKUP(F183,'EXPORT IRIS PROD 13-11-2024'!F:F,1,0)</f>
        <v>ALR_GUASTO_2_IMP</v>
      </c>
      <c r="D183" t="str">
        <f>VLOOKUP(G183,'EXPORT IRIS PROD 13-11-2024'!D:D,1,0)</f>
        <v>Allarme guasto dispositivo</v>
      </c>
      <c r="E183" s="37" t="s">
        <v>89</v>
      </c>
      <c r="F183" s="38" t="s">
        <v>377</v>
      </c>
      <c r="G183" s="38" t="s">
        <v>375</v>
      </c>
      <c r="H183" s="39" t="s">
        <v>29</v>
      </c>
      <c r="I183" s="39" t="s">
        <v>30</v>
      </c>
      <c r="J183" s="40" t="s">
        <v>21</v>
      </c>
      <c r="K183" s="41" t="s">
        <v>22</v>
      </c>
      <c r="L183" s="42" t="s">
        <v>23</v>
      </c>
      <c r="M183" s="43" t="s">
        <v>24</v>
      </c>
      <c r="N183" s="42" t="s">
        <v>25</v>
      </c>
      <c r="O183" s="42" t="s">
        <v>21</v>
      </c>
      <c r="P183" s="44"/>
    </row>
    <row r="184" spans="1:16" customFormat="1" ht="15" customHeight="1" x14ac:dyDescent="0.25">
      <c r="A184" t="str">
        <f t="shared" si="2"/>
        <v>ALR_GUASTO_2_IMP-Allarme guasto dispositivo</v>
      </c>
      <c r="B184" t="str">
        <f>VLOOKUP(A184,'EXPORT IRIS PROD 13-11-2024'!A:A,1,0)</f>
        <v>ALR_GUASTO_2_IMP-Allarme guasto dispositivo</v>
      </c>
      <c r="C184" t="str">
        <f>VLOOKUP(F184,'EXPORT IRIS PROD 13-11-2024'!F:F,1,0)</f>
        <v>ALR_GUASTO_2_IMP</v>
      </c>
      <c r="D184" t="str">
        <f>VLOOKUP(G184,'EXPORT IRIS PROD 13-11-2024'!D:D,1,0)</f>
        <v>Allarme guasto dispositivo</v>
      </c>
      <c r="E184" s="37" t="s">
        <v>198</v>
      </c>
      <c r="F184" s="38" t="s">
        <v>377</v>
      </c>
      <c r="G184" s="38" t="s">
        <v>375</v>
      </c>
      <c r="H184" s="39" t="s">
        <v>201</v>
      </c>
      <c r="I184" s="39" t="s">
        <v>380</v>
      </c>
      <c r="J184" s="40" t="s">
        <v>21</v>
      </c>
      <c r="K184" s="41" t="s">
        <v>22</v>
      </c>
      <c r="L184" s="42" t="s">
        <v>23</v>
      </c>
      <c r="M184" s="43" t="s">
        <v>24</v>
      </c>
      <c r="N184" s="42" t="s">
        <v>25</v>
      </c>
      <c r="O184" s="42" t="s">
        <v>21</v>
      </c>
      <c r="P184" s="44"/>
    </row>
    <row r="185" spans="1:16" customFormat="1" ht="15" customHeight="1" x14ac:dyDescent="0.25">
      <c r="A185" t="str">
        <f t="shared" si="2"/>
        <v>ALR_GUASTO_2_IMP-Allarme guasto dispositivo</v>
      </c>
      <c r="B185" t="str">
        <f>VLOOKUP(A185,'EXPORT IRIS PROD 13-11-2024'!A:A,1,0)</f>
        <v>ALR_GUASTO_2_IMP-Allarme guasto dispositivo</v>
      </c>
      <c r="C185" t="str">
        <f>VLOOKUP(F185,'EXPORT IRIS PROD 13-11-2024'!F:F,1,0)</f>
        <v>ALR_GUASTO_2_IMP</v>
      </c>
      <c r="D185" t="str">
        <f>VLOOKUP(G185,'EXPORT IRIS PROD 13-11-2024'!D:D,1,0)</f>
        <v>Allarme guasto dispositivo</v>
      </c>
      <c r="E185" s="37" t="s">
        <v>85</v>
      </c>
      <c r="F185" s="38" t="s">
        <v>377</v>
      </c>
      <c r="G185" s="38" t="s">
        <v>375</v>
      </c>
      <c r="H185" s="39" t="s">
        <v>50</v>
      </c>
      <c r="I185" s="39" t="s">
        <v>381</v>
      </c>
      <c r="J185" s="40" t="s">
        <v>21</v>
      </c>
      <c r="K185" s="41" t="s">
        <v>22</v>
      </c>
      <c r="L185" s="42" t="s">
        <v>23</v>
      </c>
      <c r="M185" s="43" t="s">
        <v>24</v>
      </c>
      <c r="N185" s="42" t="s">
        <v>25</v>
      </c>
      <c r="O185" s="42" t="s">
        <v>21</v>
      </c>
      <c r="P185" s="44"/>
    </row>
    <row r="186" spans="1:16" customFormat="1" ht="15" customHeight="1" x14ac:dyDescent="0.25">
      <c r="A186" t="str">
        <f t="shared" si="2"/>
        <v>ALR_GUASTO_2_IMP-Allarme guasto dispositivo</v>
      </c>
      <c r="B186" t="str">
        <f>VLOOKUP(A186,'EXPORT IRIS PROD 13-11-2024'!A:A,1,0)</f>
        <v>ALR_GUASTO_2_IMP-Allarme guasto dispositivo</v>
      </c>
      <c r="C186" t="str">
        <f>VLOOKUP(F186,'EXPORT IRIS PROD 13-11-2024'!F:F,1,0)</f>
        <v>ALR_GUASTO_2_IMP</v>
      </c>
      <c r="D186" t="str">
        <f>VLOOKUP(G186,'EXPORT IRIS PROD 13-11-2024'!D:D,1,0)</f>
        <v>Allarme guasto dispositivo</v>
      </c>
      <c r="E186" s="37" t="s">
        <v>85</v>
      </c>
      <c r="F186" s="38" t="s">
        <v>377</v>
      </c>
      <c r="G186" s="38" t="s">
        <v>375</v>
      </c>
      <c r="H186" s="39" t="s">
        <v>50</v>
      </c>
      <c r="I186" s="39" t="s">
        <v>124</v>
      </c>
      <c r="J186" s="40" t="s">
        <v>21</v>
      </c>
      <c r="K186" s="41" t="s">
        <v>22</v>
      </c>
      <c r="L186" s="42" t="s">
        <v>23</v>
      </c>
      <c r="M186" s="43" t="s">
        <v>24</v>
      </c>
      <c r="N186" s="42" t="s">
        <v>25</v>
      </c>
      <c r="O186" s="42" t="s">
        <v>21</v>
      </c>
      <c r="P186" s="44"/>
    </row>
    <row r="187" spans="1:16" customFormat="1" ht="15" customHeight="1" x14ac:dyDescent="0.25">
      <c r="A187" t="str">
        <f t="shared" si="2"/>
        <v>ALR_GUASTO_CENTRALINA_INTRUSIONE-Allarme guasto centralina intrusione in cabina</v>
      </c>
      <c r="B187" t="str">
        <f>VLOOKUP(A187,'EXPORT IRIS PROD 13-11-2024'!A:A,1,0)</f>
        <v>ALR_GUASTO_CENTRALINA_INTRUSIONE-Allarme guasto centralina intrusione in cabina</v>
      </c>
      <c r="C187" t="str">
        <f>VLOOKUP(F187,'EXPORT IRIS PROD 13-11-2024'!F:F,1,0)</f>
        <v>ALR_GUASTO_CENTRALINA_INTRUSIONE</v>
      </c>
      <c r="D187" t="str">
        <f>VLOOKUP(G187,'EXPORT IRIS PROD 13-11-2024'!D:D,1,0)</f>
        <v>Allarme guasto centralina intrusione in cabina</v>
      </c>
      <c r="E187" s="37" t="s">
        <v>382</v>
      </c>
      <c r="F187" s="38" t="s">
        <v>383</v>
      </c>
      <c r="G187" s="38" t="s">
        <v>384</v>
      </c>
      <c r="H187" s="39" t="s">
        <v>385</v>
      </c>
      <c r="I187" s="39" t="s">
        <v>386</v>
      </c>
      <c r="J187" s="40" t="s">
        <v>21</v>
      </c>
      <c r="K187" s="41" t="s">
        <v>22</v>
      </c>
      <c r="L187" s="42" t="s">
        <v>23</v>
      </c>
      <c r="M187" s="43" t="s">
        <v>24</v>
      </c>
      <c r="N187" s="42" t="s">
        <v>25</v>
      </c>
      <c r="O187" s="42" t="s">
        <v>21</v>
      </c>
      <c r="P187" s="44"/>
    </row>
    <row r="188" spans="1:16" customFormat="1" ht="15" customHeight="1" x14ac:dyDescent="0.25">
      <c r="A188" t="str">
        <f t="shared" si="2"/>
        <v>ALR_GUASTO_CRI-Allarme guasto dispositivo Allarme guasto CRI</v>
      </c>
      <c r="B188" s="86" t="e">
        <f>VLOOKUP(A188,'EXPORT IRIS PROD 13-11-2024'!A:A,1,0)</f>
        <v>#N/A</v>
      </c>
      <c r="C188" t="str">
        <f>VLOOKUP(F188,'EXPORT IRIS PROD 13-11-2024'!F:F,1,0)</f>
        <v>ALR_GUASTO_CRI</v>
      </c>
      <c r="D188" t="e">
        <f>VLOOKUP(G188,'EXPORT IRIS PROD 13-11-2024'!D:D,1,0)</f>
        <v>#N/A</v>
      </c>
      <c r="E188" s="37" t="s">
        <v>105</v>
      </c>
      <c r="F188" s="38" t="s">
        <v>387</v>
      </c>
      <c r="G188" s="38" t="s">
        <v>388</v>
      </c>
      <c r="H188" s="39" t="s">
        <v>43</v>
      </c>
      <c r="I188" s="53" t="s">
        <v>108</v>
      </c>
      <c r="J188" s="40" t="s">
        <v>31</v>
      </c>
      <c r="K188" s="41" t="s">
        <v>32</v>
      </c>
      <c r="L188" s="42">
        <v>3</v>
      </c>
      <c r="M188" s="43" t="s">
        <v>33</v>
      </c>
      <c r="N188" s="42" t="s">
        <v>34</v>
      </c>
      <c r="O188" s="42" t="s">
        <v>31</v>
      </c>
      <c r="P188" s="44"/>
    </row>
    <row r="189" spans="1:16" customFormat="1" ht="15" customHeight="1" x14ac:dyDescent="0.25">
      <c r="A189" t="str">
        <f t="shared" si="2"/>
        <v>ALR_GUASTO_CRI-Allarme guasto CRI</v>
      </c>
      <c r="B189" t="str">
        <f>VLOOKUP(A189,'EXPORT IRIS PROD 13-11-2024'!A:A,1,0)</f>
        <v>ALR_GUASTO_CRI-Allarme guasto CRI</v>
      </c>
      <c r="C189" t="str">
        <f>VLOOKUP(F189,'EXPORT IRIS PROD 13-11-2024'!F:F,1,0)</f>
        <v>ALR_GUASTO_CRI</v>
      </c>
      <c r="D189" t="str">
        <f>VLOOKUP(G189,'EXPORT IRIS PROD 13-11-2024'!D:D,1,0)</f>
        <v>Allarme guasto CRI</v>
      </c>
      <c r="E189" s="37" t="s">
        <v>105</v>
      </c>
      <c r="F189" s="38" t="s">
        <v>387</v>
      </c>
      <c r="G189" s="38" t="s">
        <v>389</v>
      </c>
      <c r="H189" s="39" t="s">
        <v>43</v>
      </c>
      <c r="I189" s="39" t="s">
        <v>108</v>
      </c>
      <c r="J189" s="40" t="s">
        <v>31</v>
      </c>
      <c r="K189" s="41" t="s">
        <v>32</v>
      </c>
      <c r="L189" s="42">
        <v>3</v>
      </c>
      <c r="M189" s="43" t="s">
        <v>33</v>
      </c>
      <c r="N189" s="42" t="s">
        <v>34</v>
      </c>
      <c r="O189" s="42" t="s">
        <v>31</v>
      </c>
      <c r="P189" s="44"/>
    </row>
    <row r="190" spans="1:16" customFormat="1" ht="15" customHeight="1" x14ac:dyDescent="0.25">
      <c r="A190" t="str">
        <f t="shared" si="2"/>
        <v>ALR_GUASTO_CRI_CABINA-Allarme guasto CRI cabina</v>
      </c>
      <c r="B190" t="str">
        <f>VLOOKUP(A190,'EXPORT IRIS PROD 13-11-2024'!A:A,1,0)</f>
        <v>ALR_GUASTO_CRI_CABINA-Allarme guasto CRI cabina</v>
      </c>
      <c r="C190" t="str">
        <f>VLOOKUP(F190,'EXPORT IRIS PROD 13-11-2024'!F:F,1,0)</f>
        <v>ALR_GUASTO_CRI_CABINA</v>
      </c>
      <c r="D190" t="str">
        <f>VLOOKUP(G190,'EXPORT IRIS PROD 13-11-2024'!D:D,1,0)</f>
        <v>Allarme guasto CRI cabina</v>
      </c>
      <c r="E190" s="37" t="s">
        <v>105</v>
      </c>
      <c r="F190" s="38" t="s">
        <v>390</v>
      </c>
      <c r="G190" s="38" t="s">
        <v>391</v>
      </c>
      <c r="H190" s="39" t="s">
        <v>43</v>
      </c>
      <c r="I190" s="39" t="s">
        <v>44</v>
      </c>
      <c r="J190" s="40" t="s">
        <v>31</v>
      </c>
      <c r="K190" s="41" t="s">
        <v>32</v>
      </c>
      <c r="L190" s="42">
        <v>3</v>
      </c>
      <c r="M190" s="43" t="s">
        <v>33</v>
      </c>
      <c r="N190" s="42" t="s">
        <v>34</v>
      </c>
      <c r="O190" s="42" t="s">
        <v>31</v>
      </c>
      <c r="P190" s="44"/>
    </row>
    <row r="191" spans="1:16" customFormat="1" ht="15" customHeight="1" x14ac:dyDescent="0.25">
      <c r="A191" t="str">
        <f t="shared" si="2"/>
        <v>ALR_GUASTO_FIBRA-Allarme guasto fibra</v>
      </c>
      <c r="B191" t="str">
        <f>VLOOKUP(A191,'EXPORT IRIS PROD 13-11-2024'!A:A,1,0)</f>
        <v>ALR_GUASTO_FIBRA-Allarme guasto fibra</v>
      </c>
      <c r="C191" t="str">
        <f>VLOOKUP(F191,'EXPORT IRIS PROD 13-11-2024'!F:F,1,0)</f>
        <v>ALR_GUASTO_FIBRA</v>
      </c>
      <c r="D191" t="str">
        <f>VLOOKUP(G191,'EXPORT IRIS PROD 13-11-2024'!D:D,1,0)</f>
        <v>Allarme guasto fibra</v>
      </c>
      <c r="E191" s="37" t="s">
        <v>105</v>
      </c>
      <c r="F191" s="38" t="s">
        <v>392</v>
      </c>
      <c r="G191" s="38" t="s">
        <v>393</v>
      </c>
      <c r="H191" s="39" t="s">
        <v>43</v>
      </c>
      <c r="I191" s="39" t="s">
        <v>394</v>
      </c>
      <c r="J191" s="40" t="s">
        <v>31</v>
      </c>
      <c r="K191" s="41" t="s">
        <v>32</v>
      </c>
      <c r="L191" s="42">
        <v>3</v>
      </c>
      <c r="M191" s="43" t="s">
        <v>33</v>
      </c>
      <c r="N191" s="42" t="s">
        <v>34</v>
      </c>
      <c r="O191" s="42" t="s">
        <v>31</v>
      </c>
      <c r="P191" s="44"/>
    </row>
    <row r="192" spans="1:16" customFormat="1" ht="15" customHeight="1" x14ac:dyDescent="0.25">
      <c r="A192" t="str">
        <f t="shared" si="2"/>
        <v>ALR_GUASTO_GRAVE-Allarme guasto grave</v>
      </c>
      <c r="B192" t="str">
        <f>VLOOKUP(A192,'EXPORT IRIS PROD 13-11-2024'!A:A,1,0)</f>
        <v>ALR_GUASTO_GRAVE-Allarme guasto grave</v>
      </c>
      <c r="C192" t="str">
        <f>VLOOKUP(F192,'EXPORT IRIS PROD 13-11-2024'!F:F,1,0)</f>
        <v>ALR_GUASTO_GRAVE</v>
      </c>
      <c r="D192" t="str">
        <f>VLOOKUP(G192,'EXPORT IRIS PROD 13-11-2024'!D:D,1,0)</f>
        <v>Allarme guasto grave</v>
      </c>
      <c r="E192" s="37" t="s">
        <v>16</v>
      </c>
      <c r="F192" s="38" t="s">
        <v>395</v>
      </c>
      <c r="G192" s="38" t="s">
        <v>396</v>
      </c>
      <c r="H192" s="39" t="s">
        <v>19</v>
      </c>
      <c r="I192" s="39" t="s">
        <v>397</v>
      </c>
      <c r="J192" s="40" t="s">
        <v>21</v>
      </c>
      <c r="K192" s="41" t="s">
        <v>22</v>
      </c>
      <c r="L192" s="42" t="s">
        <v>23</v>
      </c>
      <c r="M192" s="43" t="s">
        <v>24</v>
      </c>
      <c r="N192" s="42" t="s">
        <v>25</v>
      </c>
      <c r="O192" s="42" t="s">
        <v>21</v>
      </c>
      <c r="P192" s="44"/>
    </row>
    <row r="193" spans="1:16" ht="15" customHeight="1" x14ac:dyDescent="0.25">
      <c r="A193" t="str">
        <f t="shared" si="2"/>
        <v>ALR_GUASTO_LIEVE-Allarme guasto lieve</v>
      </c>
      <c r="B193" t="str">
        <f>VLOOKUP(A193,'EXPORT IRIS PROD 13-11-2024'!A:A,1,0)</f>
        <v>ALR_GUASTO_LIEVE-Allarme guasto lieve</v>
      </c>
      <c r="C193" t="str">
        <f>VLOOKUP(F193,'EXPORT IRIS PROD 13-11-2024'!F:F,1,0)</f>
        <v>ALR_GUASTO_LIEVE</v>
      </c>
      <c r="D193" t="str">
        <f>VLOOKUP(G193,'EXPORT IRIS PROD 13-11-2024'!D:D,1,0)</f>
        <v>Allarme guasto lieve</v>
      </c>
      <c r="E193" s="37" t="s">
        <v>16</v>
      </c>
      <c r="F193" s="38" t="s">
        <v>398</v>
      </c>
      <c r="G193" s="38" t="s">
        <v>399</v>
      </c>
      <c r="H193" s="39" t="s">
        <v>19</v>
      </c>
      <c r="I193" s="39" t="s">
        <v>397</v>
      </c>
      <c r="J193" s="40" t="s">
        <v>21</v>
      </c>
      <c r="K193" s="41" t="s">
        <v>22</v>
      </c>
      <c r="L193" s="42" t="s">
        <v>23</v>
      </c>
      <c r="M193" s="43" t="s">
        <v>24</v>
      </c>
      <c r="N193" s="42" t="s">
        <v>25</v>
      </c>
      <c r="O193" s="42" t="s">
        <v>21</v>
      </c>
      <c r="P193" s="44"/>
    </row>
    <row r="194" spans="1:16" ht="15" customHeight="1" x14ac:dyDescent="0.25">
      <c r="A194" t="str">
        <f t="shared" si="2"/>
        <v>ALR_GUASTO_LINEA-Allarme guasto linea</v>
      </c>
      <c r="B194" t="str">
        <f>VLOOKUP(A194,'EXPORT IRIS PROD 13-11-2024'!A:A,1,0)</f>
        <v>ALR_GUASTO_LINEA-Allarme guasto linea</v>
      </c>
      <c r="C194" t="str">
        <f>VLOOKUP(F194,'EXPORT IRIS PROD 13-11-2024'!F:F,1,0)</f>
        <v>ALR_GUASTO_LINEA</v>
      </c>
      <c r="D194" t="str">
        <f>VLOOKUP(G194,'EXPORT IRIS PROD 13-11-2024'!D:D,1,0)</f>
        <v>Allarme guasto linea</v>
      </c>
      <c r="E194" s="37" t="s">
        <v>53</v>
      </c>
      <c r="F194" s="38" t="s">
        <v>400</v>
      </c>
      <c r="G194" s="38" t="s">
        <v>401</v>
      </c>
      <c r="H194" s="39" t="s">
        <v>56</v>
      </c>
      <c r="I194" s="39" t="s">
        <v>402</v>
      </c>
      <c r="J194" s="40" t="s">
        <v>21</v>
      </c>
      <c r="K194" s="41" t="s">
        <v>22</v>
      </c>
      <c r="L194" s="42" t="s">
        <v>23</v>
      </c>
      <c r="M194" s="43" t="s">
        <v>24</v>
      </c>
      <c r="N194" s="42" t="s">
        <v>25</v>
      </c>
      <c r="O194" s="42" t="s">
        <v>21</v>
      </c>
      <c r="P194" s="44"/>
    </row>
    <row r="195" spans="1:16" ht="15" customHeight="1" x14ac:dyDescent="0.25">
      <c r="A195" t="str">
        <f t="shared" ref="A195:A258" si="3">CONCATENATE(F195,"-",G195)</f>
        <v>ALR_GUASTO_LINEA_NORD-Allarme guasto linea nord</v>
      </c>
      <c r="B195" t="str">
        <f>VLOOKUP(A195,'EXPORT IRIS PROD 13-11-2024'!A:A,1,0)</f>
        <v>ALR_GUASTO_LINEA_NORD-Allarme guasto linea nord</v>
      </c>
      <c r="C195" t="str">
        <f>VLOOKUP(F195,'EXPORT IRIS PROD 13-11-2024'!F:F,1,0)</f>
        <v>ALR_GUASTO_LINEA_NORD</v>
      </c>
      <c r="D195" t="str">
        <f>VLOOKUP(G195,'EXPORT IRIS PROD 13-11-2024'!D:D,1,0)</f>
        <v>Allarme guasto linea nord</v>
      </c>
      <c r="E195" s="37" t="s">
        <v>105</v>
      </c>
      <c r="F195" s="38" t="s">
        <v>403</v>
      </c>
      <c r="G195" s="38" t="s">
        <v>404</v>
      </c>
      <c r="H195" s="39" t="s">
        <v>43</v>
      </c>
      <c r="I195" s="39" t="s">
        <v>130</v>
      </c>
      <c r="J195" s="40" t="s">
        <v>31</v>
      </c>
      <c r="K195" s="41" t="s">
        <v>32</v>
      </c>
      <c r="L195" s="42">
        <v>3</v>
      </c>
      <c r="M195" s="43" t="s">
        <v>33</v>
      </c>
      <c r="N195" s="42" t="s">
        <v>34</v>
      </c>
      <c r="O195" s="42" t="s">
        <v>31</v>
      </c>
      <c r="P195" s="44"/>
    </row>
    <row r="196" spans="1:16" ht="15" customHeight="1" x14ac:dyDescent="0.25">
      <c r="A196" t="str">
        <f t="shared" si="3"/>
        <v>ALR_GUASTO_LINEA_SUD-Allarme guasto linea sud</v>
      </c>
      <c r="B196" t="str">
        <f>VLOOKUP(A196,'EXPORT IRIS PROD 13-11-2024'!A:A,1,0)</f>
        <v>ALR_GUASTO_LINEA_SUD-Allarme guasto linea sud</v>
      </c>
      <c r="C196" t="str">
        <f>VLOOKUP(F196,'EXPORT IRIS PROD 13-11-2024'!F:F,1,0)</f>
        <v>ALR_GUASTO_LINEA_SUD</v>
      </c>
      <c r="D196" t="str">
        <f>VLOOKUP(G196,'EXPORT IRIS PROD 13-11-2024'!D:D,1,0)</f>
        <v>Allarme guasto linea sud</v>
      </c>
      <c r="E196" s="37" t="s">
        <v>105</v>
      </c>
      <c r="F196" s="38" t="s">
        <v>405</v>
      </c>
      <c r="G196" s="38" t="s">
        <v>406</v>
      </c>
      <c r="H196" s="39" t="s">
        <v>43</v>
      </c>
      <c r="I196" s="39" t="s">
        <v>130</v>
      </c>
      <c r="J196" s="40" t="s">
        <v>31</v>
      </c>
      <c r="K196" s="41" t="s">
        <v>32</v>
      </c>
      <c r="L196" s="42">
        <v>3</v>
      </c>
      <c r="M196" s="43" t="s">
        <v>33</v>
      </c>
      <c r="N196" s="42" t="s">
        <v>34</v>
      </c>
      <c r="O196" s="42" t="s">
        <v>31</v>
      </c>
      <c r="P196" s="44"/>
    </row>
    <row r="197" spans="1:16" ht="15" customHeight="1" x14ac:dyDescent="0.25">
      <c r="A197" t="str">
        <f t="shared" si="3"/>
        <v>ALR_GUASTO_NOTYFIRE-Allarme guasto centralina antincendio</v>
      </c>
      <c r="B197" t="str">
        <f>VLOOKUP(A197,'EXPORT IRIS PROD 13-11-2024'!A:A,1,0)</f>
        <v>ALR_GUASTO_NOTYFIRE-Allarme guasto centralina antincendio</v>
      </c>
      <c r="C197" t="str">
        <f>VLOOKUP(F197,'EXPORT IRIS PROD 13-11-2024'!F:F,1,0)</f>
        <v>ALR_GUASTO_NOTYFIRE</v>
      </c>
      <c r="D197" t="str">
        <f>VLOOKUP(G197,'EXPORT IRIS PROD 13-11-2024'!D:D,1,0)</f>
        <v>Allarme guasto centralina antincendio</v>
      </c>
      <c r="E197" s="37" t="s">
        <v>105</v>
      </c>
      <c r="F197" s="38" t="s">
        <v>407</v>
      </c>
      <c r="G197" s="38" t="s">
        <v>408</v>
      </c>
      <c r="H197" s="39" t="s">
        <v>43</v>
      </c>
      <c r="I197" s="39" t="s">
        <v>130</v>
      </c>
      <c r="J197" s="40" t="s">
        <v>31</v>
      </c>
      <c r="K197" s="41" t="s">
        <v>32</v>
      </c>
      <c r="L197" s="42">
        <v>3</v>
      </c>
      <c r="M197" s="43" t="s">
        <v>33</v>
      </c>
      <c r="N197" s="42" t="s">
        <v>34</v>
      </c>
      <c r="O197" s="42" t="s">
        <v>31</v>
      </c>
      <c r="P197" s="44"/>
    </row>
    <row r="198" spans="1:16" customFormat="1" ht="15" customHeight="1" x14ac:dyDescent="0.25">
      <c r="A198" t="str">
        <f t="shared" si="3"/>
        <v>ALR_GUASTO_QUADRO-Allarme guasto quadro</v>
      </c>
      <c r="B198" t="str">
        <f>VLOOKUP(A198,'EXPORT IRIS PROD 13-11-2024'!A:A,1,0)</f>
        <v>ALR_GUASTO_QUADRO-Allarme guasto quadro</v>
      </c>
      <c r="C198" t="str">
        <f>VLOOKUP(F198,'EXPORT IRIS PROD 13-11-2024'!F:F,1,0)</f>
        <v>ALR_GUASTO_QUADRO</v>
      </c>
      <c r="D198" t="str">
        <f>VLOOKUP(G198,'EXPORT IRIS PROD 13-11-2024'!D:D,1,0)</f>
        <v>Allarme guasto quadro</v>
      </c>
      <c r="E198" s="37" t="s">
        <v>53</v>
      </c>
      <c r="F198" s="38" t="s">
        <v>409</v>
      </c>
      <c r="G198" s="38" t="s">
        <v>410</v>
      </c>
      <c r="H198" s="39" t="s">
        <v>56</v>
      </c>
      <c r="I198" s="39" t="s">
        <v>114</v>
      </c>
      <c r="J198" s="40" t="s">
        <v>21</v>
      </c>
      <c r="K198" s="41" t="s">
        <v>22</v>
      </c>
      <c r="L198" s="42" t="s">
        <v>23</v>
      </c>
      <c r="M198" s="43" t="s">
        <v>24</v>
      </c>
      <c r="N198" s="42" t="s">
        <v>25</v>
      </c>
      <c r="O198" s="42" t="s">
        <v>21</v>
      </c>
      <c r="P198" s="44"/>
    </row>
    <row r="199" spans="1:16" x14ac:dyDescent="0.25">
      <c r="A199" t="str">
        <f t="shared" si="3"/>
        <v>ALR_GUASTO_SONDA-Allarme guasto sonda dispositivo</v>
      </c>
      <c r="B199" t="str">
        <f>VLOOKUP(A199,'EXPORT IRIS PROD 13-11-2024'!A:A,1,0)</f>
        <v>ALR_GUASTO_SONDA-Allarme guasto sonda dispositivo</v>
      </c>
      <c r="C199" t="str">
        <f>VLOOKUP(F199,'EXPORT IRIS PROD 13-11-2024'!F:F,1,0)</f>
        <v>ALR_GUASTO_SONDA</v>
      </c>
      <c r="D199" t="str">
        <f>VLOOKUP(G199,'EXPORT IRIS PROD 13-11-2024'!D:D,1,0)</f>
        <v>Allarme guasto sonda dispositivo</v>
      </c>
      <c r="E199" s="37" t="s">
        <v>53</v>
      </c>
      <c r="F199" s="38" t="s">
        <v>411</v>
      </c>
      <c r="G199" s="38" t="s">
        <v>412</v>
      </c>
      <c r="H199" s="39" t="s">
        <v>56</v>
      </c>
      <c r="I199" s="39" t="s">
        <v>156</v>
      </c>
      <c r="J199" s="40" t="s">
        <v>21</v>
      </c>
      <c r="K199" s="41" t="s">
        <v>22</v>
      </c>
      <c r="L199" s="42" t="s">
        <v>23</v>
      </c>
      <c r="M199" s="43" t="s">
        <v>24</v>
      </c>
      <c r="N199" s="42" t="s">
        <v>25</v>
      </c>
      <c r="O199" s="42" t="s">
        <v>21</v>
      </c>
      <c r="P199" s="44"/>
    </row>
    <row r="200" spans="1:16" customFormat="1" ht="15" customHeight="1" x14ac:dyDescent="0.25">
      <c r="A200" t="str">
        <f t="shared" si="3"/>
        <v>ALR_GUASTO_SONDA-Allarme guasto sonda dispositivo</v>
      </c>
      <c r="B200" t="str">
        <f>VLOOKUP(A200,'EXPORT IRIS PROD 13-11-2024'!A:A,1,0)</f>
        <v>ALR_GUASTO_SONDA-Allarme guasto sonda dispositivo</v>
      </c>
      <c r="C200" t="str">
        <f>VLOOKUP(F200,'EXPORT IRIS PROD 13-11-2024'!F:F,1,0)</f>
        <v>ALR_GUASTO_SONDA</v>
      </c>
      <c r="D200" t="str">
        <f>VLOOKUP(G200,'EXPORT IRIS PROD 13-11-2024'!D:D,1,0)</f>
        <v>Allarme guasto sonda dispositivo</v>
      </c>
      <c r="E200" s="37" t="s">
        <v>85</v>
      </c>
      <c r="F200" s="38" t="s">
        <v>411</v>
      </c>
      <c r="G200" s="38" t="s">
        <v>412</v>
      </c>
      <c r="H200" s="39" t="s">
        <v>50</v>
      </c>
      <c r="I200" s="39" t="s">
        <v>88</v>
      </c>
      <c r="J200" s="40" t="s">
        <v>21</v>
      </c>
      <c r="K200" s="41" t="s">
        <v>22</v>
      </c>
      <c r="L200" s="42" t="s">
        <v>23</v>
      </c>
      <c r="M200" s="43" t="s">
        <v>24</v>
      </c>
      <c r="N200" s="42" t="s">
        <v>25</v>
      </c>
      <c r="O200" s="42" t="s">
        <v>21</v>
      </c>
      <c r="P200" s="44"/>
    </row>
    <row r="201" spans="1:16" customFormat="1" ht="15" customHeight="1" x14ac:dyDescent="0.25">
      <c r="A201" t="str">
        <f t="shared" si="3"/>
        <v>ALR_GUASTO_SONDA-Allarme guasto sonda dispositivo</v>
      </c>
      <c r="B201" t="str">
        <f>VLOOKUP(A201,'EXPORT IRIS PROD 13-11-2024'!A:A,1,0)</f>
        <v>ALR_GUASTO_SONDA-Allarme guasto sonda dispositivo</v>
      </c>
      <c r="C201" t="str">
        <f>VLOOKUP(F201,'EXPORT IRIS PROD 13-11-2024'!F:F,1,0)</f>
        <v>ALR_GUASTO_SONDA</v>
      </c>
      <c r="D201" t="str">
        <f>VLOOKUP(G201,'EXPORT IRIS PROD 13-11-2024'!D:D,1,0)</f>
        <v>Allarme guasto sonda dispositivo</v>
      </c>
      <c r="E201" s="37" t="s">
        <v>85</v>
      </c>
      <c r="F201" s="38" t="s">
        <v>411</v>
      </c>
      <c r="G201" s="38" t="s">
        <v>412</v>
      </c>
      <c r="H201" s="39" t="s">
        <v>50</v>
      </c>
      <c r="I201" s="39" t="s">
        <v>51</v>
      </c>
      <c r="J201" s="40" t="s">
        <v>21</v>
      </c>
      <c r="K201" s="41" t="s">
        <v>22</v>
      </c>
      <c r="L201" s="42" t="s">
        <v>23</v>
      </c>
      <c r="M201" s="43" t="s">
        <v>24</v>
      </c>
      <c r="N201" s="42" t="s">
        <v>25</v>
      </c>
      <c r="O201" s="42" t="s">
        <v>21</v>
      </c>
      <c r="P201" s="44"/>
    </row>
    <row r="202" spans="1:16" customFormat="1" ht="15" customHeight="1" x14ac:dyDescent="0.25">
      <c r="A202" t="str">
        <f t="shared" si="3"/>
        <v>ALR_GUASTO_SONDA-Allarme guasto sonda dispositivo</v>
      </c>
      <c r="B202" t="str">
        <f>VLOOKUP(A202,'EXPORT IRIS PROD 13-11-2024'!A:A,1,0)</f>
        <v>ALR_GUASTO_SONDA-Allarme guasto sonda dispositivo</v>
      </c>
      <c r="C202" t="str">
        <f>VLOOKUP(F202,'EXPORT IRIS PROD 13-11-2024'!F:F,1,0)</f>
        <v>ALR_GUASTO_SONDA</v>
      </c>
      <c r="D202" t="str">
        <f>VLOOKUP(G202,'EXPORT IRIS PROD 13-11-2024'!D:D,1,0)</f>
        <v>Allarme guasto sonda dispositivo</v>
      </c>
      <c r="E202" s="37" t="s">
        <v>85</v>
      </c>
      <c r="F202" s="38" t="s">
        <v>411</v>
      </c>
      <c r="G202" s="38" t="s">
        <v>412</v>
      </c>
      <c r="H202" s="39" t="s">
        <v>50</v>
      </c>
      <c r="I202" s="39" t="s">
        <v>52</v>
      </c>
      <c r="J202" s="40" t="s">
        <v>21</v>
      </c>
      <c r="K202" s="41" t="s">
        <v>22</v>
      </c>
      <c r="L202" s="42" t="s">
        <v>23</v>
      </c>
      <c r="M202" s="43" t="s">
        <v>24</v>
      </c>
      <c r="N202" s="42" t="s">
        <v>25</v>
      </c>
      <c r="O202" s="42" t="s">
        <v>21</v>
      </c>
      <c r="P202" s="44"/>
    </row>
    <row r="203" spans="1:16" customFormat="1" ht="15" customHeight="1" x14ac:dyDescent="0.25">
      <c r="A203" t="str">
        <f t="shared" si="3"/>
        <v>ALR_GUASTO_SOS-Allarme guasto SOS</v>
      </c>
      <c r="B203" t="str">
        <f>VLOOKUP(A203,'EXPORT IRIS PROD 13-11-2024'!A:A,1,0)</f>
        <v>ALR_GUASTO_SOS-Allarme guasto SOS</v>
      </c>
      <c r="C203" t="str">
        <f>VLOOKUP(F203,'EXPORT IRIS PROD 13-11-2024'!F:F,1,0)</f>
        <v>ALR_GUASTO_SOS</v>
      </c>
      <c r="D203" t="str">
        <f>VLOOKUP(G203,'EXPORT IRIS PROD 13-11-2024'!D:D,1,0)</f>
        <v>Allarme guasto SOS</v>
      </c>
      <c r="E203" s="37" t="s">
        <v>89</v>
      </c>
      <c r="F203" s="38" t="s">
        <v>413</v>
      </c>
      <c r="G203" s="38" t="s">
        <v>414</v>
      </c>
      <c r="H203" s="39" t="s">
        <v>29</v>
      </c>
      <c r="I203" s="39" t="s">
        <v>360</v>
      </c>
      <c r="J203" s="40" t="s">
        <v>21</v>
      </c>
      <c r="K203" s="41" t="s">
        <v>22</v>
      </c>
      <c r="L203" s="42" t="s">
        <v>23</v>
      </c>
      <c r="M203" s="43" t="s">
        <v>24</v>
      </c>
      <c r="N203" s="42" t="s">
        <v>25</v>
      </c>
      <c r="O203" s="42" t="s">
        <v>21</v>
      </c>
      <c r="P203" s="44"/>
    </row>
    <row r="204" spans="1:16" customFormat="1" ht="15" customHeight="1" x14ac:dyDescent="0.25">
      <c r="A204" t="str">
        <f t="shared" si="3"/>
        <v>ALR_IDRANTE_APERTO-Allarme guasto lieve</v>
      </c>
      <c r="B204" t="str">
        <f>VLOOKUP(A204,'EXPORT IRIS PROD 13-11-2024'!A:A,1,0)</f>
        <v>ALR_IDRANTE_APERTO-Allarme guasto lieve</v>
      </c>
      <c r="C204" t="str">
        <f>VLOOKUP(F204,'EXPORT IRIS PROD 13-11-2024'!F:F,1,0)</f>
        <v>ALR_IDRANTE_APERTO</v>
      </c>
      <c r="D204" t="str">
        <f>VLOOKUP(G204,'EXPORT IRIS PROD 13-11-2024'!D:D,1,0)</f>
        <v>Allarme guasto lieve</v>
      </c>
      <c r="E204" s="37" t="s">
        <v>89</v>
      </c>
      <c r="F204" s="38" t="s">
        <v>415</v>
      </c>
      <c r="G204" s="38" t="s">
        <v>399</v>
      </c>
      <c r="H204" s="39" t="s">
        <v>29</v>
      </c>
      <c r="I204" s="39" t="s">
        <v>30</v>
      </c>
      <c r="J204" s="40" t="s">
        <v>21</v>
      </c>
      <c r="K204" s="41" t="s">
        <v>22</v>
      </c>
      <c r="L204" s="42" t="s">
        <v>23</v>
      </c>
      <c r="M204" s="43" t="s">
        <v>24</v>
      </c>
      <c r="N204" s="42" t="s">
        <v>25</v>
      </c>
      <c r="O204" s="42" t="s">
        <v>21</v>
      </c>
      <c r="P204" s="44"/>
    </row>
    <row r="205" spans="1:16" customFormat="1" ht="15" customHeight="1" x14ac:dyDescent="0.25">
      <c r="A205" t="str">
        <f t="shared" si="3"/>
        <v>ALR_ILLUMINAZIONE-Allarme illuminazione</v>
      </c>
      <c r="B205" t="str">
        <f>VLOOKUP(A205,'EXPORT IRIS PROD 13-11-2024'!A:A,1,0)</f>
        <v>ALR_ILLUMINAZIONE-Allarme illuminazione</v>
      </c>
      <c r="C205" t="str">
        <f>VLOOKUP(F205,'EXPORT IRIS PROD 13-11-2024'!F:F,1,0)</f>
        <v>ALR_ILLUMINAZIONE</v>
      </c>
      <c r="D205" t="str">
        <f>VLOOKUP(G205,'EXPORT IRIS PROD 13-11-2024'!D:D,1,0)</f>
        <v>Allarme illuminazione</v>
      </c>
      <c r="E205" s="37" t="s">
        <v>115</v>
      </c>
      <c r="F205" s="38" t="s">
        <v>416</v>
      </c>
      <c r="G205" s="38" t="s">
        <v>417</v>
      </c>
      <c r="H205" s="39" t="s">
        <v>116</v>
      </c>
      <c r="I205" s="39" t="s">
        <v>418</v>
      </c>
      <c r="J205" s="40" t="s">
        <v>21</v>
      </c>
      <c r="K205" s="41" t="s">
        <v>22</v>
      </c>
      <c r="L205" s="42" t="s">
        <v>23</v>
      </c>
      <c r="M205" s="43" t="s">
        <v>157</v>
      </c>
      <c r="N205" s="42" t="s">
        <v>158</v>
      </c>
      <c r="O205" s="42" t="s">
        <v>21</v>
      </c>
      <c r="P205" s="44"/>
    </row>
    <row r="206" spans="1:16" customFormat="1" ht="15" customHeight="1" x14ac:dyDescent="0.25">
      <c r="A206" t="str">
        <f t="shared" si="3"/>
        <v>ALR_INCENDIO-Allarme incendio in galleria</v>
      </c>
      <c r="B206" t="str">
        <f>VLOOKUP(A206,'EXPORT IRIS PROD 13-11-2024'!A:A,1,0)</f>
        <v>ALR_INCENDIO-Allarme incendio in galleria</v>
      </c>
      <c r="C206" t="str">
        <f>VLOOKUP(F206,'EXPORT IRIS PROD 13-11-2024'!F:F,1,0)</f>
        <v>ALR_INCENDIO</v>
      </c>
      <c r="D206" t="str">
        <f>VLOOKUP(G206,'EXPORT IRIS PROD 13-11-2024'!D:D,1,0)</f>
        <v>Allarme incendio in galleria</v>
      </c>
      <c r="E206" s="37" t="s">
        <v>40</v>
      </c>
      <c r="F206" s="38" t="s">
        <v>419</v>
      </c>
      <c r="G206" s="45" t="s">
        <v>420</v>
      </c>
      <c r="H206" s="46" t="s">
        <v>43</v>
      </c>
      <c r="I206" s="50" t="s">
        <v>108</v>
      </c>
      <c r="J206" s="47" t="s">
        <v>31</v>
      </c>
      <c r="K206" s="48" t="s">
        <v>32</v>
      </c>
      <c r="L206" s="43">
        <v>2</v>
      </c>
      <c r="M206" s="43" t="s">
        <v>45</v>
      </c>
      <c r="N206" s="43" t="s">
        <v>46</v>
      </c>
      <c r="O206" s="43" t="s">
        <v>31</v>
      </c>
      <c r="P206" s="49"/>
    </row>
    <row r="207" spans="1:16" customFormat="1" ht="15" customHeight="1" x14ac:dyDescent="0.25">
      <c r="A207" t="str">
        <f t="shared" si="3"/>
        <v>ALR_INCENDIO_CANNA_NORD-Allarme incendio in galleria canna nord</v>
      </c>
      <c r="B207" t="str">
        <f>VLOOKUP(A207,'EXPORT IRIS PROD 13-11-2024'!A:A,1,0)</f>
        <v>ALR_INCENDIO_CANNA_NORD-Allarme incendio in galleria canna nord</v>
      </c>
      <c r="C207" t="str">
        <f>VLOOKUP(F207,'EXPORT IRIS PROD 13-11-2024'!F:F,1,0)</f>
        <v>ALR_INCENDIO_CANNA_NORD</v>
      </c>
      <c r="D207" t="str">
        <f>VLOOKUP(G207,'EXPORT IRIS PROD 13-11-2024'!D:D,1,0)</f>
        <v>Allarme incendio in galleria canna nord</v>
      </c>
      <c r="E207" s="37" t="s">
        <v>40</v>
      </c>
      <c r="F207" s="38" t="s">
        <v>421</v>
      </c>
      <c r="G207" s="45" t="s">
        <v>422</v>
      </c>
      <c r="H207" s="46" t="s">
        <v>43</v>
      </c>
      <c r="I207" s="46" t="s">
        <v>108</v>
      </c>
      <c r="J207" s="47" t="s">
        <v>31</v>
      </c>
      <c r="K207" s="48" t="s">
        <v>32</v>
      </c>
      <c r="L207" s="43">
        <v>2</v>
      </c>
      <c r="M207" s="43" t="s">
        <v>45</v>
      </c>
      <c r="N207" s="43" t="s">
        <v>46</v>
      </c>
      <c r="O207" s="43" t="s">
        <v>31</v>
      </c>
      <c r="P207" s="49"/>
    </row>
    <row r="208" spans="1:16" customFormat="1" ht="15" customHeight="1" x14ac:dyDescent="0.25">
      <c r="A208" t="str">
        <f t="shared" si="3"/>
        <v>ALR_INCENDIO_CANNA_SUD-Allarme incendio in galleria canna sud</v>
      </c>
      <c r="B208" t="str">
        <f>VLOOKUP(A208,'EXPORT IRIS PROD 13-11-2024'!A:A,1,0)</f>
        <v>ALR_INCENDIO_CANNA_SUD-Allarme incendio in galleria canna sud</v>
      </c>
      <c r="C208" t="str">
        <f>VLOOKUP(F208,'EXPORT IRIS PROD 13-11-2024'!F:F,1,0)</f>
        <v>ALR_INCENDIO_CANNA_SUD</v>
      </c>
      <c r="D208" t="str">
        <f>VLOOKUP(G208,'EXPORT IRIS PROD 13-11-2024'!D:D,1,0)</f>
        <v>Allarme incendio in galleria canna sud</v>
      </c>
      <c r="E208" s="37" t="s">
        <v>40</v>
      </c>
      <c r="F208" s="38" t="s">
        <v>423</v>
      </c>
      <c r="G208" s="45" t="s">
        <v>424</v>
      </c>
      <c r="H208" s="46" t="s">
        <v>43</v>
      </c>
      <c r="I208" s="46" t="s">
        <v>108</v>
      </c>
      <c r="J208" s="47" t="s">
        <v>31</v>
      </c>
      <c r="K208" s="48" t="s">
        <v>32</v>
      </c>
      <c r="L208" s="43">
        <v>2</v>
      </c>
      <c r="M208" s="43" t="s">
        <v>45</v>
      </c>
      <c r="N208" s="43" t="s">
        <v>46</v>
      </c>
      <c r="O208" s="43" t="s">
        <v>31</v>
      </c>
      <c r="P208" s="49"/>
    </row>
    <row r="209" spans="1:16" customFormat="1" ht="15" customHeight="1" x14ac:dyDescent="0.25">
      <c r="A209" t="str">
        <f t="shared" si="3"/>
        <v>ALR_INCENDIO_DI_CANNA_NORD-Allarme incendio in galleria</v>
      </c>
      <c r="B209" t="str">
        <f>VLOOKUP(A209,'EXPORT IRIS PROD 13-11-2024'!A:A,1,0)</f>
        <v>ALR_INCENDIO_DI_CANNA_NORD-Allarme incendio in galleria</v>
      </c>
      <c r="C209" t="str">
        <f>VLOOKUP(F209,'EXPORT IRIS PROD 13-11-2024'!F:F,1,0)</f>
        <v>ALR_INCENDIO_DI_CANNA_NORD</v>
      </c>
      <c r="D209" t="str">
        <f>VLOOKUP(G209,'EXPORT IRIS PROD 13-11-2024'!D:D,1,0)</f>
        <v>Allarme incendio in galleria</v>
      </c>
      <c r="E209" s="37" t="s">
        <v>40</v>
      </c>
      <c r="F209" s="38" t="s">
        <v>425</v>
      </c>
      <c r="G209" s="45" t="s">
        <v>420</v>
      </c>
      <c r="H209" s="46" t="s">
        <v>43</v>
      </c>
      <c r="I209" s="50" t="s">
        <v>394</v>
      </c>
      <c r="J209" s="47" t="s">
        <v>31</v>
      </c>
      <c r="K209" s="48" t="s">
        <v>32</v>
      </c>
      <c r="L209" s="43">
        <v>2</v>
      </c>
      <c r="M209" s="43" t="s">
        <v>45</v>
      </c>
      <c r="N209" s="43" t="s">
        <v>46</v>
      </c>
      <c r="O209" s="43" t="s">
        <v>31</v>
      </c>
      <c r="P209" s="49"/>
    </row>
    <row r="210" spans="1:16" ht="15" customHeight="1" x14ac:dyDescent="0.25">
      <c r="A210" t="str">
        <f t="shared" si="3"/>
        <v>ALR_INCENDIO_DI_CANNA_SUD-Allarme incendio in galleria</v>
      </c>
      <c r="B210" t="str">
        <f>VLOOKUP(A210,'EXPORT IRIS PROD 13-11-2024'!A:A,1,0)</f>
        <v>ALR_INCENDIO_DI_CANNA_SUD-Allarme incendio in galleria</v>
      </c>
      <c r="C210" t="str">
        <f>VLOOKUP(F210,'EXPORT IRIS PROD 13-11-2024'!F:F,1,0)</f>
        <v>ALR_INCENDIO_DI_CANNA_SUD</v>
      </c>
      <c r="D210" t="str">
        <f>VLOOKUP(G210,'EXPORT IRIS PROD 13-11-2024'!D:D,1,0)</f>
        <v>Allarme incendio in galleria</v>
      </c>
      <c r="E210" s="37" t="s">
        <v>40</v>
      </c>
      <c r="F210" s="38" t="s">
        <v>426</v>
      </c>
      <c r="G210" s="45" t="s">
        <v>420</v>
      </c>
      <c r="H210" s="46" t="s">
        <v>43</v>
      </c>
      <c r="I210" s="50" t="s">
        <v>394</v>
      </c>
      <c r="J210" s="47" t="s">
        <v>31</v>
      </c>
      <c r="K210" s="48" t="s">
        <v>32</v>
      </c>
      <c r="L210" s="43">
        <v>2</v>
      </c>
      <c r="M210" s="43" t="s">
        <v>45</v>
      </c>
      <c r="N210" s="43" t="s">
        <v>46</v>
      </c>
      <c r="O210" s="43" t="s">
        <v>31</v>
      </c>
      <c r="P210" s="49"/>
    </row>
    <row r="211" spans="1:16" customFormat="1" ht="15" customHeight="1" x14ac:dyDescent="0.25">
      <c r="A211" t="str">
        <f t="shared" si="3"/>
        <v>ALR_INCENDIO_POMPA-Allarme incendio pompa</v>
      </c>
      <c r="B211" t="str">
        <f>VLOOKUP(A211,'EXPORT IRIS PROD 13-11-2024'!A:A,1,0)</f>
        <v>ALR_INCENDIO_POMPA-Allarme incendio pompa</v>
      </c>
      <c r="C211" t="str">
        <f>VLOOKUP(F211,'EXPORT IRIS PROD 13-11-2024'!F:F,1,0)</f>
        <v>ALR_INCENDIO_POMPA</v>
      </c>
      <c r="D211" t="str">
        <f>VLOOKUP(G211,'EXPORT IRIS PROD 13-11-2024'!D:D,1,0)</f>
        <v>Allarme incendio pompa</v>
      </c>
      <c r="E211" s="37" t="s">
        <v>298</v>
      </c>
      <c r="F211" s="38" t="s">
        <v>427</v>
      </c>
      <c r="G211" s="38" t="s">
        <v>428</v>
      </c>
      <c r="H211" s="39" t="s">
        <v>38</v>
      </c>
      <c r="I211" s="39" t="s">
        <v>39</v>
      </c>
      <c r="J211" s="40" t="s">
        <v>31</v>
      </c>
      <c r="K211" s="41" t="s">
        <v>32</v>
      </c>
      <c r="L211" s="43">
        <v>2</v>
      </c>
      <c r="M211" s="43" t="s">
        <v>157</v>
      </c>
      <c r="N211" s="42" t="s">
        <v>158</v>
      </c>
      <c r="O211" s="42" t="s">
        <v>21</v>
      </c>
      <c r="P211" s="44"/>
    </row>
    <row r="212" spans="1:16" customFormat="1" ht="15" customHeight="1" x14ac:dyDescent="0.25">
      <c r="A212" t="str">
        <f t="shared" si="3"/>
        <v>ALR_INCIDENTE_DA_SOS-Allarme pulsante incidente</v>
      </c>
      <c r="B212" t="str">
        <f>VLOOKUP(A212,'EXPORT IRIS PROD 13-11-2024'!A:A,1,0)</f>
        <v>ALR_INCIDENTE_DA_SOS-Allarme pulsante incidente</v>
      </c>
      <c r="C212" t="str">
        <f>VLOOKUP(F212,'EXPORT IRIS PROD 13-11-2024'!F:F,1,0)</f>
        <v>ALR_INCIDENTE_DA_SOS</v>
      </c>
      <c r="D212" t="str">
        <f>VLOOKUP(G212,'EXPORT IRIS PROD 13-11-2024'!D:D,1,0)</f>
        <v>Allarme pulsante incidente</v>
      </c>
      <c r="E212" s="37" t="s">
        <v>26</v>
      </c>
      <c r="F212" s="38" t="s">
        <v>429</v>
      </c>
      <c r="G212" s="45" t="s">
        <v>430</v>
      </c>
      <c r="H212" s="46" t="s">
        <v>29</v>
      </c>
      <c r="I212" s="46" t="s">
        <v>360</v>
      </c>
      <c r="J212" s="47" t="s">
        <v>31</v>
      </c>
      <c r="K212" s="48" t="s">
        <v>32</v>
      </c>
      <c r="L212" s="43">
        <v>1</v>
      </c>
      <c r="M212" s="43" t="s">
        <v>33</v>
      </c>
      <c r="N212" s="43" t="s">
        <v>34</v>
      </c>
      <c r="O212" s="43" t="s">
        <v>31</v>
      </c>
      <c r="P212" s="49"/>
    </row>
    <row r="213" spans="1:16" customFormat="1" ht="15" customHeight="1" x14ac:dyDescent="0.25">
      <c r="A213" t="str">
        <f t="shared" si="3"/>
        <v>ALR_INCIDENTE_VEICOLO_MERCI_PERICOLOSE-Allarme attivazione pannello merci pericolose</v>
      </c>
      <c r="B213" t="str">
        <f>VLOOKUP(A213,'EXPORT IRIS PROD 13-11-2024'!A:A,1,0)</f>
        <v>ALR_INCIDENTE_VEICOLO_MERCI_PERICOLOSE-Allarme attivazione pannello merci pericolose</v>
      </c>
      <c r="C213" t="str">
        <f>VLOOKUP(F213,'EXPORT IRIS PROD 13-11-2024'!F:F,1,0)</f>
        <v>ALR_INCIDENTE_VEICOLO_MERCI_PERICOLOSE</v>
      </c>
      <c r="D213" t="str">
        <f>VLOOKUP(G213,'EXPORT IRIS PROD 13-11-2024'!D:D,1,0)</f>
        <v>Allarme attivazione pannello merci pericolose</v>
      </c>
      <c r="E213" s="37" t="s">
        <v>431</v>
      </c>
      <c r="F213" s="38" t="s">
        <v>432</v>
      </c>
      <c r="G213" s="38" t="s">
        <v>433</v>
      </c>
      <c r="H213" s="39" t="s">
        <v>111</v>
      </c>
      <c r="I213" s="39" t="s">
        <v>434</v>
      </c>
      <c r="J213" s="40" t="s">
        <v>21</v>
      </c>
      <c r="K213" s="41" t="s">
        <v>22</v>
      </c>
      <c r="L213" s="42" t="s">
        <v>23</v>
      </c>
      <c r="M213" s="43" t="s">
        <v>24</v>
      </c>
      <c r="N213" s="42" t="s">
        <v>25</v>
      </c>
      <c r="O213" s="42" t="s">
        <v>21</v>
      </c>
      <c r="P213" s="44"/>
    </row>
    <row r="214" spans="1:16" customFormat="1" ht="15" customHeight="1" x14ac:dyDescent="0.25">
      <c r="A214" t="str">
        <f t="shared" si="3"/>
        <v>ALR_INCLINAZIONE_LAMPADE-Allarme inclinazione lampade</v>
      </c>
      <c r="B214" t="str">
        <f>VLOOKUP(A214,'EXPORT IRIS PROD 13-11-2024'!A:A,1,0)</f>
        <v>ALR_INCLINAZIONE_LAMPADE-Allarme inclinazione lampade</v>
      </c>
      <c r="C214" t="str">
        <f>VLOOKUP(F214,'EXPORT IRIS PROD 13-11-2024'!F:F,1,0)</f>
        <v>ALR_INCLINAZIONE_LAMPADE</v>
      </c>
      <c r="D214" t="str">
        <f>VLOOKUP(G214,'EXPORT IRIS PROD 13-11-2024'!D:D,1,0)</f>
        <v>Allarme inclinazione lampade</v>
      </c>
      <c r="E214" s="37" t="s">
        <v>115</v>
      </c>
      <c r="F214" s="38" t="s">
        <v>435</v>
      </c>
      <c r="G214" s="38" t="s">
        <v>436</v>
      </c>
      <c r="H214" s="39" t="s">
        <v>116</v>
      </c>
      <c r="I214" s="39" t="s">
        <v>437</v>
      </c>
      <c r="J214" s="40" t="s">
        <v>21</v>
      </c>
      <c r="K214" s="41" t="s">
        <v>22</v>
      </c>
      <c r="L214" s="42" t="s">
        <v>23</v>
      </c>
      <c r="M214" s="43" t="s">
        <v>24</v>
      </c>
      <c r="N214" s="42" t="s">
        <v>25</v>
      </c>
      <c r="O214" s="42" t="s">
        <v>21</v>
      </c>
      <c r="P214" s="44"/>
    </row>
    <row r="215" spans="1:16" customFormat="1" ht="15" customHeight="1" x14ac:dyDescent="0.25">
      <c r="A215" t="str">
        <f t="shared" si="3"/>
        <v>ALR_INCONSISTENTE-Allarme inconsistente</v>
      </c>
      <c r="B215" t="str">
        <f>VLOOKUP(A215,'EXPORT IRIS PROD 13-11-2024'!A:A,1,0)</f>
        <v>ALR_INCONSISTENTE-Allarme inconsistente</v>
      </c>
      <c r="C215" t="str">
        <f>VLOOKUP(F215,'EXPORT IRIS PROD 13-11-2024'!F:F,1,0)</f>
        <v>ALR_INCONSISTENTE</v>
      </c>
      <c r="D215" t="str">
        <f>VLOOKUP(G215,'EXPORT IRIS PROD 13-11-2024'!D:D,1,0)</f>
        <v>Allarme inconsistente</v>
      </c>
      <c r="E215" s="37" t="s">
        <v>53</v>
      </c>
      <c r="F215" s="38" t="s">
        <v>438</v>
      </c>
      <c r="G215" s="38" t="s">
        <v>439</v>
      </c>
      <c r="H215" s="39" t="s">
        <v>56</v>
      </c>
      <c r="I215" s="39" t="s">
        <v>355</v>
      </c>
      <c r="J215" s="40" t="s">
        <v>21</v>
      </c>
      <c r="K215" s="41" t="s">
        <v>22</v>
      </c>
      <c r="L215" s="42" t="s">
        <v>23</v>
      </c>
      <c r="M215" s="43" t="s">
        <v>24</v>
      </c>
      <c r="N215" s="42" t="s">
        <v>25</v>
      </c>
      <c r="O215" s="42" t="s">
        <v>21</v>
      </c>
      <c r="P215" s="44"/>
    </row>
    <row r="216" spans="1:16" customFormat="1" ht="15" customHeight="1" x14ac:dyDescent="0.25">
      <c r="A216" t="str">
        <f t="shared" si="3"/>
        <v>ALR_INCONSISTENTE-Allarme inconsistente</v>
      </c>
      <c r="B216" t="str">
        <f>VLOOKUP(A216,'EXPORT IRIS PROD 13-11-2024'!A:A,1,0)</f>
        <v>ALR_INCONSISTENTE-Allarme inconsistente</v>
      </c>
      <c r="C216" t="str">
        <f>VLOOKUP(F216,'EXPORT IRIS PROD 13-11-2024'!F:F,1,0)</f>
        <v>ALR_INCONSISTENTE</v>
      </c>
      <c r="D216" t="str">
        <f>VLOOKUP(G216,'EXPORT IRIS PROD 13-11-2024'!D:D,1,0)</f>
        <v>Allarme inconsistente</v>
      </c>
      <c r="E216" s="37" t="s">
        <v>53</v>
      </c>
      <c r="F216" s="38" t="s">
        <v>438</v>
      </c>
      <c r="G216" s="38" t="s">
        <v>439</v>
      </c>
      <c r="H216" s="39" t="s">
        <v>56</v>
      </c>
      <c r="I216" s="39" t="s">
        <v>114</v>
      </c>
      <c r="J216" s="40" t="s">
        <v>21</v>
      </c>
      <c r="K216" s="41" t="s">
        <v>22</v>
      </c>
      <c r="L216" s="42" t="s">
        <v>23</v>
      </c>
      <c r="M216" s="43" t="s">
        <v>24</v>
      </c>
      <c r="N216" s="42" t="s">
        <v>25</v>
      </c>
      <c r="O216" s="42" t="s">
        <v>21</v>
      </c>
      <c r="P216" s="44"/>
    </row>
    <row r="217" spans="1:16" customFormat="1" ht="15" customHeight="1" x14ac:dyDescent="0.25">
      <c r="A217" t="str">
        <f t="shared" si="3"/>
        <v>ALR_INCONSISTENTE-Allarme inconsistente</v>
      </c>
      <c r="B217" t="str">
        <f>VLOOKUP(A217,'EXPORT IRIS PROD 13-11-2024'!A:A,1,0)</f>
        <v>ALR_INCONSISTENTE-Allarme inconsistente</v>
      </c>
      <c r="C217" t="str">
        <f>VLOOKUP(F217,'EXPORT IRIS PROD 13-11-2024'!F:F,1,0)</f>
        <v>ALR_INCONSISTENTE</v>
      </c>
      <c r="D217" t="str">
        <f>VLOOKUP(G217,'EXPORT IRIS PROD 13-11-2024'!D:D,1,0)</f>
        <v>Allarme inconsistente</v>
      </c>
      <c r="E217" s="37" t="s">
        <v>85</v>
      </c>
      <c r="F217" s="38" t="s">
        <v>438</v>
      </c>
      <c r="G217" s="38" t="s">
        <v>439</v>
      </c>
      <c r="H217" s="39" t="s">
        <v>50</v>
      </c>
      <c r="I217" s="39" t="s">
        <v>124</v>
      </c>
      <c r="J217" s="40" t="s">
        <v>21</v>
      </c>
      <c r="K217" s="41" t="s">
        <v>22</v>
      </c>
      <c r="L217" s="42" t="s">
        <v>23</v>
      </c>
      <c r="M217" s="43" t="s">
        <v>24</v>
      </c>
      <c r="N217" s="42" t="s">
        <v>25</v>
      </c>
      <c r="O217" s="42" t="s">
        <v>21</v>
      </c>
      <c r="P217" s="44"/>
    </row>
    <row r="218" spans="1:16" ht="15" customHeight="1" x14ac:dyDescent="0.25">
      <c r="A218" t="str">
        <f t="shared" si="3"/>
        <v>ALR_INFILTRAZIONE-Allarme infiltrazione</v>
      </c>
      <c r="B218" t="str">
        <f>VLOOKUP(A218,'EXPORT IRIS PROD 13-11-2024'!A:A,1,0)</f>
        <v>ALR_INFILTRAZIONE-Allarme infiltrazione</v>
      </c>
      <c r="C218" t="str">
        <f>VLOOKUP(F218,'EXPORT IRIS PROD 13-11-2024'!F:F,1,0)</f>
        <v>ALR_INFILTRAZIONE</v>
      </c>
      <c r="D218" t="str">
        <f>VLOOKUP(G218,'EXPORT IRIS PROD 13-11-2024'!D:D,1,0)</f>
        <v>Allarme infiltrazione</v>
      </c>
      <c r="E218" s="37" t="s">
        <v>53</v>
      </c>
      <c r="F218" s="38" t="s">
        <v>440</v>
      </c>
      <c r="G218" s="38" t="s">
        <v>441</v>
      </c>
      <c r="H218" s="39" t="s">
        <v>56</v>
      </c>
      <c r="I218" s="39" t="s">
        <v>442</v>
      </c>
      <c r="J218" s="40" t="s">
        <v>21</v>
      </c>
      <c r="K218" s="41" t="s">
        <v>22</v>
      </c>
      <c r="L218" s="42" t="s">
        <v>23</v>
      </c>
      <c r="M218" s="43" t="s">
        <v>24</v>
      </c>
      <c r="N218" s="42" t="s">
        <v>25</v>
      </c>
      <c r="O218" s="42" t="s">
        <v>21</v>
      </c>
      <c r="P218" s="44"/>
    </row>
    <row r="219" spans="1:16" ht="15" customHeight="1" x14ac:dyDescent="0.25">
      <c r="A219" t="str">
        <f t="shared" si="3"/>
        <v>ALR_INQUINAMENTO_CANNA_NORD-Allarme inquinamento canna nord</v>
      </c>
      <c r="B219" t="str">
        <f>VLOOKUP(A219,'EXPORT IRIS PROD 13-11-2024'!A:A,1,0)</f>
        <v>ALR_INQUINAMENTO_CANNA_NORD-Allarme inquinamento canna nord</v>
      </c>
      <c r="C219" t="str">
        <f>VLOOKUP(F219,'EXPORT IRIS PROD 13-11-2024'!F:F,1,0)</f>
        <v>ALR_INQUINAMENTO_CANNA_NORD</v>
      </c>
      <c r="D219" t="str">
        <f>VLOOKUP(G219,'EXPORT IRIS PROD 13-11-2024'!D:D,1,0)</f>
        <v>Allarme inquinamento canna nord</v>
      </c>
      <c r="E219" s="37" t="s">
        <v>213</v>
      </c>
      <c r="F219" s="38" t="s">
        <v>443</v>
      </c>
      <c r="G219" s="38" t="s">
        <v>444</v>
      </c>
      <c r="H219" s="39" t="s">
        <v>50</v>
      </c>
      <c r="I219" s="39" t="s">
        <v>445</v>
      </c>
      <c r="J219" s="40" t="s">
        <v>31</v>
      </c>
      <c r="K219" s="41" t="s">
        <v>32</v>
      </c>
      <c r="L219" s="43">
        <v>2</v>
      </c>
      <c r="M219" s="43" t="s">
        <v>45</v>
      </c>
      <c r="N219" s="42" t="s">
        <v>46</v>
      </c>
      <c r="O219" s="42" t="s">
        <v>31</v>
      </c>
      <c r="P219" s="49"/>
    </row>
    <row r="220" spans="1:16" ht="15" customHeight="1" x14ac:dyDescent="0.25">
      <c r="A220" t="str">
        <f t="shared" si="3"/>
        <v>ALR_INQUINAMENTO_CANNA_SUD-Allarme inquinamento canna sud</v>
      </c>
      <c r="B220" t="str">
        <f>VLOOKUP(A220,'EXPORT IRIS PROD 13-11-2024'!A:A,1,0)</f>
        <v>ALR_INQUINAMENTO_CANNA_SUD-Allarme inquinamento canna sud</v>
      </c>
      <c r="C220" t="str">
        <f>VLOOKUP(F220,'EXPORT IRIS PROD 13-11-2024'!F:F,1,0)</f>
        <v>ALR_INQUINAMENTO_CANNA_SUD</v>
      </c>
      <c r="D220" t="str">
        <f>VLOOKUP(G220,'EXPORT IRIS PROD 13-11-2024'!D:D,1,0)</f>
        <v>Allarme inquinamento canna sud</v>
      </c>
      <c r="E220" s="37" t="s">
        <v>213</v>
      </c>
      <c r="F220" s="38" t="s">
        <v>446</v>
      </c>
      <c r="G220" s="38" t="s">
        <v>447</v>
      </c>
      <c r="H220" s="39" t="s">
        <v>50</v>
      </c>
      <c r="I220" s="39" t="s">
        <v>445</v>
      </c>
      <c r="J220" s="40" t="s">
        <v>31</v>
      </c>
      <c r="K220" s="41" t="s">
        <v>32</v>
      </c>
      <c r="L220" s="43">
        <v>2</v>
      </c>
      <c r="M220" s="43" t="s">
        <v>45</v>
      </c>
      <c r="N220" s="42" t="s">
        <v>46</v>
      </c>
      <c r="O220" s="42" t="s">
        <v>31</v>
      </c>
      <c r="P220" s="49"/>
    </row>
    <row r="221" spans="1:16" customFormat="1" ht="15" customHeight="1" x14ac:dyDescent="0.25">
      <c r="A221" t="str">
        <f t="shared" si="3"/>
        <v>ALR_INQUINAMENTO_GALLERIA-Allarme inquinamento galleria</v>
      </c>
      <c r="B221" t="str">
        <f>VLOOKUP(A221,'EXPORT IRIS PROD 13-11-2024'!A:A,1,0)</f>
        <v>ALR_INQUINAMENTO_GALLERIA-Allarme inquinamento galleria</v>
      </c>
      <c r="C221" t="str">
        <f>VLOOKUP(F221,'EXPORT IRIS PROD 13-11-2024'!F:F,1,0)</f>
        <v>ALR_INQUINAMENTO_GALLERIA</v>
      </c>
      <c r="D221" t="str">
        <f>VLOOKUP(G221,'EXPORT IRIS PROD 13-11-2024'!D:D,1,0)</f>
        <v>Allarme inquinamento galleria</v>
      </c>
      <c r="E221" s="37" t="s">
        <v>213</v>
      </c>
      <c r="F221" s="38" t="s">
        <v>448</v>
      </c>
      <c r="G221" s="38" t="s">
        <v>449</v>
      </c>
      <c r="H221" s="39" t="s">
        <v>50</v>
      </c>
      <c r="I221" s="39" t="s">
        <v>445</v>
      </c>
      <c r="J221" s="40" t="s">
        <v>31</v>
      </c>
      <c r="K221" s="41" t="s">
        <v>32</v>
      </c>
      <c r="L221" s="43">
        <v>2</v>
      </c>
      <c r="M221" s="43" t="s">
        <v>45</v>
      </c>
      <c r="N221" s="42" t="s">
        <v>46</v>
      </c>
      <c r="O221" s="42" t="s">
        <v>31</v>
      </c>
      <c r="P221" s="49"/>
    </row>
    <row r="222" spans="1:16" customFormat="1" ht="15" customHeight="1" x14ac:dyDescent="0.25">
      <c r="A222" t="str">
        <f t="shared" si="3"/>
        <v>ALR_INT_APERTO-Allarme interruttore aperto</v>
      </c>
      <c r="B222" t="str">
        <f>VLOOKUP(A222,'EXPORT IRIS PROD 13-11-2024'!A:A,1,0)</f>
        <v>ALR_INT_APERTO-Allarme interruttore aperto</v>
      </c>
      <c r="C222" t="str">
        <f>VLOOKUP(F222,'EXPORT IRIS PROD 13-11-2024'!F:F,1,0)</f>
        <v>ALR_INT_APERTO</v>
      </c>
      <c r="D222" t="str">
        <f>VLOOKUP(G222,'EXPORT IRIS PROD 13-11-2024'!D:D,1,0)</f>
        <v>Allarme interruttore aperto</v>
      </c>
      <c r="E222" s="37" t="s">
        <v>53</v>
      </c>
      <c r="F222" s="38" t="s">
        <v>450</v>
      </c>
      <c r="G222" s="38" t="s">
        <v>451</v>
      </c>
      <c r="H222" s="39" t="s">
        <v>56</v>
      </c>
      <c r="I222" s="39" t="s">
        <v>355</v>
      </c>
      <c r="J222" s="40" t="s">
        <v>21</v>
      </c>
      <c r="K222" s="41" t="s">
        <v>22</v>
      </c>
      <c r="L222" s="42" t="s">
        <v>23</v>
      </c>
      <c r="M222" s="43" t="s">
        <v>157</v>
      </c>
      <c r="N222" s="42" t="s">
        <v>158</v>
      </c>
      <c r="O222" s="42" t="s">
        <v>21</v>
      </c>
      <c r="P222" s="44"/>
    </row>
    <row r="223" spans="1:16" customFormat="1" ht="15" customHeight="1" x14ac:dyDescent="0.25">
      <c r="A223" t="str">
        <f t="shared" si="3"/>
        <v>ALR_INT_FAULT-Allarme interruttore in fault</v>
      </c>
      <c r="B223" t="str">
        <f>VLOOKUP(A223,'EXPORT IRIS PROD 13-11-2024'!A:A,1,0)</f>
        <v>ALR_INT_FAULT-Allarme interruttore in fault</v>
      </c>
      <c r="C223" t="str">
        <f>VLOOKUP(F223,'EXPORT IRIS PROD 13-11-2024'!F:F,1,0)</f>
        <v>ALR_INT_FAULT</v>
      </c>
      <c r="D223" t="str">
        <f>VLOOKUP(G223,'EXPORT IRIS PROD 13-11-2024'!D:D,1,0)</f>
        <v>Allarme interruttore in fault</v>
      </c>
      <c r="E223" s="37" t="s">
        <v>53</v>
      </c>
      <c r="F223" s="38" t="s">
        <v>452</v>
      </c>
      <c r="G223" s="38" t="s">
        <v>453</v>
      </c>
      <c r="H223" s="39" t="s">
        <v>56</v>
      </c>
      <c r="I223" s="39" t="s">
        <v>355</v>
      </c>
      <c r="J223" s="40" t="s">
        <v>21</v>
      </c>
      <c r="K223" s="41" t="s">
        <v>22</v>
      </c>
      <c r="L223" s="42" t="s">
        <v>23</v>
      </c>
      <c r="M223" s="43" t="s">
        <v>157</v>
      </c>
      <c r="N223" s="42" t="s">
        <v>158</v>
      </c>
      <c r="O223" s="42" t="s">
        <v>21</v>
      </c>
      <c r="P223" s="44"/>
    </row>
    <row r="224" spans="1:16" customFormat="1" ht="15" customHeight="1" x14ac:dyDescent="0.25">
      <c r="A224" t="str">
        <f t="shared" si="3"/>
        <v>ALR_INT_GENERALE_SCATTATO-Allarme interruttore generale scattato</v>
      </c>
      <c r="B224" t="str">
        <f>VLOOKUP(A224,'EXPORT IRIS PROD 13-11-2024'!A:A,1,0)</f>
        <v>ALR_INT_GENERALE_SCATTATO-Allarme interruttore generale scattato</v>
      </c>
      <c r="C224" t="str">
        <f>VLOOKUP(F224,'EXPORT IRIS PROD 13-11-2024'!F:F,1,0)</f>
        <v>ALR_INT_GENERALE_SCATTATO</v>
      </c>
      <c r="D224" t="str">
        <f>VLOOKUP(G224,'EXPORT IRIS PROD 13-11-2024'!D:D,1,0)</f>
        <v>Allarme interruttore generale scattato</v>
      </c>
      <c r="E224" s="37" t="s">
        <v>454</v>
      </c>
      <c r="F224" s="38" t="s">
        <v>455</v>
      </c>
      <c r="G224" s="45" t="s">
        <v>456</v>
      </c>
      <c r="H224" s="46" t="s">
        <v>56</v>
      </c>
      <c r="I224" s="46" t="s">
        <v>457</v>
      </c>
      <c r="J224" s="47" t="s">
        <v>31</v>
      </c>
      <c r="K224" s="48" t="s">
        <v>32</v>
      </c>
      <c r="L224" s="43">
        <v>2</v>
      </c>
      <c r="M224" s="43" t="s">
        <v>33</v>
      </c>
      <c r="N224" s="43" t="s">
        <v>34</v>
      </c>
      <c r="O224" s="43" t="s">
        <v>31</v>
      </c>
      <c r="P224" s="49"/>
    </row>
    <row r="225" spans="1:16" customFormat="1" ht="15" customHeight="1" x14ac:dyDescent="0.25">
      <c r="A225" t="str">
        <f t="shared" si="3"/>
        <v>ALR_INT_SCATTATO_1_IMP-Allarme interruttore scattato</v>
      </c>
      <c r="B225" t="str">
        <f>VLOOKUP(A225,'EXPORT IRIS PROD 13-11-2024'!A:A,1,0)</f>
        <v>ALR_INT_SCATTATO_1_IMP-Allarme interruttore scattato</v>
      </c>
      <c r="C225" t="str">
        <f>VLOOKUP(F225,'EXPORT IRIS PROD 13-11-2024'!F:F,1,0)</f>
        <v>ALR_INT_SCATTATO_1_IMP</v>
      </c>
      <c r="D225" t="str">
        <f>VLOOKUP(G225,'EXPORT IRIS PROD 13-11-2024'!D:D,1,0)</f>
        <v>Allarme interruttore scattato</v>
      </c>
      <c r="E225" s="37" t="s">
        <v>53</v>
      </c>
      <c r="F225" s="38" t="s">
        <v>458</v>
      </c>
      <c r="G225" s="38" t="s">
        <v>459</v>
      </c>
      <c r="H225" s="39" t="s">
        <v>56</v>
      </c>
      <c r="I225" s="39" t="s">
        <v>355</v>
      </c>
      <c r="J225" s="40" t="s">
        <v>21</v>
      </c>
      <c r="K225" s="41" t="s">
        <v>22</v>
      </c>
      <c r="L225" s="42" t="s">
        <v>23</v>
      </c>
      <c r="M225" s="43" t="s">
        <v>24</v>
      </c>
      <c r="N225" s="42" t="s">
        <v>25</v>
      </c>
      <c r="O225" s="42" t="s">
        <v>21</v>
      </c>
      <c r="P225" s="56"/>
    </row>
    <row r="226" spans="1:16" customFormat="1" ht="15" customHeight="1" x14ac:dyDescent="0.25">
      <c r="A226" t="str">
        <f t="shared" si="3"/>
        <v>ALR_INT_SCATTATO_2_IMP-Allarme interruttore scattato</v>
      </c>
      <c r="B226" t="str">
        <f>VLOOKUP(A226,'EXPORT IRIS PROD 13-11-2024'!A:A,1,0)</f>
        <v>ALR_INT_SCATTATO_2_IMP-Allarme interruttore scattato</v>
      </c>
      <c r="C226" t="str">
        <f>VLOOKUP(F226,'EXPORT IRIS PROD 13-11-2024'!F:F,1,0)</f>
        <v>ALR_INT_SCATTATO_2_IMP</v>
      </c>
      <c r="D226" t="str">
        <f>VLOOKUP(G226,'EXPORT IRIS PROD 13-11-2024'!D:D,1,0)</f>
        <v>Allarme interruttore scattato</v>
      </c>
      <c r="E226" s="37" t="s">
        <v>53</v>
      </c>
      <c r="F226" s="38" t="s">
        <v>460</v>
      </c>
      <c r="G226" s="38" t="s">
        <v>459</v>
      </c>
      <c r="H226" s="39" t="s">
        <v>56</v>
      </c>
      <c r="I226" s="39" t="s">
        <v>461</v>
      </c>
      <c r="J226" s="40" t="s">
        <v>21</v>
      </c>
      <c r="K226" s="41" t="s">
        <v>22</v>
      </c>
      <c r="L226" s="42" t="s">
        <v>23</v>
      </c>
      <c r="M226" s="43" t="s">
        <v>24</v>
      </c>
      <c r="N226" s="42" t="s">
        <v>25</v>
      </c>
      <c r="O226" s="42" t="s">
        <v>21</v>
      </c>
      <c r="P226" s="44"/>
    </row>
    <row r="227" spans="1:16" customFormat="1" ht="15" customHeight="1" x14ac:dyDescent="0.25">
      <c r="A227" t="str">
        <f t="shared" si="3"/>
        <v>ALR_INT_SCATTATO_2_IMP-Allarme interruttore scattato</v>
      </c>
      <c r="B227" t="str">
        <f>VLOOKUP(A227,'EXPORT IRIS PROD 13-11-2024'!A:A,1,0)</f>
        <v>ALR_INT_SCATTATO_2_IMP-Allarme interruttore scattato</v>
      </c>
      <c r="C227" t="str">
        <f>VLOOKUP(F227,'EXPORT IRIS PROD 13-11-2024'!F:F,1,0)</f>
        <v>ALR_INT_SCATTATO_2_IMP</v>
      </c>
      <c r="D227" t="str">
        <f>VLOOKUP(G227,'EXPORT IRIS PROD 13-11-2024'!D:D,1,0)</f>
        <v>Allarme interruttore scattato</v>
      </c>
      <c r="E227" s="37" t="s">
        <v>53</v>
      </c>
      <c r="F227" s="38" t="s">
        <v>460</v>
      </c>
      <c r="G227" s="38" t="s">
        <v>459</v>
      </c>
      <c r="H227" s="39" t="s">
        <v>56</v>
      </c>
      <c r="I227" s="39" t="s">
        <v>462</v>
      </c>
      <c r="J227" s="40" t="s">
        <v>21</v>
      </c>
      <c r="K227" s="41" t="s">
        <v>22</v>
      </c>
      <c r="L227" s="42" t="s">
        <v>23</v>
      </c>
      <c r="M227" s="43" t="s">
        <v>24</v>
      </c>
      <c r="N227" s="42" t="s">
        <v>25</v>
      </c>
      <c r="O227" s="42" t="s">
        <v>21</v>
      </c>
      <c r="P227" s="44"/>
    </row>
    <row r="228" spans="1:16" customFormat="1" ht="15" customHeight="1" x14ac:dyDescent="0.25">
      <c r="A228" t="str">
        <f t="shared" si="3"/>
        <v>ALR_INT_SCATTATO_2_IMP-Allarme interruttore scattato</v>
      </c>
      <c r="B228" t="str">
        <f>VLOOKUP(A228,'EXPORT IRIS PROD 13-11-2024'!A:A,1,0)</f>
        <v>ALR_INT_SCATTATO_2_IMP-Allarme interruttore scattato</v>
      </c>
      <c r="C228" t="str">
        <f>VLOOKUP(F228,'EXPORT IRIS PROD 13-11-2024'!F:F,1,0)</f>
        <v>ALR_INT_SCATTATO_2_IMP</v>
      </c>
      <c r="D228" t="str">
        <f>VLOOKUP(G228,'EXPORT IRIS PROD 13-11-2024'!D:D,1,0)</f>
        <v>Allarme interruttore scattato</v>
      </c>
      <c r="E228" s="37" t="s">
        <v>53</v>
      </c>
      <c r="F228" s="38" t="s">
        <v>460</v>
      </c>
      <c r="G228" s="38" t="s">
        <v>459</v>
      </c>
      <c r="H228" s="39" t="s">
        <v>56</v>
      </c>
      <c r="I228" s="39" t="s">
        <v>463</v>
      </c>
      <c r="J228" s="40" t="s">
        <v>21</v>
      </c>
      <c r="K228" s="41" t="s">
        <v>22</v>
      </c>
      <c r="L228" s="42" t="s">
        <v>23</v>
      </c>
      <c r="M228" s="43" t="s">
        <v>24</v>
      </c>
      <c r="N228" s="42" t="s">
        <v>25</v>
      </c>
      <c r="O228" s="42" t="s">
        <v>21</v>
      </c>
      <c r="P228" s="44"/>
    </row>
    <row r="229" spans="1:16" customFormat="1" ht="15" customHeight="1" x14ac:dyDescent="0.25">
      <c r="A229" t="str">
        <f t="shared" si="3"/>
        <v>ALR_INTERRUTTORE-Allarme interruttore scattato</v>
      </c>
      <c r="B229" t="str">
        <f>VLOOKUP(A229,'EXPORT IRIS PROD 13-11-2024'!A:A,1,0)</f>
        <v>ALR_INTERRUTTORE-Allarme interruttore scattato</v>
      </c>
      <c r="C229" t="str">
        <f>VLOOKUP(F229,'EXPORT IRIS PROD 13-11-2024'!F:F,1,0)</f>
        <v>ALR_INTERRUTTORE</v>
      </c>
      <c r="D229" t="str">
        <f>VLOOKUP(G229,'EXPORT IRIS PROD 13-11-2024'!D:D,1,0)</f>
        <v>Allarme interruttore scattato</v>
      </c>
      <c r="E229" s="37" t="s">
        <v>53</v>
      </c>
      <c r="F229" s="38" t="s">
        <v>464</v>
      </c>
      <c r="G229" s="38" t="s">
        <v>459</v>
      </c>
      <c r="H229" s="39" t="s">
        <v>56</v>
      </c>
      <c r="I229" s="50" t="s">
        <v>465</v>
      </c>
      <c r="J229" s="40" t="s">
        <v>21</v>
      </c>
      <c r="K229" s="41" t="s">
        <v>22</v>
      </c>
      <c r="L229" s="42" t="s">
        <v>23</v>
      </c>
      <c r="M229" s="43" t="s">
        <v>24</v>
      </c>
      <c r="N229" s="42" t="s">
        <v>25</v>
      </c>
      <c r="O229" s="42" t="s">
        <v>21</v>
      </c>
      <c r="P229" s="56"/>
    </row>
    <row r="230" spans="1:16" customFormat="1" ht="15" customHeight="1" x14ac:dyDescent="0.25">
      <c r="A230" t="str">
        <f t="shared" si="3"/>
        <v>ALR_INTERVENUTO_PROTEZIONE_TERMICO-Allarme scatto protezione magnetotermica</v>
      </c>
      <c r="B230" t="str">
        <f>VLOOKUP(A230,'EXPORT IRIS PROD 13-11-2024'!A:A,1,0)</f>
        <v>ALR_INTERVENUTO_PROTEZIONE_TERMICO-Allarme scatto protezione magnetotermica</v>
      </c>
      <c r="C230" t="str">
        <f>VLOOKUP(F230,'EXPORT IRIS PROD 13-11-2024'!F:F,1,0)</f>
        <v>ALR_INTERVENUTO_PROTEZIONE_TERMICO</v>
      </c>
      <c r="D230" t="str">
        <f>VLOOKUP(G230,'EXPORT IRIS PROD 13-11-2024'!D:D,1,0)</f>
        <v>Allarme scatto protezione magnetotermica</v>
      </c>
      <c r="E230" s="37" t="s">
        <v>85</v>
      </c>
      <c r="F230" s="38" t="s">
        <v>466</v>
      </c>
      <c r="G230" s="38" t="s">
        <v>467</v>
      </c>
      <c r="H230" s="39" t="s">
        <v>50</v>
      </c>
      <c r="I230" s="39" t="s">
        <v>124</v>
      </c>
      <c r="J230" s="40" t="s">
        <v>21</v>
      </c>
      <c r="K230" s="41" t="s">
        <v>22</v>
      </c>
      <c r="L230" s="42" t="s">
        <v>23</v>
      </c>
      <c r="M230" s="43" t="s">
        <v>24</v>
      </c>
      <c r="N230" s="42" t="s">
        <v>25</v>
      </c>
      <c r="O230" s="42" t="s">
        <v>21</v>
      </c>
      <c r="P230" s="44"/>
    </row>
    <row r="231" spans="1:16" customFormat="1" ht="15" customHeight="1" x14ac:dyDescent="0.25">
      <c r="A231" t="str">
        <f t="shared" si="3"/>
        <v>ALR_INTRUSIONE-Allarme intrusione in cabina</v>
      </c>
      <c r="B231" t="str">
        <f>VLOOKUP(A231,'EXPORT IRIS PROD 13-11-2024'!A:A,1,0)</f>
        <v>ALR_INTRUSIONE-Allarme intrusione in cabina</v>
      </c>
      <c r="C231" t="str">
        <f>VLOOKUP(F231,'EXPORT IRIS PROD 13-11-2024'!F:F,1,0)</f>
        <v>ALR_INTRUSIONE</v>
      </c>
      <c r="D231" t="str">
        <f>VLOOKUP(G231,'EXPORT IRIS PROD 13-11-2024'!D:D,1,0)</f>
        <v>Allarme intrusione in cabina</v>
      </c>
      <c r="E231" s="37" t="s">
        <v>468</v>
      </c>
      <c r="F231" s="38" t="s">
        <v>469</v>
      </c>
      <c r="G231" s="38" t="s">
        <v>470</v>
      </c>
      <c r="H231" s="39" t="s">
        <v>385</v>
      </c>
      <c r="I231" s="39" t="s">
        <v>386</v>
      </c>
      <c r="J231" s="40" t="s">
        <v>31</v>
      </c>
      <c r="K231" s="41" t="s">
        <v>32</v>
      </c>
      <c r="L231" s="43">
        <v>2</v>
      </c>
      <c r="M231" s="43" t="s">
        <v>33</v>
      </c>
      <c r="N231" s="42" t="s">
        <v>34</v>
      </c>
      <c r="O231" s="42" t="s">
        <v>31</v>
      </c>
      <c r="P231" s="44"/>
    </row>
    <row r="232" spans="1:16" customFormat="1" ht="15" customHeight="1" x14ac:dyDescent="0.25">
      <c r="A232" t="str">
        <f t="shared" si="3"/>
        <v>ALR_INTRUSIONE_IN_GALLERIA-Allarme intrusione in galleria</v>
      </c>
      <c r="B232" t="str">
        <f>VLOOKUP(A232,'EXPORT IRIS PROD 13-11-2024'!A:A,1,0)</f>
        <v>ALR_INTRUSIONE_IN_GALLERIA-Allarme intrusione in galleria</v>
      </c>
      <c r="C232" t="str">
        <f>VLOOKUP(F232,'EXPORT IRIS PROD 13-11-2024'!F:F,1,0)</f>
        <v>ALR_INTRUSIONE_IN_GALLERIA</v>
      </c>
      <c r="D232" t="str">
        <f>VLOOKUP(G232,'EXPORT IRIS PROD 13-11-2024'!D:D,1,0)</f>
        <v>Allarme intrusione in galleria</v>
      </c>
      <c r="E232" s="37" t="s">
        <v>471</v>
      </c>
      <c r="F232" s="38" t="s">
        <v>472</v>
      </c>
      <c r="G232" s="45" t="s">
        <v>473</v>
      </c>
      <c r="H232" s="46" t="s">
        <v>201</v>
      </c>
      <c r="I232" s="46" t="s">
        <v>380</v>
      </c>
      <c r="J232" s="47" t="s">
        <v>31</v>
      </c>
      <c r="K232" s="48" t="s">
        <v>32</v>
      </c>
      <c r="L232" s="43">
        <v>1</v>
      </c>
      <c r="M232" s="43" t="s">
        <v>33</v>
      </c>
      <c r="N232" s="43" t="s">
        <v>34</v>
      </c>
      <c r="O232" s="43" t="s">
        <v>31</v>
      </c>
      <c r="P232" s="56"/>
    </row>
    <row r="233" spans="1:16" customFormat="1" ht="15" customHeight="1" x14ac:dyDescent="0.25">
      <c r="A233" t="str">
        <f t="shared" si="3"/>
        <v>ALR_INTRUSIONE_IN_GALLERIA-Allarme intrusione in galleria</v>
      </c>
      <c r="B233" t="str">
        <f>VLOOKUP(A233,'EXPORT IRIS PROD 13-11-2024'!A:A,1,0)</f>
        <v>ALR_INTRUSIONE_IN_GALLERIA-Allarme intrusione in galleria</v>
      </c>
      <c r="C233" t="str">
        <f>VLOOKUP(F233,'EXPORT IRIS PROD 13-11-2024'!F:F,1,0)</f>
        <v>ALR_INTRUSIONE_IN_GALLERIA</v>
      </c>
      <c r="D233" t="str">
        <f>VLOOKUP(G233,'EXPORT IRIS PROD 13-11-2024'!D:D,1,0)</f>
        <v>Allarme intrusione in galleria</v>
      </c>
      <c r="E233" s="37" t="s">
        <v>471</v>
      </c>
      <c r="F233" s="38" t="s">
        <v>472</v>
      </c>
      <c r="G233" s="45" t="s">
        <v>473</v>
      </c>
      <c r="H233" s="46" t="s">
        <v>201</v>
      </c>
      <c r="I233" s="46" t="s">
        <v>263</v>
      </c>
      <c r="J233" s="47" t="s">
        <v>31</v>
      </c>
      <c r="K233" s="48" t="s">
        <v>32</v>
      </c>
      <c r="L233" s="43">
        <v>1</v>
      </c>
      <c r="M233" s="43" t="s">
        <v>33</v>
      </c>
      <c r="N233" s="43" t="s">
        <v>34</v>
      </c>
      <c r="O233" s="43" t="s">
        <v>31</v>
      </c>
      <c r="P233" s="56"/>
    </row>
    <row r="234" spans="1:16" customFormat="1" ht="15" customHeight="1" x14ac:dyDescent="0.25">
      <c r="A234" t="str">
        <f t="shared" si="3"/>
        <v>ALR_LAMPEGGIANTE-Allarme lampeggiante attivo</v>
      </c>
      <c r="B234" t="str">
        <f>VLOOKUP(A234,'EXPORT IRIS PROD 13-11-2024'!A:A,1,0)</f>
        <v>ALR_LAMPEGGIANTE-Allarme lampeggiante attivo</v>
      </c>
      <c r="C234" t="str">
        <f>VLOOKUP(F234,'EXPORT IRIS PROD 13-11-2024'!F:F,1,0)</f>
        <v>ALR_LAMPEGGIANTE</v>
      </c>
      <c r="D234" t="str">
        <f>VLOOKUP(G234,'EXPORT IRIS PROD 13-11-2024'!D:D,1,0)</f>
        <v>Allarme lampeggiante attivo</v>
      </c>
      <c r="E234" s="37" t="s">
        <v>26</v>
      </c>
      <c r="F234" s="38" t="s">
        <v>474</v>
      </c>
      <c r="G234" s="45" t="s">
        <v>475</v>
      </c>
      <c r="H234" s="46" t="s">
        <v>29</v>
      </c>
      <c r="I234" s="46" t="s">
        <v>360</v>
      </c>
      <c r="J234" s="47" t="s">
        <v>31</v>
      </c>
      <c r="K234" s="48" t="s">
        <v>32</v>
      </c>
      <c r="L234" s="43">
        <v>1</v>
      </c>
      <c r="M234" s="43" t="s">
        <v>157</v>
      </c>
      <c r="N234" s="43" t="s">
        <v>158</v>
      </c>
      <c r="O234" s="42" t="s">
        <v>21</v>
      </c>
      <c r="P234" s="49"/>
    </row>
    <row r="235" spans="1:16" customFormat="1" ht="15" customHeight="1" x14ac:dyDescent="0.25">
      <c r="A235" t="str">
        <f t="shared" si="3"/>
        <v>ALR_LIV_BATTERIA_BASSO-Allarme batteria in scarica</v>
      </c>
      <c r="B235" t="str">
        <f>VLOOKUP(A235,'EXPORT IRIS PROD 13-11-2024'!A:A,1,0)</f>
        <v>ALR_LIV_BATTERIA_BASSO-Allarme batteria in scarica</v>
      </c>
      <c r="C235" t="str">
        <f>VLOOKUP(F235,'EXPORT IRIS PROD 13-11-2024'!F:F,1,0)</f>
        <v>ALR_LIV_BATTERIA_BASSO</v>
      </c>
      <c r="D235" t="str">
        <f>VLOOKUP(G235,'EXPORT IRIS PROD 13-11-2024'!D:D,1,0)</f>
        <v>Allarme batteria in scarica</v>
      </c>
      <c r="E235" s="37" t="s">
        <v>53</v>
      </c>
      <c r="F235" s="38" t="s">
        <v>476</v>
      </c>
      <c r="G235" s="38" t="s">
        <v>477</v>
      </c>
      <c r="H235" s="39" t="s">
        <v>56</v>
      </c>
      <c r="I235" s="39" t="s">
        <v>104</v>
      </c>
      <c r="J235" s="40" t="s">
        <v>21</v>
      </c>
      <c r="K235" s="41" t="s">
        <v>22</v>
      </c>
      <c r="L235" s="42" t="s">
        <v>23</v>
      </c>
      <c r="M235" s="43" t="s">
        <v>24</v>
      </c>
      <c r="N235" s="42" t="s">
        <v>25</v>
      </c>
      <c r="O235" s="42" t="s">
        <v>21</v>
      </c>
      <c r="P235" s="44"/>
    </row>
    <row r="236" spans="1:16" customFormat="1" ht="15" customHeight="1" x14ac:dyDescent="0.25">
      <c r="A236" t="str">
        <f t="shared" si="3"/>
        <v>ALR_LIV_VASCA_ANTINCENDIO-Allarme livello serbatoio acqua in esaurimento</v>
      </c>
      <c r="B236" t="str">
        <f>VLOOKUP(A236,'EXPORT IRIS PROD 13-11-2024'!A:A,1,0)</f>
        <v>ALR_LIV_VASCA_ANTINCENDIO-Allarme livello serbatoio acqua in esaurimento</v>
      </c>
      <c r="C236" t="str">
        <f>VLOOKUP(F236,'EXPORT IRIS PROD 13-11-2024'!F:F,1,0)</f>
        <v>ALR_LIV_VASCA_ANTINCENDIO</v>
      </c>
      <c r="D236" t="str">
        <f>VLOOKUP(G236,'EXPORT IRIS PROD 13-11-2024'!D:D,1,0)</f>
        <v>Allarme livello serbatoio acqua in esaurimento</v>
      </c>
      <c r="E236" s="37" t="s">
        <v>35</v>
      </c>
      <c r="F236" s="38" t="s">
        <v>478</v>
      </c>
      <c r="G236" s="38" t="s">
        <v>479</v>
      </c>
      <c r="H236" s="39" t="s">
        <v>38</v>
      </c>
      <c r="I236" s="39" t="s">
        <v>480</v>
      </c>
      <c r="J236" s="40" t="s">
        <v>21</v>
      </c>
      <c r="K236" s="41" t="s">
        <v>22</v>
      </c>
      <c r="L236" s="42" t="s">
        <v>23</v>
      </c>
      <c r="M236" s="43" t="s">
        <v>157</v>
      </c>
      <c r="N236" s="42" t="s">
        <v>158</v>
      </c>
      <c r="O236" s="42" t="s">
        <v>21</v>
      </c>
      <c r="P236" s="44"/>
    </row>
    <row r="237" spans="1:16" customFormat="1" ht="15" customHeight="1" x14ac:dyDescent="0.25">
      <c r="A237" t="str">
        <f t="shared" si="3"/>
        <v>ALR_LIVELLO_ACQUA_BASSO-Allarme livello serbatoio acqua in esaurimento</v>
      </c>
      <c r="B237" t="str">
        <f>VLOOKUP(A237,'EXPORT IRIS PROD 13-11-2024'!A:A,1,0)</f>
        <v>ALR_LIVELLO_ACQUA_BASSO-Allarme livello serbatoio acqua in esaurimento</v>
      </c>
      <c r="C237" t="str">
        <f>VLOOKUP(F237,'EXPORT IRIS PROD 13-11-2024'!F:F,1,0)</f>
        <v>ALR_LIVELLO_ACQUA_BASSO</v>
      </c>
      <c r="D237" t="str">
        <f>VLOOKUP(G237,'EXPORT IRIS PROD 13-11-2024'!D:D,1,0)</f>
        <v>Allarme livello serbatoio acqua in esaurimento</v>
      </c>
      <c r="E237" s="37" t="s">
        <v>35</v>
      </c>
      <c r="F237" s="38" t="s">
        <v>481</v>
      </c>
      <c r="G237" s="38" t="s">
        <v>479</v>
      </c>
      <c r="H237" s="39" t="s">
        <v>38</v>
      </c>
      <c r="I237" s="39" t="s">
        <v>480</v>
      </c>
      <c r="J237" s="40" t="s">
        <v>21</v>
      </c>
      <c r="K237" s="41" t="s">
        <v>22</v>
      </c>
      <c r="L237" s="42" t="s">
        <v>23</v>
      </c>
      <c r="M237" s="43" t="s">
        <v>157</v>
      </c>
      <c r="N237" s="42" t="s">
        <v>158</v>
      </c>
      <c r="O237" s="42" t="s">
        <v>21</v>
      </c>
      <c r="P237" s="44"/>
    </row>
    <row r="238" spans="1:16" customFormat="1" ht="15" customHeight="1" x14ac:dyDescent="0.25">
      <c r="A238" t="str">
        <f t="shared" si="3"/>
        <v>ALR_LIVELLO_ACQUA_MEDIO-Allarme livello acqua medio</v>
      </c>
      <c r="B238" t="str">
        <f>VLOOKUP(A238,'EXPORT IRIS PROD 13-11-2024'!A:A,1,0)</f>
        <v>ALR_LIVELLO_ACQUA_MEDIO-Allarme livello acqua medio</v>
      </c>
      <c r="C238" t="str">
        <f>VLOOKUP(F238,'EXPORT IRIS PROD 13-11-2024'!F:F,1,0)</f>
        <v>ALR_LIVELLO_ACQUA_MEDIO</v>
      </c>
      <c r="D238" t="str">
        <f>VLOOKUP(G238,'EXPORT IRIS PROD 13-11-2024'!D:D,1,0)</f>
        <v>Allarme livello acqua medio</v>
      </c>
      <c r="E238" s="37" t="s">
        <v>35</v>
      </c>
      <c r="F238" s="38" t="s">
        <v>482</v>
      </c>
      <c r="G238" s="38" t="s">
        <v>483</v>
      </c>
      <c r="H238" s="39" t="s">
        <v>38</v>
      </c>
      <c r="I238" s="39" t="s">
        <v>480</v>
      </c>
      <c r="J238" s="40" t="s">
        <v>21</v>
      </c>
      <c r="K238" s="41" t="s">
        <v>22</v>
      </c>
      <c r="L238" s="42" t="s">
        <v>23</v>
      </c>
      <c r="M238" s="43" t="s">
        <v>24</v>
      </c>
      <c r="N238" s="42" t="s">
        <v>25</v>
      </c>
      <c r="O238" s="42" t="s">
        <v>21</v>
      </c>
      <c r="P238" s="44"/>
    </row>
    <row r="239" spans="1:16" customFormat="1" ht="15" customHeight="1" x14ac:dyDescent="0.25">
      <c r="A239" t="str">
        <f t="shared" si="3"/>
        <v>ALR_LIVELLO_MASSIMO_COMBUSTIBILE-Allarme livello massimo combustibile</v>
      </c>
      <c r="B239" t="str">
        <f>VLOOKUP(A239,'EXPORT IRIS PROD 13-11-2024'!A:A,1,0)</f>
        <v>ALR_LIVELLO_MASSIMO_COMBUSTIBILE-Allarme livello massimo combustibile</v>
      </c>
      <c r="C239" t="str">
        <f>VLOOKUP(F239,'EXPORT IRIS PROD 13-11-2024'!F:F,1,0)</f>
        <v>ALR_LIVELLO_MASSIMO_COMBUSTIBILE</v>
      </c>
      <c r="D239" t="str">
        <f>VLOOKUP(G239,'EXPORT IRIS PROD 13-11-2024'!D:D,1,0)</f>
        <v>Allarme livello massimo combustibile</v>
      </c>
      <c r="E239" s="37" t="s">
        <v>53</v>
      </c>
      <c r="F239" s="38" t="s">
        <v>484</v>
      </c>
      <c r="G239" s="38" t="s">
        <v>485</v>
      </c>
      <c r="H239" s="39" t="s">
        <v>56</v>
      </c>
      <c r="I239" s="39" t="s">
        <v>137</v>
      </c>
      <c r="J239" s="40" t="s">
        <v>21</v>
      </c>
      <c r="K239" s="41" t="s">
        <v>22</v>
      </c>
      <c r="L239" s="42" t="s">
        <v>23</v>
      </c>
      <c r="M239" s="43" t="s">
        <v>24</v>
      </c>
      <c r="N239" s="42" t="s">
        <v>25</v>
      </c>
      <c r="O239" s="42" t="s">
        <v>21</v>
      </c>
      <c r="P239" s="44"/>
    </row>
    <row r="240" spans="1:16" customFormat="1" ht="15" customHeight="1" x14ac:dyDescent="0.25">
      <c r="A240" t="str">
        <f t="shared" si="3"/>
        <v>ALR_LIVELLO_MINIMO_COMBUSTIBILE_1_IMP-Allarme livello minimo combustibile</v>
      </c>
      <c r="B240" t="str">
        <f>VLOOKUP(A240,'EXPORT IRIS PROD 13-11-2024'!A:A,1,0)</f>
        <v>ALR_LIVELLO_MINIMO_COMBUSTIBILE_1_IMP-Allarme livello minimo combustibile</v>
      </c>
      <c r="C240" t="str">
        <f>VLOOKUP(F240,'EXPORT IRIS PROD 13-11-2024'!F:F,1,0)</f>
        <v>ALR_LIVELLO_MINIMO_COMBUSTIBILE_1_IMP</v>
      </c>
      <c r="D240" t="str">
        <f>VLOOKUP(G240,'EXPORT IRIS PROD 13-11-2024'!D:D,1,0)</f>
        <v>Allarme livello minimo combustibile</v>
      </c>
      <c r="E240" s="37" t="s">
        <v>35</v>
      </c>
      <c r="F240" s="38" t="s">
        <v>486</v>
      </c>
      <c r="G240" s="38" t="s">
        <v>487</v>
      </c>
      <c r="H240" s="39" t="s">
        <v>38</v>
      </c>
      <c r="I240" s="39" t="s">
        <v>172</v>
      </c>
      <c r="J240" s="40" t="s">
        <v>21</v>
      </c>
      <c r="K240" s="41" t="s">
        <v>22</v>
      </c>
      <c r="L240" s="42" t="s">
        <v>23</v>
      </c>
      <c r="M240" s="43" t="s">
        <v>157</v>
      </c>
      <c r="N240" s="42" t="s">
        <v>158</v>
      </c>
      <c r="O240" s="42" t="s">
        <v>21</v>
      </c>
      <c r="P240" s="44"/>
    </row>
    <row r="241" spans="1:16" customFormat="1" ht="15" customHeight="1" x14ac:dyDescent="0.25">
      <c r="A241" t="str">
        <f t="shared" si="3"/>
        <v>ALR_LIVELLO_MINIMO_COMBUSTIBILE_2_IMP-Allarme livello serbatoio GE in esaurimento Allarme livello serbatoio gasolio in esaurimento</v>
      </c>
      <c r="B241" s="86" t="e">
        <f>VLOOKUP(A241,'EXPORT IRIS PROD 13-11-2024'!A:A,1,0)</f>
        <v>#N/A</v>
      </c>
      <c r="C241" t="str">
        <f>VLOOKUP(F241,'EXPORT IRIS PROD 13-11-2024'!F:F,1,0)</f>
        <v>ALR_LIVELLO_MINIMO_COMBUSTIBILE_2_IMP</v>
      </c>
      <c r="D241" t="e">
        <f>VLOOKUP(G241,'EXPORT IRIS PROD 13-11-2024'!D:D,1,0)</f>
        <v>#N/A</v>
      </c>
      <c r="E241" s="37" t="s">
        <v>53</v>
      </c>
      <c r="F241" s="38" t="s">
        <v>488</v>
      </c>
      <c r="G241" s="38" t="s">
        <v>489</v>
      </c>
      <c r="H241" s="39" t="s">
        <v>56</v>
      </c>
      <c r="I241" s="39" t="s">
        <v>490</v>
      </c>
      <c r="J241" s="40" t="s">
        <v>21</v>
      </c>
      <c r="K241" s="41" t="s">
        <v>22</v>
      </c>
      <c r="L241" s="42" t="s">
        <v>23</v>
      </c>
      <c r="M241" s="43" t="s">
        <v>24</v>
      </c>
      <c r="N241" s="42" t="s">
        <v>25</v>
      </c>
      <c r="O241" s="42" t="s">
        <v>21</v>
      </c>
      <c r="P241" s="44"/>
    </row>
    <row r="242" spans="1:16" customFormat="1" ht="15" customHeight="1" x14ac:dyDescent="0.25">
      <c r="A242" t="str">
        <f t="shared" si="3"/>
        <v>ALR_LIVELLO_MINIMO_COMBUSTIBILE_2_IMP-Allarme livello serbatoio gasolio in esaurimento</v>
      </c>
      <c r="B242" t="str">
        <f>VLOOKUP(A242,'EXPORT IRIS PROD 13-11-2024'!A:A,1,0)</f>
        <v>ALR_LIVELLO_MINIMO_COMBUSTIBILE_2_IMP-Allarme livello serbatoio gasolio in esaurimento</v>
      </c>
      <c r="C242" t="str">
        <f>VLOOKUP(F242,'EXPORT IRIS PROD 13-11-2024'!F:F,1,0)</f>
        <v>ALR_LIVELLO_MINIMO_COMBUSTIBILE_2_IMP</v>
      </c>
      <c r="D242" t="str">
        <f>VLOOKUP(G242,'EXPORT IRIS PROD 13-11-2024'!D:D,1,0)</f>
        <v>Allarme livello serbatoio gasolio in esaurimento</v>
      </c>
      <c r="E242" s="37" t="s">
        <v>53</v>
      </c>
      <c r="F242" s="38" t="s">
        <v>488</v>
      </c>
      <c r="G242" s="38" t="s">
        <v>155</v>
      </c>
      <c r="H242" s="39" t="s">
        <v>56</v>
      </c>
      <c r="I242" s="39" t="s">
        <v>156</v>
      </c>
      <c r="J242" s="40" t="s">
        <v>21</v>
      </c>
      <c r="K242" s="41" t="s">
        <v>22</v>
      </c>
      <c r="L242" s="42" t="s">
        <v>23</v>
      </c>
      <c r="M242" s="43" t="s">
        <v>24</v>
      </c>
      <c r="N242" s="42" t="s">
        <v>25</v>
      </c>
      <c r="O242" s="42" t="s">
        <v>21</v>
      </c>
      <c r="P242" s="44"/>
    </row>
    <row r="243" spans="1:16" customFormat="1" ht="15" customHeight="1" x14ac:dyDescent="0.25">
      <c r="A243" t="str">
        <f t="shared" si="3"/>
        <v>ALR_MANCANZA_POTENZA-Allarme mancanza potenza</v>
      </c>
      <c r="B243" t="str">
        <f>VLOOKUP(A243,'EXPORT IRIS PROD 13-11-2024'!A:A,1,0)</f>
        <v>ALR_MANCANZA_POTENZA-Allarme mancanza potenza</v>
      </c>
      <c r="C243" t="str">
        <f>VLOOKUP(F243,'EXPORT IRIS PROD 13-11-2024'!F:F,1,0)</f>
        <v>ALR_MANCANZA_POTENZA</v>
      </c>
      <c r="D243" t="str">
        <f>VLOOKUP(G243,'EXPORT IRIS PROD 13-11-2024'!D:D,1,0)</f>
        <v>Allarme mancanza potenza</v>
      </c>
      <c r="E243" s="37" t="s">
        <v>53</v>
      </c>
      <c r="F243" s="38" t="s">
        <v>491</v>
      </c>
      <c r="G243" s="38" t="s">
        <v>492</v>
      </c>
      <c r="H243" s="39" t="s">
        <v>56</v>
      </c>
      <c r="I243" s="39" t="s">
        <v>104</v>
      </c>
      <c r="J243" s="40" t="s">
        <v>21</v>
      </c>
      <c r="K243" s="41" t="s">
        <v>22</v>
      </c>
      <c r="L243" s="42" t="s">
        <v>23</v>
      </c>
      <c r="M243" s="43" t="s">
        <v>24</v>
      </c>
      <c r="N243" s="42" t="s">
        <v>25</v>
      </c>
      <c r="O243" s="42" t="s">
        <v>21</v>
      </c>
      <c r="P243" s="44"/>
    </row>
    <row r="244" spans="1:16" customFormat="1" ht="15" customHeight="1" x14ac:dyDescent="0.25">
      <c r="A244" t="str">
        <f t="shared" si="3"/>
        <v>ALR_MANCATA_APERTURA_GCB-Allarme mancata apertura contattore generatore</v>
      </c>
      <c r="B244" t="str">
        <f>VLOOKUP(A244,'EXPORT IRIS PROD 13-11-2024'!A:A,1,0)</f>
        <v>ALR_MANCATA_APERTURA_GCB-Allarme mancata apertura contattore generatore</v>
      </c>
      <c r="C244" t="str">
        <f>VLOOKUP(F244,'EXPORT IRIS PROD 13-11-2024'!F:F,1,0)</f>
        <v>ALR_MANCATA_APERTURA_GCB</v>
      </c>
      <c r="D244" t="str">
        <f>VLOOKUP(G244,'EXPORT IRIS PROD 13-11-2024'!D:D,1,0)</f>
        <v>Allarme mancata apertura contattore generatore</v>
      </c>
      <c r="E244" s="37" t="s">
        <v>53</v>
      </c>
      <c r="F244" s="38" t="s">
        <v>493</v>
      </c>
      <c r="G244" s="38" t="s">
        <v>494</v>
      </c>
      <c r="H244" s="39" t="s">
        <v>56</v>
      </c>
      <c r="I244" s="39" t="s">
        <v>57</v>
      </c>
      <c r="J244" s="40" t="s">
        <v>21</v>
      </c>
      <c r="K244" s="41" t="s">
        <v>22</v>
      </c>
      <c r="L244" s="42" t="s">
        <v>23</v>
      </c>
      <c r="M244" s="43" t="s">
        <v>24</v>
      </c>
      <c r="N244" s="42" t="s">
        <v>25</v>
      </c>
      <c r="O244" s="42" t="s">
        <v>21</v>
      </c>
      <c r="P244" s="44"/>
    </row>
    <row r="245" spans="1:16" ht="15" customHeight="1" x14ac:dyDescent="0.25">
      <c r="A245" t="str">
        <f t="shared" si="3"/>
        <v>ALR_MANCATA_APERTURA_MCB-Allarme mancata apertura contattore di rete</v>
      </c>
      <c r="B245" t="str">
        <f>VLOOKUP(A245,'EXPORT IRIS PROD 13-11-2024'!A:A,1,0)</f>
        <v>ALR_MANCATA_APERTURA_MCB-Allarme mancata apertura contattore di rete</v>
      </c>
      <c r="C245" t="str">
        <f>VLOOKUP(F245,'EXPORT IRIS PROD 13-11-2024'!F:F,1,0)</f>
        <v>ALR_MANCATA_APERTURA_MCB</v>
      </c>
      <c r="D245" t="str">
        <f>VLOOKUP(G245,'EXPORT IRIS PROD 13-11-2024'!D:D,1,0)</f>
        <v>Allarme mancata apertura contattore di rete</v>
      </c>
      <c r="E245" s="37" t="s">
        <v>53</v>
      </c>
      <c r="F245" s="38" t="s">
        <v>495</v>
      </c>
      <c r="G245" s="38" t="s">
        <v>496</v>
      </c>
      <c r="H245" s="39" t="s">
        <v>56</v>
      </c>
      <c r="I245" s="39" t="s">
        <v>57</v>
      </c>
      <c r="J245" s="40" t="s">
        <v>21</v>
      </c>
      <c r="K245" s="41" t="s">
        <v>22</v>
      </c>
      <c r="L245" s="42" t="s">
        <v>23</v>
      </c>
      <c r="M245" s="43" t="s">
        <v>24</v>
      </c>
      <c r="N245" s="42" t="s">
        <v>25</v>
      </c>
      <c r="O245" s="42" t="s">
        <v>21</v>
      </c>
      <c r="P245" s="44"/>
    </row>
    <row r="246" spans="1:16" customFormat="1" ht="15" customHeight="1" x14ac:dyDescent="0.25">
      <c r="A246" t="str">
        <f t="shared" si="3"/>
        <v>ALR_MANCATA_CHIUSURA_GCB-Allarme mancata chiusura contattore generatore</v>
      </c>
      <c r="B246" t="str">
        <f>VLOOKUP(A246,'EXPORT IRIS PROD 13-11-2024'!A:A,1,0)</f>
        <v>ALR_MANCATA_CHIUSURA_GCB-Allarme mancata chiusura contattore generatore</v>
      </c>
      <c r="C246" t="str">
        <f>VLOOKUP(F246,'EXPORT IRIS PROD 13-11-2024'!F:F,1,0)</f>
        <v>ALR_MANCATA_CHIUSURA_GCB</v>
      </c>
      <c r="D246" t="str">
        <f>VLOOKUP(G246,'EXPORT IRIS PROD 13-11-2024'!D:D,1,0)</f>
        <v>Allarme mancata chiusura contattore generatore</v>
      </c>
      <c r="E246" s="37" t="s">
        <v>53</v>
      </c>
      <c r="F246" s="38" t="s">
        <v>497</v>
      </c>
      <c r="G246" s="38" t="s">
        <v>498</v>
      </c>
      <c r="H246" s="39" t="s">
        <v>56</v>
      </c>
      <c r="I246" s="39" t="s">
        <v>57</v>
      </c>
      <c r="J246" s="40" t="s">
        <v>21</v>
      </c>
      <c r="K246" s="41" t="s">
        <v>22</v>
      </c>
      <c r="L246" s="42" t="s">
        <v>23</v>
      </c>
      <c r="M246" s="43" t="s">
        <v>24</v>
      </c>
      <c r="N246" s="42" t="s">
        <v>25</v>
      </c>
      <c r="O246" s="42" t="s">
        <v>21</v>
      </c>
      <c r="P246" s="44"/>
    </row>
    <row r="247" spans="1:16" customFormat="1" ht="15" customHeight="1" x14ac:dyDescent="0.25">
      <c r="A247" t="str">
        <f t="shared" si="3"/>
        <v>ALR_MANCATA_CHIUSURA_MCB-Allarme mancata chiusura contattore di rete</v>
      </c>
      <c r="B247" t="str">
        <f>VLOOKUP(A247,'EXPORT IRIS PROD 13-11-2024'!A:A,1,0)</f>
        <v>ALR_MANCATA_CHIUSURA_MCB-Allarme mancata chiusura contattore di rete</v>
      </c>
      <c r="C247" t="str">
        <f>VLOOKUP(F247,'EXPORT IRIS PROD 13-11-2024'!F:F,1,0)</f>
        <v>ALR_MANCATA_CHIUSURA_MCB</v>
      </c>
      <c r="D247" t="str">
        <f>VLOOKUP(G247,'EXPORT IRIS PROD 13-11-2024'!D:D,1,0)</f>
        <v>Allarme mancata chiusura contattore di rete</v>
      </c>
      <c r="E247" s="37" t="s">
        <v>53</v>
      </c>
      <c r="F247" s="38" t="s">
        <v>499</v>
      </c>
      <c r="G247" s="38" t="s">
        <v>500</v>
      </c>
      <c r="H247" s="39" t="s">
        <v>56</v>
      </c>
      <c r="I247" s="39" t="s">
        <v>57</v>
      </c>
      <c r="J247" s="40" t="s">
        <v>21</v>
      </c>
      <c r="K247" s="41" t="s">
        <v>22</v>
      </c>
      <c r="L247" s="42" t="s">
        <v>23</v>
      </c>
      <c r="M247" s="43" t="s">
        <v>24</v>
      </c>
      <c r="N247" s="42" t="s">
        <v>25</v>
      </c>
      <c r="O247" s="42" t="s">
        <v>21</v>
      </c>
      <c r="P247" s="44"/>
    </row>
    <row r="248" spans="1:16" ht="15" customHeight="1" x14ac:dyDescent="0.25">
      <c r="A248" t="str">
        <f t="shared" si="3"/>
        <v>ALR_MANCATO_ARRESTO-Allarme mancato arresto ventilatore</v>
      </c>
      <c r="B248" t="str">
        <f>VLOOKUP(A248,'EXPORT IRIS PROD 13-11-2024'!A:A,1,0)</f>
        <v>ALR_MANCATO_ARRESTO-Allarme mancato arresto ventilatore</v>
      </c>
      <c r="C248" t="str">
        <f>VLOOKUP(F248,'EXPORT IRIS PROD 13-11-2024'!F:F,1,0)</f>
        <v>ALR_MANCATO_ARRESTO</v>
      </c>
      <c r="D248" t="str">
        <f>VLOOKUP(G248,'EXPORT IRIS PROD 13-11-2024'!D:D,1,0)</f>
        <v>Allarme mancato arresto ventilatore</v>
      </c>
      <c r="E248" s="37" t="s">
        <v>85</v>
      </c>
      <c r="F248" s="38" t="s">
        <v>501</v>
      </c>
      <c r="G248" s="38" t="s">
        <v>502</v>
      </c>
      <c r="H248" s="39" t="s">
        <v>50</v>
      </c>
      <c r="I248" s="39" t="s">
        <v>124</v>
      </c>
      <c r="J248" s="40" t="s">
        <v>21</v>
      </c>
      <c r="K248" s="41" t="s">
        <v>22</v>
      </c>
      <c r="L248" s="42" t="s">
        <v>23</v>
      </c>
      <c r="M248" s="43" t="s">
        <v>24</v>
      </c>
      <c r="N248" s="42" t="s">
        <v>25</v>
      </c>
      <c r="O248" s="42" t="s">
        <v>21</v>
      </c>
      <c r="P248" s="44"/>
    </row>
    <row r="249" spans="1:16" ht="15" customHeight="1" x14ac:dyDescent="0.25">
      <c r="A249" t="str">
        <f t="shared" si="3"/>
        <v>ALR_MANCATO_AVVIO-Allarme mancato avvio Gruppo Elettrogeno</v>
      </c>
      <c r="B249" t="str">
        <f>VLOOKUP(A249,'EXPORT IRIS PROD 13-11-2024'!A:A,1,0)</f>
        <v>ALR_MANCATO_AVVIO-Allarme mancato avvio Gruppo Elettrogeno</v>
      </c>
      <c r="C249" t="str">
        <f>VLOOKUP(F249,'EXPORT IRIS PROD 13-11-2024'!F:F,1,0)</f>
        <v>ALR_MANCATO_AVVIO</v>
      </c>
      <c r="D249" t="str">
        <f>VLOOKUP(G249,'EXPORT IRIS PROD 13-11-2024'!D:D,1,0)</f>
        <v>Allarme mancato avvio Gruppo Elettrogeno</v>
      </c>
      <c r="E249" s="37" t="s">
        <v>53</v>
      </c>
      <c r="F249" s="38" t="s">
        <v>503</v>
      </c>
      <c r="G249" s="38" t="s">
        <v>504</v>
      </c>
      <c r="H249" s="39" t="s">
        <v>56</v>
      </c>
      <c r="I249" s="39" t="s">
        <v>57</v>
      </c>
      <c r="J249" s="40" t="s">
        <v>21</v>
      </c>
      <c r="K249" s="41" t="s">
        <v>22</v>
      </c>
      <c r="L249" s="42" t="s">
        <v>23</v>
      </c>
      <c r="M249" s="43" t="s">
        <v>157</v>
      </c>
      <c r="N249" s="42" t="s">
        <v>158</v>
      </c>
      <c r="O249" s="42" t="s">
        <v>21</v>
      </c>
      <c r="P249" s="44"/>
    </row>
    <row r="250" spans="1:16" ht="15" customHeight="1" x14ac:dyDescent="0.25">
      <c r="A250" t="str">
        <f t="shared" si="3"/>
        <v>ALR_MANCATO_AVVIO_VENTILATORE-Allarme mancato avvio ventilatore</v>
      </c>
      <c r="B250" t="str">
        <f>VLOOKUP(A250,'EXPORT IRIS PROD 13-11-2024'!A:A,1,0)</f>
        <v>ALR_MANCATO_AVVIO_VENTILATORE-Allarme mancato avvio ventilatore</v>
      </c>
      <c r="C250" t="str">
        <f>VLOOKUP(F250,'EXPORT IRIS PROD 13-11-2024'!F:F,1,0)</f>
        <v>ALR_MANCATO_AVVIO_VENTILATORE</v>
      </c>
      <c r="D250" t="str">
        <f>VLOOKUP(G250,'EXPORT IRIS PROD 13-11-2024'!D:D,1,0)</f>
        <v>Allarme mancato avvio ventilatore</v>
      </c>
      <c r="E250" s="37" t="s">
        <v>85</v>
      </c>
      <c r="F250" s="38" t="s">
        <v>505</v>
      </c>
      <c r="G250" s="38" t="s">
        <v>506</v>
      </c>
      <c r="H250" s="39" t="s">
        <v>50</v>
      </c>
      <c r="I250" s="39" t="s">
        <v>124</v>
      </c>
      <c r="J250" s="40" t="s">
        <v>21</v>
      </c>
      <c r="K250" s="41" t="s">
        <v>22</v>
      </c>
      <c r="L250" s="42" t="s">
        <v>23</v>
      </c>
      <c r="M250" s="43" t="s">
        <v>24</v>
      </c>
      <c r="N250" s="42" t="s">
        <v>25</v>
      </c>
      <c r="O250" s="42" t="s">
        <v>21</v>
      </c>
      <c r="P250" s="44"/>
    </row>
    <row r="251" spans="1:16" ht="15" customHeight="1" x14ac:dyDescent="0.25">
      <c r="A251" t="str">
        <f t="shared" si="3"/>
        <v>ALR_MANOMISSIONE-Allarme intrusione in cabina</v>
      </c>
      <c r="B251" t="str">
        <f>VLOOKUP(A251,'EXPORT IRIS PROD 13-11-2024'!A:A,1,0)</f>
        <v>ALR_MANOMISSIONE-Allarme intrusione in cabina</v>
      </c>
      <c r="C251" t="str">
        <f>VLOOKUP(F251,'EXPORT IRIS PROD 13-11-2024'!F:F,1,0)</f>
        <v>ALR_MANOMISSIONE</v>
      </c>
      <c r="D251" t="str">
        <f>VLOOKUP(G251,'EXPORT IRIS PROD 13-11-2024'!D:D,1,0)</f>
        <v>Allarme intrusione in cabina</v>
      </c>
      <c r="E251" s="37" t="s">
        <v>468</v>
      </c>
      <c r="F251" s="38" t="s">
        <v>507</v>
      </c>
      <c r="G251" s="38" t="s">
        <v>470</v>
      </c>
      <c r="H251" s="39" t="s">
        <v>201</v>
      </c>
      <c r="I251" s="39" t="s">
        <v>263</v>
      </c>
      <c r="J251" s="40" t="s">
        <v>31</v>
      </c>
      <c r="K251" s="41" t="s">
        <v>32</v>
      </c>
      <c r="L251" s="43">
        <v>2</v>
      </c>
      <c r="M251" s="43" t="s">
        <v>33</v>
      </c>
      <c r="N251" s="42" t="s">
        <v>34</v>
      </c>
      <c r="O251" s="42" t="s">
        <v>31</v>
      </c>
      <c r="P251" s="56"/>
    </row>
    <row r="252" spans="1:16" customFormat="1" ht="15" customHeight="1" x14ac:dyDescent="0.25">
      <c r="A252" t="str">
        <f t="shared" si="3"/>
        <v>ALR_MANOMISSIONE-Allarme intrusione in cabina</v>
      </c>
      <c r="B252" t="str">
        <f>VLOOKUP(A252,'EXPORT IRIS PROD 13-11-2024'!A:A,1,0)</f>
        <v>ALR_MANOMISSIONE-Allarme intrusione in cabina</v>
      </c>
      <c r="C252" t="str">
        <f>VLOOKUP(F252,'EXPORT IRIS PROD 13-11-2024'!F:F,1,0)</f>
        <v>ALR_MANOMISSIONE</v>
      </c>
      <c r="D252" t="str">
        <f>VLOOKUP(G252,'EXPORT IRIS PROD 13-11-2024'!D:D,1,0)</f>
        <v>Allarme intrusione in cabina</v>
      </c>
      <c r="E252" s="37" t="s">
        <v>468</v>
      </c>
      <c r="F252" s="38" t="s">
        <v>507</v>
      </c>
      <c r="G252" s="38" t="s">
        <v>470</v>
      </c>
      <c r="H252" s="39" t="s">
        <v>56</v>
      </c>
      <c r="I252" s="53" t="s">
        <v>508</v>
      </c>
      <c r="J252" s="40" t="s">
        <v>31</v>
      </c>
      <c r="K252" s="41" t="s">
        <v>32</v>
      </c>
      <c r="L252" s="43">
        <v>2</v>
      </c>
      <c r="M252" s="43" t="s">
        <v>33</v>
      </c>
      <c r="N252" s="42" t="s">
        <v>34</v>
      </c>
      <c r="O252" s="42" t="s">
        <v>31</v>
      </c>
      <c r="P252" s="56"/>
    </row>
    <row r="253" spans="1:16" customFormat="1" ht="15" customHeight="1" x14ac:dyDescent="0.25">
      <c r="A253" t="str">
        <f t="shared" si="3"/>
        <v>ALR_MANOMISSIONE-Allarme intrusione in cabina</v>
      </c>
      <c r="B253" t="str">
        <f>VLOOKUP(A253,'EXPORT IRIS PROD 13-11-2024'!A:A,1,0)</f>
        <v>ALR_MANOMISSIONE-Allarme intrusione in cabina</v>
      </c>
      <c r="C253" t="str">
        <f>VLOOKUP(F253,'EXPORT IRIS PROD 13-11-2024'!F:F,1,0)</f>
        <v>ALR_MANOMISSIONE</v>
      </c>
      <c r="D253" t="str">
        <f>VLOOKUP(G253,'EXPORT IRIS PROD 13-11-2024'!D:D,1,0)</f>
        <v>Allarme intrusione in cabina</v>
      </c>
      <c r="E253" s="37" t="s">
        <v>468</v>
      </c>
      <c r="F253" s="38" t="s">
        <v>507</v>
      </c>
      <c r="G253" s="38" t="s">
        <v>470</v>
      </c>
      <c r="H253" s="39" t="s">
        <v>201</v>
      </c>
      <c r="I253" s="39" t="s">
        <v>380</v>
      </c>
      <c r="J253" s="40" t="s">
        <v>31</v>
      </c>
      <c r="K253" s="41" t="s">
        <v>32</v>
      </c>
      <c r="L253" s="43">
        <v>2</v>
      </c>
      <c r="M253" s="43" t="s">
        <v>33</v>
      </c>
      <c r="N253" s="42" t="s">
        <v>34</v>
      </c>
      <c r="O253" s="42" t="s">
        <v>31</v>
      </c>
      <c r="P253" s="56"/>
    </row>
    <row r="254" spans="1:16" customFormat="1" ht="15" customHeight="1" x14ac:dyDescent="0.25">
      <c r="A254" t="str">
        <f t="shared" si="3"/>
        <v>ALR_MANUTENZIONE_SCADUTA-Allarme manutenzione scaduta</v>
      </c>
      <c r="B254" t="str">
        <f>VLOOKUP(A254,'EXPORT IRIS PROD 13-11-2024'!A:A,1,0)</f>
        <v>ALR_MANUTENZIONE_SCADUTA-Allarme manutenzione scaduta</v>
      </c>
      <c r="C254" t="str">
        <f>VLOOKUP(F254,'EXPORT IRIS PROD 13-11-2024'!F:F,1,0)</f>
        <v>ALR_MANUTENZIONE_SCADUTA</v>
      </c>
      <c r="D254" t="str">
        <f>VLOOKUP(G254,'EXPORT IRIS PROD 13-11-2024'!D:D,1,0)</f>
        <v>Allarme manutenzione scaduta</v>
      </c>
      <c r="E254" s="37" t="s">
        <v>53</v>
      </c>
      <c r="F254" s="38" t="s">
        <v>509</v>
      </c>
      <c r="G254" s="38" t="s">
        <v>510</v>
      </c>
      <c r="H254" s="39" t="s">
        <v>56</v>
      </c>
      <c r="I254" s="50" t="s">
        <v>57</v>
      </c>
      <c r="J254" s="40" t="s">
        <v>21</v>
      </c>
      <c r="K254" s="41" t="s">
        <v>22</v>
      </c>
      <c r="L254" s="42" t="s">
        <v>23</v>
      </c>
      <c r="M254" s="43" t="s">
        <v>24</v>
      </c>
      <c r="N254" s="42" t="s">
        <v>25</v>
      </c>
      <c r="O254" s="42" t="s">
        <v>21</v>
      </c>
      <c r="P254" s="44"/>
    </row>
    <row r="255" spans="1:16" customFormat="1" ht="15" customHeight="1" x14ac:dyDescent="0.25">
      <c r="A255" t="str">
        <f t="shared" si="3"/>
        <v>ALR_MINIMO_LIV_CARBURANTE_MOTOPOMPA-Allarme minimo livello carburante motopompa</v>
      </c>
      <c r="B255" t="str">
        <f>VLOOKUP(A255,'EXPORT IRIS PROD 13-11-2024'!A:A,1,0)</f>
        <v>ALR_MINIMO_LIV_CARBURANTE_MOTOPOMPA-Allarme minimo livello carburante motopompa</v>
      </c>
      <c r="C255" t="str">
        <f>VLOOKUP(F255,'EXPORT IRIS PROD 13-11-2024'!F:F,1,0)</f>
        <v>ALR_MINIMO_LIV_CARBURANTE_MOTOPOMPA</v>
      </c>
      <c r="D255" t="str">
        <f>VLOOKUP(G255,'EXPORT IRIS PROD 13-11-2024'!D:D,1,0)</f>
        <v>Allarme minimo livello carburante motopompa</v>
      </c>
      <c r="E255" s="37" t="s">
        <v>35</v>
      </c>
      <c r="F255" s="38" t="s">
        <v>511</v>
      </c>
      <c r="G255" s="38" t="s">
        <v>512</v>
      </c>
      <c r="H255" s="39" t="s">
        <v>38</v>
      </c>
      <c r="I255" s="39" t="s">
        <v>172</v>
      </c>
      <c r="J255" s="40" t="s">
        <v>21</v>
      </c>
      <c r="K255" s="41" t="s">
        <v>22</v>
      </c>
      <c r="L255" s="42" t="s">
        <v>23</v>
      </c>
      <c r="M255" s="43" t="s">
        <v>157</v>
      </c>
      <c r="N255" s="42" t="s">
        <v>158</v>
      </c>
      <c r="O255" s="42" t="s">
        <v>21</v>
      </c>
      <c r="P255" s="44"/>
    </row>
    <row r="256" spans="1:16" customFormat="1" ht="15" customHeight="1" x14ac:dyDescent="0.25">
      <c r="A256" t="str">
        <f t="shared" si="3"/>
        <v>ALR_MONOSSIDO-Allarme guasto sensore CO</v>
      </c>
      <c r="B256" t="str">
        <f>VLOOKUP(A256,'EXPORT IRIS PROD 13-11-2024'!A:A,1,0)</f>
        <v>ALR_MONOSSIDO-Allarme guasto sensore CO</v>
      </c>
      <c r="C256" t="str">
        <f>VLOOKUP(F256,'EXPORT IRIS PROD 13-11-2024'!F:F,1,0)</f>
        <v>ALR_MONOSSIDO</v>
      </c>
      <c r="D256" t="str">
        <f>VLOOKUP(G256,'EXPORT IRIS PROD 13-11-2024'!D:D,1,0)</f>
        <v>Allarme guasto sensore CO</v>
      </c>
      <c r="E256" s="37" t="s">
        <v>85</v>
      </c>
      <c r="F256" s="38" t="s">
        <v>513</v>
      </c>
      <c r="G256" s="38" t="s">
        <v>514</v>
      </c>
      <c r="H256" s="39" t="s">
        <v>50</v>
      </c>
      <c r="I256" s="39" t="s">
        <v>51</v>
      </c>
      <c r="J256" s="40" t="s">
        <v>21</v>
      </c>
      <c r="K256" s="41" t="s">
        <v>22</v>
      </c>
      <c r="L256" s="42" t="s">
        <v>23</v>
      </c>
      <c r="M256" s="43" t="s">
        <v>24</v>
      </c>
      <c r="N256" s="42" t="s">
        <v>25</v>
      </c>
      <c r="O256" s="42" t="s">
        <v>21</v>
      </c>
      <c r="P256" s="44"/>
    </row>
    <row r="257" spans="1:16" customFormat="1" ht="15" customHeight="1" x14ac:dyDescent="0.25">
      <c r="A257" t="str">
        <f t="shared" si="3"/>
        <v>ALR_MOTOPOMPA_AVVIATA-Allarme Motopompa avviata</v>
      </c>
      <c r="B257" t="str">
        <f>VLOOKUP(A257,'EXPORT IRIS PROD 13-11-2024'!A:A,1,0)</f>
        <v>ALR_MOTOPOMPA_AVVIATA-Allarme Motopompa avviata</v>
      </c>
      <c r="C257" t="str">
        <f>VLOOKUP(F257,'EXPORT IRIS PROD 13-11-2024'!F:F,1,0)</f>
        <v>ALR_MOTOPOMPA_AVVIATA</v>
      </c>
      <c r="D257" t="str">
        <f>VLOOKUP(G257,'EXPORT IRIS PROD 13-11-2024'!D:D,1,0)</f>
        <v>Allarme Motopompa avviata</v>
      </c>
      <c r="E257" s="37" t="s">
        <v>298</v>
      </c>
      <c r="F257" s="38" t="s">
        <v>515</v>
      </c>
      <c r="G257" s="38" t="s">
        <v>516</v>
      </c>
      <c r="H257" s="39" t="s">
        <v>38</v>
      </c>
      <c r="I257" s="39" t="s">
        <v>172</v>
      </c>
      <c r="J257" s="40" t="s">
        <v>31</v>
      </c>
      <c r="K257" s="41" t="s">
        <v>32</v>
      </c>
      <c r="L257" s="43">
        <v>2</v>
      </c>
      <c r="M257" s="43" t="s">
        <v>33</v>
      </c>
      <c r="N257" s="42" t="s">
        <v>34</v>
      </c>
      <c r="O257" s="42" t="s">
        <v>31</v>
      </c>
      <c r="P257" s="44"/>
    </row>
    <row r="258" spans="1:16" customFormat="1" ht="15" customHeight="1" x14ac:dyDescent="0.25">
      <c r="A258" t="str">
        <f t="shared" si="3"/>
        <v>ALR_MOVIMENTO-Allarme movimento in cabina</v>
      </c>
      <c r="B258" t="str">
        <f>VLOOKUP(A258,'EXPORT IRIS PROD 13-11-2024'!A:A,1,0)</f>
        <v>ALR_MOVIMENTO-Allarme movimento in cabina</v>
      </c>
      <c r="C258" t="str">
        <f>VLOOKUP(F258,'EXPORT IRIS PROD 13-11-2024'!F:F,1,0)</f>
        <v>ALR_MOVIMENTO</v>
      </c>
      <c r="D258" t="str">
        <f>VLOOKUP(G258,'EXPORT IRIS PROD 13-11-2024'!D:D,1,0)</f>
        <v>Allarme movimento in cabina</v>
      </c>
      <c r="E258" s="37" t="s">
        <v>468</v>
      </c>
      <c r="F258" s="38" t="s">
        <v>517</v>
      </c>
      <c r="G258" s="38" t="s">
        <v>518</v>
      </c>
      <c r="H258" s="39" t="s">
        <v>201</v>
      </c>
      <c r="I258" s="39" t="s">
        <v>380</v>
      </c>
      <c r="J258" s="40" t="s">
        <v>31</v>
      </c>
      <c r="K258" s="41" t="s">
        <v>32</v>
      </c>
      <c r="L258" s="43">
        <v>2</v>
      </c>
      <c r="M258" s="43" t="s">
        <v>33</v>
      </c>
      <c r="N258" s="42" t="s">
        <v>34</v>
      </c>
      <c r="O258" s="42" t="s">
        <v>31</v>
      </c>
      <c r="P258" s="52"/>
    </row>
    <row r="259" spans="1:16" customFormat="1" ht="15" customHeight="1" x14ac:dyDescent="0.25">
      <c r="A259" t="str">
        <f t="shared" ref="A259:A322" si="4">CONCATENATE(F259,"-",G259)</f>
        <v>ALR_MOVIMENTO_BYPASS-Allarme movimento in bypass</v>
      </c>
      <c r="B259" t="str">
        <f>VLOOKUP(A259,'EXPORT IRIS PROD 13-11-2024'!A:A,1,0)</f>
        <v>ALR_MOVIMENTO_BYPASS-Allarme movimento in bypass</v>
      </c>
      <c r="C259" t="str">
        <f>VLOOKUP(F259,'EXPORT IRIS PROD 13-11-2024'!F:F,1,0)</f>
        <v>ALR_MOVIMENTO_BYPASS</v>
      </c>
      <c r="D259" t="str">
        <f>VLOOKUP(G259,'EXPORT IRIS PROD 13-11-2024'!D:D,1,0)</f>
        <v>Allarme movimento in bypass</v>
      </c>
      <c r="E259" s="37" t="s">
        <v>471</v>
      </c>
      <c r="F259" s="38" t="s">
        <v>519</v>
      </c>
      <c r="G259" s="45" t="s">
        <v>520</v>
      </c>
      <c r="H259" s="46" t="s">
        <v>201</v>
      </c>
      <c r="I259" s="46" t="s">
        <v>521</v>
      </c>
      <c r="J259" s="47" t="s">
        <v>31</v>
      </c>
      <c r="K259" s="48" t="s">
        <v>32</v>
      </c>
      <c r="L259" s="43">
        <v>1</v>
      </c>
      <c r="M259" s="43" t="s">
        <v>33</v>
      </c>
      <c r="N259" s="43" t="s">
        <v>34</v>
      </c>
      <c r="O259" s="43" t="s">
        <v>31</v>
      </c>
      <c r="P259" s="56"/>
    </row>
    <row r="260" spans="1:16" customFormat="1" ht="15" customHeight="1" x14ac:dyDescent="0.25">
      <c r="A260" t="str">
        <f t="shared" si="4"/>
        <v>ALR_MSG_NON_VISIBILE_PER_ANOMALIA-Allarme messaggio non visibile per anomalia</v>
      </c>
      <c r="B260" t="str">
        <f>VLOOKUP(A260,'EXPORT IRIS PROD 13-11-2024'!A:A,1,0)</f>
        <v>ALR_MSG_NON_VISIBILE_PER_ANOMALIA-Allarme messaggio non visibile per anomalia</v>
      </c>
      <c r="C260" t="str">
        <f>VLOOKUP(F260,'EXPORT IRIS PROD 13-11-2024'!F:F,1,0)</f>
        <v>ALR_MSG_NON_VISIBILE_PER_ANOMALIA</v>
      </c>
      <c r="D260" t="str">
        <f>VLOOKUP(G260,'EXPORT IRIS PROD 13-11-2024'!D:D,1,0)</f>
        <v>Allarme messaggio non visibile per anomalia</v>
      </c>
      <c r="E260" s="37" t="s">
        <v>109</v>
      </c>
      <c r="F260" s="38" t="s">
        <v>522</v>
      </c>
      <c r="G260" s="38" t="s">
        <v>523</v>
      </c>
      <c r="H260" s="39" t="s">
        <v>111</v>
      </c>
      <c r="I260" s="39" t="s">
        <v>524</v>
      </c>
      <c r="J260" s="40" t="s">
        <v>21</v>
      </c>
      <c r="K260" s="41" t="s">
        <v>22</v>
      </c>
      <c r="L260" s="42" t="s">
        <v>23</v>
      </c>
      <c r="M260" s="43" t="s">
        <v>24</v>
      </c>
      <c r="N260" s="42" t="s">
        <v>25</v>
      </c>
      <c r="O260" s="42" t="s">
        <v>21</v>
      </c>
      <c r="P260" s="44"/>
    </row>
    <row r="261" spans="1:16" customFormat="1" ht="15" customHeight="1" x14ac:dyDescent="0.25">
      <c r="A261" t="str">
        <f t="shared" si="4"/>
        <v>ALR_NON_CONGRUENTE-Allarme risparmio energetico illuminazione</v>
      </c>
      <c r="B261" t="str">
        <f>VLOOKUP(A261,'EXPORT IRIS PROD 13-11-2024'!A:A,1,0)</f>
        <v>ALR_NON_CONGRUENTE-Allarme risparmio energetico illuminazione</v>
      </c>
      <c r="C261" t="str">
        <f>VLOOKUP(F261,'EXPORT IRIS PROD 13-11-2024'!F:F,1,0)</f>
        <v>ALR_NON_CONGRUENTE</v>
      </c>
      <c r="D261" t="str">
        <f>VLOOKUP(G261,'EXPORT IRIS PROD 13-11-2024'!D:D,1,0)</f>
        <v>Allarme risparmio energetico illuminazione</v>
      </c>
      <c r="E261" s="37" t="s">
        <v>115</v>
      </c>
      <c r="F261" s="38" t="s">
        <v>525</v>
      </c>
      <c r="G261" s="38" t="s">
        <v>526</v>
      </c>
      <c r="H261" s="39" t="s">
        <v>116</v>
      </c>
      <c r="I261" s="39" t="s">
        <v>527</v>
      </c>
      <c r="J261" s="40" t="s">
        <v>21</v>
      </c>
      <c r="K261" s="41" t="s">
        <v>22</v>
      </c>
      <c r="L261" s="42" t="s">
        <v>23</v>
      </c>
      <c r="M261" s="43" t="s">
        <v>24</v>
      </c>
      <c r="N261" s="42" t="s">
        <v>25</v>
      </c>
      <c r="O261" s="42" t="s">
        <v>21</v>
      </c>
      <c r="P261" s="44"/>
    </row>
    <row r="262" spans="1:16" customFormat="1" ht="15" customHeight="1" x14ac:dyDescent="0.25">
      <c r="A262" t="str">
        <f t="shared" si="4"/>
        <v>ALR_OGGETTO_DISPERSO-Allarme oggetto disperso</v>
      </c>
      <c r="B262" t="str">
        <f>VLOOKUP(A262,'EXPORT IRIS PROD 13-11-2024'!A:A,1,0)</f>
        <v>ALR_OGGETTO_DISPERSO-Allarme oggetto disperso</v>
      </c>
      <c r="C262" t="str">
        <f>VLOOKUP(F262,'EXPORT IRIS PROD 13-11-2024'!F:F,1,0)</f>
        <v>ALR_OGGETTO_DISPERSO</v>
      </c>
      <c r="D262" t="str">
        <f>VLOOKUP(G262,'EXPORT IRIS PROD 13-11-2024'!D:D,1,0)</f>
        <v>Allarme oggetto disperso</v>
      </c>
      <c r="E262" s="37" t="s">
        <v>528</v>
      </c>
      <c r="F262" s="38" t="s">
        <v>529</v>
      </c>
      <c r="G262" s="45" t="s">
        <v>530</v>
      </c>
      <c r="H262" s="46" t="s">
        <v>201</v>
      </c>
      <c r="I262" s="46" t="s">
        <v>380</v>
      </c>
      <c r="J262" s="47" t="s">
        <v>31</v>
      </c>
      <c r="K262" s="48" t="s">
        <v>32</v>
      </c>
      <c r="L262" s="43">
        <v>1</v>
      </c>
      <c r="M262" s="43" t="s">
        <v>33</v>
      </c>
      <c r="N262" s="43" t="s">
        <v>34</v>
      </c>
      <c r="O262" s="43" t="s">
        <v>31</v>
      </c>
      <c r="P262" s="49"/>
    </row>
    <row r="263" spans="1:16" customFormat="1" ht="15" customHeight="1" x14ac:dyDescent="0.25">
      <c r="A263" t="str">
        <f t="shared" si="4"/>
        <v>ALR_OGGETTO_DISPERSO-Allarme oggetto disperso</v>
      </c>
      <c r="B263" t="str">
        <f>VLOOKUP(A263,'EXPORT IRIS PROD 13-11-2024'!A:A,1,0)</f>
        <v>ALR_OGGETTO_DISPERSO-Allarme oggetto disperso</v>
      </c>
      <c r="C263" t="str">
        <f>VLOOKUP(F263,'EXPORT IRIS PROD 13-11-2024'!F:F,1,0)</f>
        <v>ALR_OGGETTO_DISPERSO</v>
      </c>
      <c r="D263" t="str">
        <f>VLOOKUP(G263,'EXPORT IRIS PROD 13-11-2024'!D:D,1,0)</f>
        <v>Allarme oggetto disperso</v>
      </c>
      <c r="E263" s="37" t="s">
        <v>528</v>
      </c>
      <c r="F263" s="38" t="s">
        <v>529</v>
      </c>
      <c r="G263" s="45" t="s">
        <v>530</v>
      </c>
      <c r="H263" s="46" t="s">
        <v>201</v>
      </c>
      <c r="I263" s="46" t="s">
        <v>263</v>
      </c>
      <c r="J263" s="47" t="s">
        <v>31</v>
      </c>
      <c r="K263" s="48" t="s">
        <v>32</v>
      </c>
      <c r="L263" s="43">
        <v>1</v>
      </c>
      <c r="M263" s="43" t="s">
        <v>33</v>
      </c>
      <c r="N263" s="43" t="s">
        <v>34</v>
      </c>
      <c r="O263" s="43" t="s">
        <v>31</v>
      </c>
      <c r="P263" s="49"/>
    </row>
    <row r="264" spans="1:16" customFormat="1" ht="15" customHeight="1" x14ac:dyDescent="0.25">
      <c r="A264" t="str">
        <f t="shared" si="4"/>
        <v>ALR_OGGETTO_DISPERSO_CORSIA_2-Allarme oggetto disperso corsia di marcia</v>
      </c>
      <c r="B264" t="str">
        <f>VLOOKUP(A264,'EXPORT IRIS PROD 13-11-2024'!A:A,1,0)</f>
        <v>ALR_OGGETTO_DISPERSO_CORSIA_2-Allarme oggetto disperso corsia di marcia</v>
      </c>
      <c r="C264" t="str">
        <f>VLOOKUP(F264,'EXPORT IRIS PROD 13-11-2024'!F:F,1,0)</f>
        <v>ALR_OGGETTO_DISPERSO_CORSIA_2</v>
      </c>
      <c r="D264" t="str">
        <f>VLOOKUP(G264,'EXPORT IRIS PROD 13-11-2024'!D:D,1,0)</f>
        <v>Allarme oggetto disperso corsia di marcia</v>
      </c>
      <c r="E264" s="37" t="s">
        <v>528</v>
      </c>
      <c r="F264" s="38" t="s">
        <v>531</v>
      </c>
      <c r="G264" s="45" t="s">
        <v>532</v>
      </c>
      <c r="H264" s="46" t="s">
        <v>201</v>
      </c>
      <c r="I264" s="46" t="s">
        <v>533</v>
      </c>
      <c r="J264" s="47" t="s">
        <v>31</v>
      </c>
      <c r="K264" s="48" t="s">
        <v>32</v>
      </c>
      <c r="L264" s="43">
        <v>1</v>
      </c>
      <c r="M264" s="43" t="s">
        <v>33</v>
      </c>
      <c r="N264" s="43" t="s">
        <v>34</v>
      </c>
      <c r="O264" s="43" t="s">
        <v>31</v>
      </c>
      <c r="P264" s="49"/>
    </row>
    <row r="265" spans="1:16" customFormat="1" ht="15" customHeight="1" x14ac:dyDescent="0.25">
      <c r="A265" t="str">
        <f t="shared" si="4"/>
        <v>ALR_OGGETTO_DISPERSO_CORSIA_3-Allarme oggetto disperso corsia di sorpasso</v>
      </c>
      <c r="B265" t="str">
        <f>VLOOKUP(A265,'EXPORT IRIS PROD 13-11-2024'!A:A,1,0)</f>
        <v>ALR_OGGETTO_DISPERSO_CORSIA_3-Allarme oggetto disperso corsia di sorpasso</v>
      </c>
      <c r="C265" t="str">
        <f>VLOOKUP(F265,'EXPORT IRIS PROD 13-11-2024'!F:F,1,0)</f>
        <v>ALR_OGGETTO_DISPERSO_CORSIA_3</v>
      </c>
      <c r="D265" t="str">
        <f>VLOOKUP(G265,'EXPORT IRIS PROD 13-11-2024'!D:D,1,0)</f>
        <v>Allarme oggetto disperso corsia di sorpasso</v>
      </c>
      <c r="E265" s="37" t="s">
        <v>528</v>
      </c>
      <c r="F265" s="38" t="s">
        <v>534</v>
      </c>
      <c r="G265" s="45" t="s">
        <v>535</v>
      </c>
      <c r="H265" s="46" t="s">
        <v>201</v>
      </c>
      <c r="I265" s="46" t="s">
        <v>533</v>
      </c>
      <c r="J265" s="47" t="s">
        <v>31</v>
      </c>
      <c r="K265" s="48" t="s">
        <v>32</v>
      </c>
      <c r="L265" s="43">
        <v>1</v>
      </c>
      <c r="M265" s="43" t="s">
        <v>33</v>
      </c>
      <c r="N265" s="43" t="s">
        <v>34</v>
      </c>
      <c r="O265" s="43" t="s">
        <v>31</v>
      </c>
      <c r="P265" s="49"/>
    </row>
    <row r="266" spans="1:16" customFormat="1" ht="15" customHeight="1" x14ac:dyDescent="0.25">
      <c r="A266" t="str">
        <f t="shared" si="4"/>
        <v>ALR_OP_DIR_NORD_CASO_A-Allarme OP caso A dir. nord</v>
      </c>
      <c r="B266" t="str">
        <f>VLOOKUP(A266,'EXPORT IRIS PROD 13-11-2024'!A:A,1,0)</f>
        <v>ALR_OP_DIR_NORD_CASO_A-Allarme OP caso A dir. nord</v>
      </c>
      <c r="C266" t="str">
        <f>VLOOKUP(F266,'EXPORT IRIS PROD 13-11-2024'!F:F,1,0)</f>
        <v>ALR_OP_DIR_NORD_CASO_A</v>
      </c>
      <c r="D266" t="str">
        <f>VLOOKUP(G266,'EXPORT IRIS PROD 13-11-2024'!D:D,1,0)</f>
        <v>Allarme OP caso A dir. nord</v>
      </c>
      <c r="E266" s="37" t="s">
        <v>213</v>
      </c>
      <c r="F266" s="38" t="s">
        <v>536</v>
      </c>
      <c r="G266" s="38" t="s">
        <v>537</v>
      </c>
      <c r="H266" s="39" t="s">
        <v>50</v>
      </c>
      <c r="I266" s="39" t="s">
        <v>52</v>
      </c>
      <c r="J266" s="40" t="s">
        <v>31</v>
      </c>
      <c r="K266" s="48" t="s">
        <v>32</v>
      </c>
      <c r="L266" s="42">
        <v>3</v>
      </c>
      <c r="M266" s="43" t="s">
        <v>24</v>
      </c>
      <c r="N266" s="43" t="s">
        <v>25</v>
      </c>
      <c r="O266" s="42" t="s">
        <v>21</v>
      </c>
      <c r="P266" s="44"/>
    </row>
    <row r="267" spans="1:16" customFormat="1" ht="15" customHeight="1" x14ac:dyDescent="0.25">
      <c r="A267" t="str">
        <f t="shared" si="4"/>
        <v>ALR_OP_DIR_NORD_CASO_B-Allarme OP caso B dir. nord</v>
      </c>
      <c r="B267" t="str">
        <f>VLOOKUP(A267,'EXPORT IRIS PROD 13-11-2024'!A:A,1,0)</f>
        <v>ALR_OP_DIR_NORD_CASO_B-Allarme OP caso B dir. nord</v>
      </c>
      <c r="C267" t="str">
        <f>VLOOKUP(F267,'EXPORT IRIS PROD 13-11-2024'!F:F,1,0)</f>
        <v>ALR_OP_DIR_NORD_CASO_B</v>
      </c>
      <c r="D267" t="str">
        <f>VLOOKUP(G267,'EXPORT IRIS PROD 13-11-2024'!D:D,1,0)</f>
        <v>Allarme OP caso B dir. nord</v>
      </c>
      <c r="E267" s="37" t="s">
        <v>213</v>
      </c>
      <c r="F267" s="38" t="s">
        <v>538</v>
      </c>
      <c r="G267" s="38" t="s">
        <v>539</v>
      </c>
      <c r="H267" s="39" t="s">
        <v>50</v>
      </c>
      <c r="I267" s="39" t="s">
        <v>52</v>
      </c>
      <c r="J267" s="40" t="s">
        <v>31</v>
      </c>
      <c r="K267" s="48" t="s">
        <v>32</v>
      </c>
      <c r="L267" s="42">
        <v>3</v>
      </c>
      <c r="M267" s="43" t="s">
        <v>157</v>
      </c>
      <c r="N267" s="43" t="s">
        <v>158</v>
      </c>
      <c r="O267" s="42" t="s">
        <v>21</v>
      </c>
      <c r="P267" s="44"/>
    </row>
    <row r="268" spans="1:16" customFormat="1" ht="15" customHeight="1" x14ac:dyDescent="0.25">
      <c r="A268" t="str">
        <f t="shared" si="4"/>
        <v>ALR_OP_DIR_NORD_CASO_C-Allarme OP caso C dir. nord</v>
      </c>
      <c r="B268" t="str">
        <f>VLOOKUP(A268,'EXPORT IRIS PROD 13-11-2024'!A:A,1,0)</f>
        <v>ALR_OP_DIR_NORD_CASO_C-Allarme OP caso C dir. nord</v>
      </c>
      <c r="C268" t="str">
        <f>VLOOKUP(F268,'EXPORT IRIS PROD 13-11-2024'!F:F,1,0)</f>
        <v>ALR_OP_DIR_NORD_CASO_C</v>
      </c>
      <c r="D268" t="str">
        <f>VLOOKUP(G268,'EXPORT IRIS PROD 13-11-2024'!D:D,1,0)</f>
        <v>Allarme OP caso C dir. nord</v>
      </c>
      <c r="E268" s="37" t="s">
        <v>213</v>
      </c>
      <c r="F268" s="38" t="s">
        <v>540</v>
      </c>
      <c r="G268" s="38" t="s">
        <v>541</v>
      </c>
      <c r="H268" s="39" t="s">
        <v>50</v>
      </c>
      <c r="I268" s="39" t="s">
        <v>52</v>
      </c>
      <c r="J268" s="40" t="s">
        <v>31</v>
      </c>
      <c r="K268" s="48" t="s">
        <v>32</v>
      </c>
      <c r="L268" s="43">
        <v>2</v>
      </c>
      <c r="M268" s="43" t="s">
        <v>45</v>
      </c>
      <c r="N268" s="43" t="s">
        <v>46</v>
      </c>
      <c r="O268" s="43" t="s">
        <v>31</v>
      </c>
      <c r="P268" s="49"/>
    </row>
    <row r="269" spans="1:16" customFormat="1" ht="15" customHeight="1" x14ac:dyDescent="0.25">
      <c r="A269" t="str">
        <f t="shared" si="4"/>
        <v>ALR_OP_DIR_SUD_CASO_A-Allarme OP caso A dir. sud</v>
      </c>
      <c r="B269" t="str">
        <f>VLOOKUP(A269,'EXPORT IRIS PROD 13-11-2024'!A:A,1,0)</f>
        <v>ALR_OP_DIR_SUD_CASO_A-Allarme OP caso A dir. sud</v>
      </c>
      <c r="C269" t="str">
        <f>VLOOKUP(F269,'EXPORT IRIS PROD 13-11-2024'!F:F,1,0)</f>
        <v>ALR_OP_DIR_SUD_CASO_A</v>
      </c>
      <c r="D269" t="str">
        <f>VLOOKUP(G269,'EXPORT IRIS PROD 13-11-2024'!D:D,1,0)</f>
        <v>Allarme OP caso A dir. sud</v>
      </c>
      <c r="E269" s="37" t="s">
        <v>213</v>
      </c>
      <c r="F269" s="38" t="s">
        <v>542</v>
      </c>
      <c r="G269" s="38" t="s">
        <v>543</v>
      </c>
      <c r="H269" s="39" t="s">
        <v>50</v>
      </c>
      <c r="I269" s="39" t="s">
        <v>52</v>
      </c>
      <c r="J269" s="40" t="s">
        <v>31</v>
      </c>
      <c r="K269" s="48" t="s">
        <v>32</v>
      </c>
      <c r="L269" s="42">
        <v>3</v>
      </c>
      <c r="M269" s="43" t="s">
        <v>24</v>
      </c>
      <c r="N269" s="43" t="s">
        <v>25</v>
      </c>
      <c r="O269" s="42" t="s">
        <v>21</v>
      </c>
      <c r="P269" s="44"/>
    </row>
    <row r="270" spans="1:16" ht="15" customHeight="1" x14ac:dyDescent="0.25">
      <c r="A270" t="str">
        <f t="shared" si="4"/>
        <v>ALR_OP_DIR_SUD_CASO_B-Allarme OP caso B dir. sud</v>
      </c>
      <c r="B270" t="str">
        <f>VLOOKUP(A270,'EXPORT IRIS PROD 13-11-2024'!A:A,1,0)</f>
        <v>ALR_OP_DIR_SUD_CASO_B-Allarme OP caso B dir. sud</v>
      </c>
      <c r="C270" t="str">
        <f>VLOOKUP(F270,'EXPORT IRIS PROD 13-11-2024'!F:F,1,0)</f>
        <v>ALR_OP_DIR_SUD_CASO_B</v>
      </c>
      <c r="D270" t="str">
        <f>VLOOKUP(G270,'EXPORT IRIS PROD 13-11-2024'!D:D,1,0)</f>
        <v>Allarme OP caso B dir. sud</v>
      </c>
      <c r="E270" s="37" t="s">
        <v>213</v>
      </c>
      <c r="F270" s="38" t="s">
        <v>544</v>
      </c>
      <c r="G270" s="38" t="s">
        <v>545</v>
      </c>
      <c r="H270" s="39" t="s">
        <v>50</v>
      </c>
      <c r="I270" s="39" t="s">
        <v>52</v>
      </c>
      <c r="J270" s="40" t="s">
        <v>31</v>
      </c>
      <c r="K270" s="48" t="s">
        <v>32</v>
      </c>
      <c r="L270" s="42">
        <v>3</v>
      </c>
      <c r="M270" s="43" t="s">
        <v>157</v>
      </c>
      <c r="N270" s="43" t="s">
        <v>158</v>
      </c>
      <c r="O270" s="42" t="s">
        <v>21</v>
      </c>
      <c r="P270" s="44"/>
    </row>
    <row r="271" spans="1:16" customFormat="1" ht="15" customHeight="1" x14ac:dyDescent="0.25">
      <c r="A271" t="str">
        <f t="shared" si="4"/>
        <v>ALR_OP_DIR_SUD_CASO_C-Allarme OP caso C dir. sud</v>
      </c>
      <c r="B271" t="str">
        <f>VLOOKUP(A271,'EXPORT IRIS PROD 13-11-2024'!A:A,1,0)</f>
        <v>ALR_OP_DIR_SUD_CASO_C-Allarme OP caso C dir. sud</v>
      </c>
      <c r="C271" t="str">
        <f>VLOOKUP(F271,'EXPORT IRIS PROD 13-11-2024'!F:F,1,0)</f>
        <v>ALR_OP_DIR_SUD_CASO_C</v>
      </c>
      <c r="D271" t="str">
        <f>VLOOKUP(G271,'EXPORT IRIS PROD 13-11-2024'!D:D,1,0)</f>
        <v>Allarme OP caso C dir. sud</v>
      </c>
      <c r="E271" s="37" t="s">
        <v>213</v>
      </c>
      <c r="F271" s="38" t="s">
        <v>546</v>
      </c>
      <c r="G271" s="38" t="s">
        <v>547</v>
      </c>
      <c r="H271" s="39" t="s">
        <v>50</v>
      </c>
      <c r="I271" s="39" t="s">
        <v>52</v>
      </c>
      <c r="J271" s="40" t="s">
        <v>31</v>
      </c>
      <c r="K271" s="48" t="s">
        <v>32</v>
      </c>
      <c r="L271" s="43">
        <v>2</v>
      </c>
      <c r="M271" s="43" t="s">
        <v>45</v>
      </c>
      <c r="N271" s="43" t="s">
        <v>46</v>
      </c>
      <c r="O271" s="43" t="s">
        <v>31</v>
      </c>
      <c r="P271" s="49"/>
    </row>
    <row r="272" spans="1:16" customFormat="1" ht="15" customHeight="1" x14ac:dyDescent="0.25">
      <c r="A272" t="str">
        <f t="shared" si="4"/>
        <v>ALR_OPACITA-Allarme guasto sensore OP</v>
      </c>
      <c r="B272" t="str">
        <f>VLOOKUP(A272,'EXPORT IRIS PROD 13-11-2024'!A:A,1,0)</f>
        <v>ALR_OPACITA-Allarme guasto sensore OP</v>
      </c>
      <c r="C272" t="str">
        <f>VLOOKUP(F272,'EXPORT IRIS PROD 13-11-2024'!F:F,1,0)</f>
        <v>ALR_OPACITA</v>
      </c>
      <c r="D272" t="str">
        <f>VLOOKUP(G272,'EXPORT IRIS PROD 13-11-2024'!D:D,1,0)</f>
        <v>Allarme guasto sensore OP</v>
      </c>
      <c r="E272" s="37" t="s">
        <v>85</v>
      </c>
      <c r="F272" s="38" t="s">
        <v>548</v>
      </c>
      <c r="G272" s="38" t="s">
        <v>549</v>
      </c>
      <c r="H272" s="39" t="s">
        <v>50</v>
      </c>
      <c r="I272" s="39" t="s">
        <v>52</v>
      </c>
      <c r="J272" s="40" t="s">
        <v>21</v>
      </c>
      <c r="K272" s="41" t="s">
        <v>22</v>
      </c>
      <c r="L272" s="42" t="s">
        <v>23</v>
      </c>
      <c r="M272" s="43" t="s">
        <v>24</v>
      </c>
      <c r="N272" s="42" t="s">
        <v>25</v>
      </c>
      <c r="O272" s="42" t="s">
        <v>21</v>
      </c>
      <c r="P272" s="44"/>
    </row>
    <row r="273" spans="1:16" customFormat="1" ht="15" customHeight="1" x14ac:dyDescent="0.25">
      <c r="A273" t="str">
        <f t="shared" si="4"/>
        <v>ALR_PERDITA_COMBUSTIBILE-Allarme perdita serbatoio gasolio</v>
      </c>
      <c r="B273" t="str">
        <f>VLOOKUP(A273,'EXPORT IRIS PROD 13-11-2024'!A:A,1,0)</f>
        <v>ALR_PERDITA_COMBUSTIBILE-Allarme perdita serbatoio gasolio</v>
      </c>
      <c r="C273" t="str">
        <f>VLOOKUP(F273,'EXPORT IRIS PROD 13-11-2024'!F:F,1,0)</f>
        <v>ALR_PERDITA_COMBUSTIBILE</v>
      </c>
      <c r="D273" t="str">
        <f>VLOOKUP(G273,'EXPORT IRIS PROD 13-11-2024'!D:D,1,0)</f>
        <v>Allarme perdita serbatoio gasolio</v>
      </c>
      <c r="E273" s="37" t="s">
        <v>53</v>
      </c>
      <c r="F273" s="38" t="s">
        <v>550</v>
      </c>
      <c r="G273" s="38" t="s">
        <v>551</v>
      </c>
      <c r="H273" s="39" t="s">
        <v>56</v>
      </c>
      <c r="I273" s="39" t="s">
        <v>156</v>
      </c>
      <c r="J273" s="40" t="s">
        <v>21</v>
      </c>
      <c r="K273" s="41" t="s">
        <v>22</v>
      </c>
      <c r="L273" s="42" t="s">
        <v>23</v>
      </c>
      <c r="M273" s="43" t="s">
        <v>157</v>
      </c>
      <c r="N273" s="42" t="s">
        <v>158</v>
      </c>
      <c r="O273" s="42" t="s">
        <v>21</v>
      </c>
      <c r="P273" s="44"/>
    </row>
    <row r="274" spans="1:16" x14ac:dyDescent="0.25">
      <c r="A274" t="str">
        <f t="shared" si="4"/>
        <v>ALR_PERDITA_GASOLIO-Allarme perdita cisterna gasolio</v>
      </c>
      <c r="B274" t="str">
        <f>VLOOKUP(A274,'EXPORT IRIS PROD 13-11-2024'!A:A,1,0)</f>
        <v>ALR_PERDITA_GASOLIO-Allarme perdita cisterna gasolio</v>
      </c>
      <c r="C274" t="str">
        <f>VLOOKUP(F274,'EXPORT IRIS PROD 13-11-2024'!F:F,1,0)</f>
        <v>ALR_PERDITA_GASOLIO</v>
      </c>
      <c r="D274" t="str">
        <f>VLOOKUP(G274,'EXPORT IRIS PROD 13-11-2024'!D:D,1,0)</f>
        <v>Allarme perdita cisterna gasolio</v>
      </c>
      <c r="E274" s="37" t="s">
        <v>53</v>
      </c>
      <c r="F274" s="38" t="s">
        <v>552</v>
      </c>
      <c r="G274" s="38" t="s">
        <v>553</v>
      </c>
      <c r="H274" s="39" t="s">
        <v>56</v>
      </c>
      <c r="I274" s="39" t="s">
        <v>156</v>
      </c>
      <c r="J274" s="40" t="s">
        <v>21</v>
      </c>
      <c r="K274" s="41" t="s">
        <v>22</v>
      </c>
      <c r="L274" s="42" t="s">
        <v>23</v>
      </c>
      <c r="M274" s="43" t="s">
        <v>157</v>
      </c>
      <c r="N274" s="42" t="s">
        <v>158</v>
      </c>
      <c r="O274" s="42" t="s">
        <v>21</v>
      </c>
      <c r="P274" s="44"/>
    </row>
    <row r="275" spans="1:16" x14ac:dyDescent="0.25">
      <c r="A275" t="str">
        <f t="shared" si="4"/>
        <v>ALR_PERDITA_VIDEO-Allarme perdita video</v>
      </c>
      <c r="B275" t="str">
        <f>VLOOKUP(A275,'EXPORT IRIS PROD 13-11-2024'!A:A,1,0)</f>
        <v>ALR_PERDITA_VIDEO-Allarme perdita video</v>
      </c>
      <c r="C275" t="str">
        <f>VLOOKUP(F275,'EXPORT IRIS PROD 13-11-2024'!F:F,1,0)</f>
        <v>ALR_PERDITA_VIDEO</v>
      </c>
      <c r="D275" t="str">
        <f>VLOOKUP(G275,'EXPORT IRIS PROD 13-11-2024'!D:D,1,0)</f>
        <v>Allarme perdita video</v>
      </c>
      <c r="E275" s="37" t="s">
        <v>198</v>
      </c>
      <c r="F275" s="38" t="s">
        <v>554</v>
      </c>
      <c r="G275" s="38" t="s">
        <v>555</v>
      </c>
      <c r="H275" s="39" t="s">
        <v>201</v>
      </c>
      <c r="I275" s="39" t="s">
        <v>263</v>
      </c>
      <c r="J275" s="40" t="s">
        <v>21</v>
      </c>
      <c r="K275" s="41" t="s">
        <v>22</v>
      </c>
      <c r="L275" s="42" t="s">
        <v>23</v>
      </c>
      <c r="M275" s="43" t="s">
        <v>24</v>
      </c>
      <c r="N275" s="42" t="s">
        <v>25</v>
      </c>
      <c r="O275" s="42" t="s">
        <v>21</v>
      </c>
      <c r="P275" s="44"/>
    </row>
    <row r="276" spans="1:16" customFormat="1" x14ac:dyDescent="0.25">
      <c r="A276" t="str">
        <f t="shared" si="4"/>
        <v>ALR_PERDITA_VIDEO_CORSIA_1-Allarme perdita video corsia di emergenza</v>
      </c>
      <c r="B276" t="str">
        <f>VLOOKUP(A276,'EXPORT IRIS PROD 13-11-2024'!A:A,1,0)</f>
        <v>ALR_PERDITA_VIDEO_CORSIA_1-Allarme perdita video corsia di emergenza</v>
      </c>
      <c r="C276" t="str">
        <f>VLOOKUP(F276,'EXPORT IRIS PROD 13-11-2024'!F:F,1,0)</f>
        <v>ALR_PERDITA_VIDEO_CORSIA_1</v>
      </c>
      <c r="D276" t="str">
        <f>VLOOKUP(G276,'EXPORT IRIS PROD 13-11-2024'!D:D,1,0)</f>
        <v>Allarme perdita video corsia di emergenza</v>
      </c>
      <c r="E276" s="37" t="s">
        <v>198</v>
      </c>
      <c r="F276" s="38" t="s">
        <v>556</v>
      </c>
      <c r="G276" s="38" t="s">
        <v>557</v>
      </c>
      <c r="H276" s="39" t="s">
        <v>201</v>
      </c>
      <c r="I276" s="39" t="s">
        <v>380</v>
      </c>
      <c r="J276" s="40" t="s">
        <v>21</v>
      </c>
      <c r="K276" s="41" t="s">
        <v>22</v>
      </c>
      <c r="L276" s="42" t="s">
        <v>23</v>
      </c>
      <c r="M276" s="43" t="s">
        <v>24</v>
      </c>
      <c r="N276" s="42" t="s">
        <v>25</v>
      </c>
      <c r="O276" s="42" t="s">
        <v>21</v>
      </c>
      <c r="P276" s="44"/>
    </row>
    <row r="277" spans="1:16" customFormat="1" x14ac:dyDescent="0.25">
      <c r="A277" t="str">
        <f t="shared" si="4"/>
        <v>ALR_PERDITA_VIDEO_CORSIA_1-Allarme perdita video corsia di emergenza</v>
      </c>
      <c r="B277" t="str">
        <f>VLOOKUP(A277,'EXPORT IRIS PROD 13-11-2024'!A:A,1,0)</f>
        <v>ALR_PERDITA_VIDEO_CORSIA_1-Allarme perdita video corsia di emergenza</v>
      </c>
      <c r="C277" t="str">
        <f>VLOOKUP(F277,'EXPORT IRIS PROD 13-11-2024'!F:F,1,0)</f>
        <v>ALR_PERDITA_VIDEO_CORSIA_1</v>
      </c>
      <c r="D277" t="str">
        <f>VLOOKUP(G277,'EXPORT IRIS PROD 13-11-2024'!D:D,1,0)</f>
        <v>Allarme perdita video corsia di emergenza</v>
      </c>
      <c r="E277" s="37" t="s">
        <v>198</v>
      </c>
      <c r="F277" s="38" t="s">
        <v>556</v>
      </c>
      <c r="G277" s="38" t="s">
        <v>557</v>
      </c>
      <c r="H277" s="39" t="s">
        <v>201</v>
      </c>
      <c r="I277" s="39" t="s">
        <v>263</v>
      </c>
      <c r="J277" s="40" t="s">
        <v>21</v>
      </c>
      <c r="K277" s="41" t="s">
        <v>22</v>
      </c>
      <c r="L277" s="42" t="s">
        <v>23</v>
      </c>
      <c r="M277" s="43" t="s">
        <v>24</v>
      </c>
      <c r="N277" s="42" t="s">
        <v>25</v>
      </c>
      <c r="O277" s="42" t="s">
        <v>21</v>
      </c>
      <c r="P277" s="44"/>
    </row>
    <row r="278" spans="1:16" customFormat="1" x14ac:dyDescent="0.25">
      <c r="A278" t="str">
        <f t="shared" si="4"/>
        <v>ALR_PERDITA_VIDEO_CORSIA_2-Allarme perdita video corsia di marcia</v>
      </c>
      <c r="B278" t="str">
        <f>VLOOKUP(A278,'EXPORT IRIS PROD 13-11-2024'!A:A,1,0)</f>
        <v>ALR_PERDITA_VIDEO_CORSIA_2-Allarme perdita video corsia di marcia</v>
      </c>
      <c r="C278" t="str">
        <f>VLOOKUP(F278,'EXPORT IRIS PROD 13-11-2024'!F:F,1,0)</f>
        <v>ALR_PERDITA_VIDEO_CORSIA_2</v>
      </c>
      <c r="D278" t="str">
        <f>VLOOKUP(G278,'EXPORT IRIS PROD 13-11-2024'!D:D,1,0)</f>
        <v>Allarme perdita video corsia di marcia</v>
      </c>
      <c r="E278" s="37" t="s">
        <v>198</v>
      </c>
      <c r="F278" s="38" t="s">
        <v>558</v>
      </c>
      <c r="G278" s="38" t="s">
        <v>559</v>
      </c>
      <c r="H278" s="39" t="s">
        <v>201</v>
      </c>
      <c r="I278" s="39" t="s">
        <v>380</v>
      </c>
      <c r="J278" s="40" t="s">
        <v>21</v>
      </c>
      <c r="K278" s="41" t="s">
        <v>22</v>
      </c>
      <c r="L278" s="42" t="s">
        <v>23</v>
      </c>
      <c r="M278" s="43" t="s">
        <v>24</v>
      </c>
      <c r="N278" s="42" t="s">
        <v>25</v>
      </c>
      <c r="O278" s="42" t="s">
        <v>21</v>
      </c>
      <c r="P278" s="44"/>
    </row>
    <row r="279" spans="1:16" x14ac:dyDescent="0.25">
      <c r="A279" t="str">
        <f t="shared" si="4"/>
        <v>ALR_PERDITA_VIDEO_CORSIA_2-Allarme perdita video corsia di marcia</v>
      </c>
      <c r="B279" t="str">
        <f>VLOOKUP(A279,'EXPORT IRIS PROD 13-11-2024'!A:A,1,0)</f>
        <v>ALR_PERDITA_VIDEO_CORSIA_2-Allarme perdita video corsia di marcia</v>
      </c>
      <c r="C279" t="str">
        <f>VLOOKUP(F279,'EXPORT IRIS PROD 13-11-2024'!F:F,1,0)</f>
        <v>ALR_PERDITA_VIDEO_CORSIA_2</v>
      </c>
      <c r="D279" t="str">
        <f>VLOOKUP(G279,'EXPORT IRIS PROD 13-11-2024'!D:D,1,0)</f>
        <v>Allarme perdita video corsia di marcia</v>
      </c>
      <c r="E279" s="37" t="s">
        <v>198</v>
      </c>
      <c r="F279" s="38" t="s">
        <v>558</v>
      </c>
      <c r="G279" s="38" t="s">
        <v>559</v>
      </c>
      <c r="H279" s="39" t="s">
        <v>201</v>
      </c>
      <c r="I279" s="39" t="s">
        <v>263</v>
      </c>
      <c r="J279" s="40" t="s">
        <v>21</v>
      </c>
      <c r="K279" s="41" t="s">
        <v>22</v>
      </c>
      <c r="L279" s="42" t="s">
        <v>23</v>
      </c>
      <c r="M279" s="43" t="s">
        <v>24</v>
      </c>
      <c r="N279" s="42" t="s">
        <v>25</v>
      </c>
      <c r="O279" s="42" t="s">
        <v>21</v>
      </c>
      <c r="P279" s="44"/>
    </row>
    <row r="280" spans="1:16" customFormat="1" x14ac:dyDescent="0.25">
      <c r="A280" t="str">
        <f t="shared" si="4"/>
        <v>ALR_PERDITA_VIDEO_CORSIA_3-Allarme perdita video corsia veloce</v>
      </c>
      <c r="B280" t="str">
        <f>VLOOKUP(A280,'EXPORT IRIS PROD 13-11-2024'!A:A,1,0)</f>
        <v>ALR_PERDITA_VIDEO_CORSIA_3-Allarme perdita video corsia veloce</v>
      </c>
      <c r="C280" t="str">
        <f>VLOOKUP(F280,'EXPORT IRIS PROD 13-11-2024'!F:F,1,0)</f>
        <v>ALR_PERDITA_VIDEO_CORSIA_3</v>
      </c>
      <c r="D280" t="str">
        <f>VLOOKUP(G280,'EXPORT IRIS PROD 13-11-2024'!D:D,1,0)</f>
        <v>Allarme perdita video corsia veloce</v>
      </c>
      <c r="E280" s="37" t="s">
        <v>198</v>
      </c>
      <c r="F280" s="38" t="s">
        <v>560</v>
      </c>
      <c r="G280" s="38" t="s">
        <v>561</v>
      </c>
      <c r="H280" s="39" t="s">
        <v>201</v>
      </c>
      <c r="I280" s="39" t="s">
        <v>380</v>
      </c>
      <c r="J280" s="40" t="s">
        <v>21</v>
      </c>
      <c r="K280" s="41" t="s">
        <v>22</v>
      </c>
      <c r="L280" s="42" t="s">
        <v>23</v>
      </c>
      <c r="M280" s="43" t="s">
        <v>24</v>
      </c>
      <c r="N280" s="42" t="s">
        <v>25</v>
      </c>
      <c r="O280" s="42" t="s">
        <v>21</v>
      </c>
      <c r="P280" s="44"/>
    </row>
    <row r="281" spans="1:16" customFormat="1" x14ac:dyDescent="0.25">
      <c r="A281" t="str">
        <f t="shared" si="4"/>
        <v>ALR_PERDITA_VIDEO_CORSIA_3-Allarme perdita video corsia veloce</v>
      </c>
      <c r="B281" t="str">
        <f>VLOOKUP(A281,'EXPORT IRIS PROD 13-11-2024'!A:A,1,0)</f>
        <v>ALR_PERDITA_VIDEO_CORSIA_3-Allarme perdita video corsia veloce</v>
      </c>
      <c r="C281" t="str">
        <f>VLOOKUP(F281,'EXPORT IRIS PROD 13-11-2024'!F:F,1,0)</f>
        <v>ALR_PERDITA_VIDEO_CORSIA_3</v>
      </c>
      <c r="D281" t="str">
        <f>VLOOKUP(G281,'EXPORT IRIS PROD 13-11-2024'!D:D,1,0)</f>
        <v>Allarme perdita video corsia veloce</v>
      </c>
      <c r="E281" s="37" t="s">
        <v>198</v>
      </c>
      <c r="F281" s="38" t="s">
        <v>560</v>
      </c>
      <c r="G281" s="38" t="s">
        <v>561</v>
      </c>
      <c r="H281" s="39" t="s">
        <v>201</v>
      </c>
      <c r="I281" s="39" t="s">
        <v>263</v>
      </c>
      <c r="J281" s="40" t="s">
        <v>21</v>
      </c>
      <c r="K281" s="41" t="s">
        <v>22</v>
      </c>
      <c r="L281" s="42" t="s">
        <v>23</v>
      </c>
      <c r="M281" s="43" t="s">
        <v>24</v>
      </c>
      <c r="N281" s="42" t="s">
        <v>25</v>
      </c>
      <c r="O281" s="42" t="s">
        <v>21</v>
      </c>
      <c r="P281" s="44"/>
    </row>
    <row r="282" spans="1:16" customFormat="1" x14ac:dyDescent="0.25">
      <c r="A282" t="str">
        <f t="shared" si="4"/>
        <v>ALR_PLC_IN_STOP-Allarme PLC RIO in stop</v>
      </c>
      <c r="B282" t="str">
        <f>VLOOKUP(A282,'EXPORT IRIS PROD 13-11-2024'!A:A,1,0)</f>
        <v>ALR_PLC_IN_STOP-Allarme PLC RIO in stop</v>
      </c>
      <c r="C282" t="str">
        <f>VLOOKUP(F282,'EXPORT IRIS PROD 13-11-2024'!F:F,1,0)</f>
        <v>ALR_PLC_IN_STOP</v>
      </c>
      <c r="D282" t="str">
        <f>VLOOKUP(G282,'EXPORT IRIS PROD 13-11-2024'!D:D,1,0)</f>
        <v>Allarme PLC RIO in stop</v>
      </c>
      <c r="E282" s="37" t="s">
        <v>249</v>
      </c>
      <c r="F282" s="38" t="s">
        <v>562</v>
      </c>
      <c r="G282" s="38" t="s">
        <v>563</v>
      </c>
      <c r="H282" s="39" t="s">
        <v>19</v>
      </c>
      <c r="I282" s="39" t="s">
        <v>167</v>
      </c>
      <c r="J282" s="40" t="s">
        <v>31</v>
      </c>
      <c r="K282" s="41" t="s">
        <v>32</v>
      </c>
      <c r="L282" s="42">
        <v>3</v>
      </c>
      <c r="M282" s="43" t="s">
        <v>33</v>
      </c>
      <c r="N282" s="42" t="s">
        <v>34</v>
      </c>
      <c r="O282" s="42" t="s">
        <v>31</v>
      </c>
      <c r="P282" s="44"/>
    </row>
    <row r="283" spans="1:16" customFormat="1" x14ac:dyDescent="0.25">
      <c r="A283" t="str">
        <f t="shared" si="4"/>
        <v>ALR_POMPA_AVVIATA-Allarme pompa avviata</v>
      </c>
      <c r="B283" t="str">
        <f>VLOOKUP(A283,'EXPORT IRIS PROD 13-11-2024'!A:A,1,0)</f>
        <v>ALR_POMPA_AVVIATA-Allarme pompa avviata</v>
      </c>
      <c r="C283" t="str">
        <f>VLOOKUP(F283,'EXPORT IRIS PROD 13-11-2024'!F:F,1,0)</f>
        <v>ALR_POMPA_AVVIATA</v>
      </c>
      <c r="D283" t="str">
        <f>VLOOKUP(G283,'EXPORT IRIS PROD 13-11-2024'!D:D,1,0)</f>
        <v>Allarme pompa avviata</v>
      </c>
      <c r="E283" s="37" t="s">
        <v>298</v>
      </c>
      <c r="F283" s="38" t="s">
        <v>564</v>
      </c>
      <c r="G283" s="38" t="s">
        <v>565</v>
      </c>
      <c r="H283" s="39" t="s">
        <v>38</v>
      </c>
      <c r="I283" s="39" t="s">
        <v>301</v>
      </c>
      <c r="J283" s="40" t="s">
        <v>31</v>
      </c>
      <c r="K283" s="41" t="s">
        <v>32</v>
      </c>
      <c r="L283" s="43">
        <v>2</v>
      </c>
      <c r="M283" s="43" t="s">
        <v>33</v>
      </c>
      <c r="N283" s="42" t="s">
        <v>34</v>
      </c>
      <c r="O283" s="42" t="s">
        <v>31</v>
      </c>
      <c r="P283" s="44"/>
    </row>
    <row r="284" spans="1:16" customFormat="1" x14ac:dyDescent="0.25">
      <c r="A284" t="str">
        <f t="shared" si="4"/>
        <v>ALR_POMPA_AVVIATA-Allarme pompa avviata</v>
      </c>
      <c r="B284" t="str">
        <f>VLOOKUP(A284,'EXPORT IRIS PROD 13-11-2024'!A:A,1,0)</f>
        <v>ALR_POMPA_AVVIATA-Allarme pompa avviata</v>
      </c>
      <c r="C284" t="str">
        <f>VLOOKUP(F284,'EXPORT IRIS PROD 13-11-2024'!F:F,1,0)</f>
        <v>ALR_POMPA_AVVIATA</v>
      </c>
      <c r="D284" t="str">
        <f>VLOOKUP(G284,'EXPORT IRIS PROD 13-11-2024'!D:D,1,0)</f>
        <v>Allarme pompa avviata</v>
      </c>
      <c r="E284" s="37" t="s">
        <v>298</v>
      </c>
      <c r="F284" s="38" t="s">
        <v>564</v>
      </c>
      <c r="G284" s="38" t="s">
        <v>565</v>
      </c>
      <c r="H284" s="39" t="s">
        <v>38</v>
      </c>
      <c r="I284" s="39" t="s">
        <v>172</v>
      </c>
      <c r="J284" s="40" t="s">
        <v>31</v>
      </c>
      <c r="K284" s="41" t="s">
        <v>32</v>
      </c>
      <c r="L284" s="43">
        <v>2</v>
      </c>
      <c r="M284" s="43" t="s">
        <v>33</v>
      </c>
      <c r="N284" s="42" t="s">
        <v>34</v>
      </c>
      <c r="O284" s="42" t="s">
        <v>31</v>
      </c>
      <c r="P284" s="44"/>
    </row>
    <row r="285" spans="1:16" customFormat="1" x14ac:dyDescent="0.25">
      <c r="A285" t="str">
        <f t="shared" si="4"/>
        <v>ALR_POMPA_AVVIATA-Allarme pompa avviata</v>
      </c>
      <c r="B285" t="str">
        <f>VLOOKUP(A285,'EXPORT IRIS PROD 13-11-2024'!A:A,1,0)</f>
        <v>ALR_POMPA_AVVIATA-Allarme pompa avviata</v>
      </c>
      <c r="C285" t="str">
        <f>VLOOKUP(F285,'EXPORT IRIS PROD 13-11-2024'!F:F,1,0)</f>
        <v>ALR_POMPA_AVVIATA</v>
      </c>
      <c r="D285" t="str">
        <f>VLOOKUP(G285,'EXPORT IRIS PROD 13-11-2024'!D:D,1,0)</f>
        <v>Allarme pompa avviata</v>
      </c>
      <c r="E285" s="37" t="s">
        <v>298</v>
      </c>
      <c r="F285" s="38" t="s">
        <v>564</v>
      </c>
      <c r="G285" s="38" t="s">
        <v>565</v>
      </c>
      <c r="H285" s="39" t="s">
        <v>38</v>
      </c>
      <c r="I285" s="39" t="s">
        <v>566</v>
      </c>
      <c r="J285" s="40" t="s">
        <v>31</v>
      </c>
      <c r="K285" s="41" t="s">
        <v>32</v>
      </c>
      <c r="L285" s="43">
        <v>2</v>
      </c>
      <c r="M285" s="43" t="s">
        <v>33</v>
      </c>
      <c r="N285" s="42" t="s">
        <v>34</v>
      </c>
      <c r="O285" s="42" t="s">
        <v>31</v>
      </c>
      <c r="P285" s="44"/>
    </row>
    <row r="286" spans="1:16" customFormat="1" x14ac:dyDescent="0.25">
      <c r="A286" t="str">
        <f t="shared" si="4"/>
        <v>ALR_POMPA_AVVIATA-Allarme pompa avviata</v>
      </c>
      <c r="B286" t="str">
        <f>VLOOKUP(A286,'EXPORT IRIS PROD 13-11-2024'!A:A,1,0)</f>
        <v>ALR_POMPA_AVVIATA-Allarme pompa avviata</v>
      </c>
      <c r="C286" t="str">
        <f>VLOOKUP(F286,'EXPORT IRIS PROD 13-11-2024'!F:F,1,0)</f>
        <v>ALR_POMPA_AVVIATA</v>
      </c>
      <c r="D286" t="str">
        <f>VLOOKUP(G286,'EXPORT IRIS PROD 13-11-2024'!D:D,1,0)</f>
        <v>Allarme pompa avviata</v>
      </c>
      <c r="E286" s="37" t="s">
        <v>298</v>
      </c>
      <c r="F286" s="38" t="s">
        <v>564</v>
      </c>
      <c r="G286" s="38" t="s">
        <v>565</v>
      </c>
      <c r="H286" s="39" t="s">
        <v>38</v>
      </c>
      <c r="I286" s="39" t="s">
        <v>567</v>
      </c>
      <c r="J286" s="40" t="s">
        <v>31</v>
      </c>
      <c r="K286" s="41" t="s">
        <v>32</v>
      </c>
      <c r="L286" s="43">
        <v>2</v>
      </c>
      <c r="M286" s="43" t="s">
        <v>33</v>
      </c>
      <c r="N286" s="42" t="s">
        <v>34</v>
      </c>
      <c r="O286" s="42" t="s">
        <v>31</v>
      </c>
      <c r="P286" s="44"/>
    </row>
    <row r="287" spans="1:16" customFormat="1" x14ac:dyDescent="0.25">
      <c r="A287" t="str">
        <f t="shared" si="4"/>
        <v>ALR_POMPA_GASOLIO-Allarme pompa gasolio</v>
      </c>
      <c r="B287" t="str">
        <f>VLOOKUP(A287,'EXPORT IRIS PROD 13-11-2024'!A:A,1,0)</f>
        <v>ALR_POMPA_GASOLIO-Allarme pompa gasolio</v>
      </c>
      <c r="C287" t="str">
        <f>VLOOKUP(F287,'EXPORT IRIS PROD 13-11-2024'!F:F,1,0)</f>
        <v>ALR_POMPA_GASOLIO</v>
      </c>
      <c r="D287" t="str">
        <f>VLOOKUP(G287,'EXPORT IRIS PROD 13-11-2024'!D:D,1,0)</f>
        <v>Allarme pompa gasolio</v>
      </c>
      <c r="E287" s="37" t="s">
        <v>35</v>
      </c>
      <c r="F287" s="38" t="s">
        <v>568</v>
      </c>
      <c r="G287" s="38" t="s">
        <v>569</v>
      </c>
      <c r="H287" s="39" t="s">
        <v>38</v>
      </c>
      <c r="I287" s="39" t="s">
        <v>570</v>
      </c>
      <c r="J287" s="40" t="s">
        <v>21</v>
      </c>
      <c r="K287" s="41" t="s">
        <v>22</v>
      </c>
      <c r="L287" s="42" t="s">
        <v>23</v>
      </c>
      <c r="M287" s="43" t="s">
        <v>24</v>
      </c>
      <c r="N287" s="42" t="s">
        <v>25</v>
      </c>
      <c r="O287" s="42" t="s">
        <v>21</v>
      </c>
      <c r="P287" s="44"/>
    </row>
    <row r="288" spans="1:16" customFormat="1" x14ac:dyDescent="0.25">
      <c r="A288" t="str">
        <f t="shared" si="4"/>
        <v>ALR_POMPA_PILOTA-Allarme generico pompa pilota</v>
      </c>
      <c r="B288" t="str">
        <f>VLOOKUP(A288,'EXPORT IRIS PROD 13-11-2024'!A:A,1,0)</f>
        <v>ALR_POMPA_PILOTA-Allarme generico pompa pilota</v>
      </c>
      <c r="C288" t="str">
        <f>VLOOKUP(F288,'EXPORT IRIS PROD 13-11-2024'!F:F,1,0)</f>
        <v>ALR_POMPA_PILOTA</v>
      </c>
      <c r="D288" t="str">
        <f>VLOOKUP(G288,'EXPORT IRIS PROD 13-11-2024'!D:D,1,0)</f>
        <v>Allarme generico pompa pilota</v>
      </c>
      <c r="E288" s="37" t="s">
        <v>35</v>
      </c>
      <c r="F288" s="38" t="s">
        <v>571</v>
      </c>
      <c r="G288" s="38" t="s">
        <v>572</v>
      </c>
      <c r="H288" s="39" t="s">
        <v>38</v>
      </c>
      <c r="I288" s="39" t="s">
        <v>573</v>
      </c>
      <c r="J288" s="40" t="s">
        <v>21</v>
      </c>
      <c r="K288" s="41" t="s">
        <v>22</v>
      </c>
      <c r="L288" s="42" t="s">
        <v>23</v>
      </c>
      <c r="M288" s="43" t="s">
        <v>24</v>
      </c>
      <c r="N288" s="42" t="s">
        <v>25</v>
      </c>
      <c r="O288" s="42" t="s">
        <v>21</v>
      </c>
      <c r="P288" s="44"/>
    </row>
    <row r="289" spans="1:16" customFormat="1" x14ac:dyDescent="0.25">
      <c r="A289" t="str">
        <f t="shared" si="4"/>
        <v>ALR_POMPA_PILOTA_AVVIATA-Allarme pompa pilota avviata</v>
      </c>
      <c r="B289" t="str">
        <f>VLOOKUP(A289,'EXPORT IRIS PROD 13-11-2024'!A:A,1,0)</f>
        <v>ALR_POMPA_PILOTA_AVVIATA-Allarme pompa pilota avviata</v>
      </c>
      <c r="C289" t="str">
        <f>VLOOKUP(F289,'EXPORT IRIS PROD 13-11-2024'!F:F,1,0)</f>
        <v>ALR_POMPA_PILOTA_AVVIATA</v>
      </c>
      <c r="D289" t="str">
        <f>VLOOKUP(G289,'EXPORT IRIS PROD 13-11-2024'!D:D,1,0)</f>
        <v>Allarme pompa pilota avviata</v>
      </c>
      <c r="E289" s="37" t="s">
        <v>298</v>
      </c>
      <c r="F289" s="38" t="s">
        <v>574</v>
      </c>
      <c r="G289" s="38" t="s">
        <v>575</v>
      </c>
      <c r="H289" s="39" t="s">
        <v>38</v>
      </c>
      <c r="I289" s="39" t="s">
        <v>573</v>
      </c>
      <c r="J289" s="40" t="s">
        <v>31</v>
      </c>
      <c r="K289" s="41" t="s">
        <v>32</v>
      </c>
      <c r="L289" s="43">
        <v>2</v>
      </c>
      <c r="M289" s="43" t="s">
        <v>33</v>
      </c>
      <c r="N289" s="42" t="s">
        <v>34</v>
      </c>
      <c r="O289" s="42" t="s">
        <v>31</v>
      </c>
      <c r="P289" s="44"/>
    </row>
    <row r="290" spans="1:16" customFormat="1" x14ac:dyDescent="0.25">
      <c r="A290" t="str">
        <f t="shared" si="4"/>
        <v>ALR_PORTA-Allarme porta aperta bypass</v>
      </c>
      <c r="B290" t="str">
        <f>VLOOKUP(A290,'EXPORT IRIS PROD 13-11-2024'!A:A,1,0)</f>
        <v>ALR_PORTA-Allarme porta aperta bypass</v>
      </c>
      <c r="C290" t="str">
        <f>VLOOKUP(F290,'EXPORT IRIS PROD 13-11-2024'!F:F,1,0)</f>
        <v>ALR_PORTA</v>
      </c>
      <c r="D290" t="str">
        <f>VLOOKUP(G290,'EXPORT IRIS PROD 13-11-2024'!D:D,1,0)</f>
        <v>Allarme porta aperta bypass</v>
      </c>
      <c r="E290" s="37" t="s">
        <v>576</v>
      </c>
      <c r="F290" s="38" t="s">
        <v>577</v>
      </c>
      <c r="G290" s="45" t="s">
        <v>578</v>
      </c>
      <c r="H290" s="46" t="s">
        <v>274</v>
      </c>
      <c r="I290" s="46" t="s">
        <v>579</v>
      </c>
      <c r="J290" s="47" t="s">
        <v>31</v>
      </c>
      <c r="K290" s="48" t="s">
        <v>32</v>
      </c>
      <c r="L290" s="43">
        <v>2</v>
      </c>
      <c r="M290" s="43" t="s">
        <v>157</v>
      </c>
      <c r="N290" s="43" t="s">
        <v>158</v>
      </c>
      <c r="O290" s="42" t="s">
        <v>21</v>
      </c>
      <c r="P290" s="49"/>
    </row>
    <row r="291" spans="1:16" customFormat="1" x14ac:dyDescent="0.25">
      <c r="A291" t="str">
        <f t="shared" si="4"/>
        <v>ALR_PORTA_ESTINTORI-Allarme porta estintore aperta</v>
      </c>
      <c r="B291" t="str">
        <f>VLOOKUP(A291,'EXPORT IRIS PROD 13-11-2024'!A:A,1,0)</f>
        <v>ALR_PORTA_ESTINTORI-Allarme porta estintore aperta</v>
      </c>
      <c r="C291" t="str">
        <f>VLOOKUP(F291,'EXPORT IRIS PROD 13-11-2024'!F:F,1,0)</f>
        <v>ALR_PORTA_ESTINTORI</v>
      </c>
      <c r="D291" t="str">
        <f>VLOOKUP(G291,'EXPORT IRIS PROD 13-11-2024'!D:D,1,0)</f>
        <v>Allarme porta estintore aperta</v>
      </c>
      <c r="E291" s="37" t="s">
        <v>26</v>
      </c>
      <c r="F291" s="38" t="s">
        <v>580</v>
      </c>
      <c r="G291" s="38" t="s">
        <v>581</v>
      </c>
      <c r="H291" s="39" t="s">
        <v>29</v>
      </c>
      <c r="I291" s="50" t="s">
        <v>30</v>
      </c>
      <c r="J291" s="40" t="s">
        <v>31</v>
      </c>
      <c r="K291" s="41" t="s">
        <v>32</v>
      </c>
      <c r="L291" s="43">
        <v>1</v>
      </c>
      <c r="M291" s="43" t="s">
        <v>24</v>
      </c>
      <c r="N291" s="42" t="s">
        <v>25</v>
      </c>
      <c r="O291" s="42" t="s">
        <v>21</v>
      </c>
      <c r="P291" s="52"/>
    </row>
    <row r="292" spans="1:16" customFormat="1" x14ac:dyDescent="0.25">
      <c r="A292" t="str">
        <f t="shared" si="4"/>
        <v>ALR_PORTA_IN_ERRORE-Allarme porta in errore RACK</v>
      </c>
      <c r="B292" t="str">
        <f>VLOOKUP(A292,'EXPORT IRIS PROD 13-11-2024'!A:A,1,0)</f>
        <v>ALR_PORTA_IN_ERRORE-Allarme porta in errore RACK</v>
      </c>
      <c r="C292" t="str">
        <f>VLOOKUP(F292,'EXPORT IRIS PROD 13-11-2024'!F:F,1,0)</f>
        <v>ALR_PORTA_IN_ERRORE</v>
      </c>
      <c r="D292" t="str">
        <f>VLOOKUP(G292,'EXPORT IRIS PROD 13-11-2024'!D:D,1,0)</f>
        <v>Allarme porta in errore RACK</v>
      </c>
      <c r="E292" s="37" t="s">
        <v>16</v>
      </c>
      <c r="F292" s="38" t="s">
        <v>582</v>
      </c>
      <c r="G292" s="38" t="s">
        <v>583</v>
      </c>
      <c r="H292" s="39" t="s">
        <v>19</v>
      </c>
      <c r="I292" s="39" t="s">
        <v>584</v>
      </c>
      <c r="J292" s="40" t="s">
        <v>21</v>
      </c>
      <c r="K292" s="41" t="s">
        <v>22</v>
      </c>
      <c r="L292" s="42" t="s">
        <v>23</v>
      </c>
      <c r="M292" s="43" t="s">
        <v>24</v>
      </c>
      <c r="N292" s="42" t="s">
        <v>25</v>
      </c>
      <c r="O292" s="42" t="s">
        <v>21</v>
      </c>
      <c r="P292" s="44"/>
    </row>
    <row r="293" spans="1:16" customFormat="1" x14ac:dyDescent="0.25">
      <c r="A293" t="str">
        <f t="shared" si="4"/>
        <v>ALR_PORTA_LOCALI-Allarme porta aperta locali</v>
      </c>
      <c r="B293" t="str">
        <f>VLOOKUP(A293,'EXPORT IRIS PROD 13-11-2024'!A:A,1,0)</f>
        <v>ALR_PORTA_LOCALI-Allarme porta aperta locali</v>
      </c>
      <c r="C293" t="str">
        <f>VLOOKUP(F293,'EXPORT IRIS PROD 13-11-2024'!F:F,1,0)</f>
        <v>ALR_PORTA_LOCALI</v>
      </c>
      <c r="D293" t="str">
        <f>VLOOKUP(G293,'EXPORT IRIS PROD 13-11-2024'!D:D,1,0)</f>
        <v>Allarme porta aperta locali</v>
      </c>
      <c r="E293" s="37" t="s">
        <v>468</v>
      </c>
      <c r="F293" s="38" t="s">
        <v>585</v>
      </c>
      <c r="G293" s="38" t="s">
        <v>586</v>
      </c>
      <c r="H293" s="39" t="s">
        <v>385</v>
      </c>
      <c r="I293" s="39" t="s">
        <v>587</v>
      </c>
      <c r="J293" s="40" t="s">
        <v>31</v>
      </c>
      <c r="K293" s="41" t="s">
        <v>32</v>
      </c>
      <c r="L293" s="43">
        <v>2</v>
      </c>
      <c r="M293" s="43" t="s">
        <v>33</v>
      </c>
      <c r="N293" s="42" t="s">
        <v>34</v>
      </c>
      <c r="O293" s="42" t="s">
        <v>31</v>
      </c>
      <c r="P293" s="44"/>
    </row>
    <row r="294" spans="1:16" customFormat="1" x14ac:dyDescent="0.25">
      <c r="A294" t="str">
        <f t="shared" si="4"/>
        <v>ALR_PORTA_MANICHETTA-Allarme porta manichetta aperta</v>
      </c>
      <c r="B294" t="str">
        <f>VLOOKUP(A294,'EXPORT IRIS PROD 13-11-2024'!A:A,1,0)</f>
        <v>ALR_PORTA_MANICHETTA-Allarme porta manichetta aperta</v>
      </c>
      <c r="C294" t="str">
        <f>VLOOKUP(F294,'EXPORT IRIS PROD 13-11-2024'!F:F,1,0)</f>
        <v>ALR_PORTA_MANICHETTA</v>
      </c>
      <c r="D294" t="str">
        <f>VLOOKUP(G294,'EXPORT IRIS PROD 13-11-2024'!D:D,1,0)</f>
        <v>Allarme porta manichetta aperta</v>
      </c>
      <c r="E294" s="37" t="s">
        <v>26</v>
      </c>
      <c r="F294" s="38" t="s">
        <v>588</v>
      </c>
      <c r="G294" s="45" t="s">
        <v>589</v>
      </c>
      <c r="H294" s="46" t="s">
        <v>29</v>
      </c>
      <c r="I294" s="46" t="s">
        <v>30</v>
      </c>
      <c r="J294" s="47" t="s">
        <v>31</v>
      </c>
      <c r="K294" s="48" t="s">
        <v>32</v>
      </c>
      <c r="L294" s="43">
        <v>1</v>
      </c>
      <c r="M294" s="43" t="s">
        <v>24</v>
      </c>
      <c r="N294" s="43" t="s">
        <v>25</v>
      </c>
      <c r="O294" s="42" t="s">
        <v>21</v>
      </c>
      <c r="P294" s="49"/>
    </row>
    <row r="295" spans="1:16" customFormat="1" x14ac:dyDescent="0.25">
      <c r="A295" t="str">
        <f t="shared" si="4"/>
        <v>ALR_PORTA_MANICHETTA-Allarme porta manichetta aperta</v>
      </c>
      <c r="B295" t="str">
        <f>VLOOKUP(A295,'EXPORT IRIS PROD 13-11-2024'!A:A,1,0)</f>
        <v>ALR_PORTA_MANICHETTA-Allarme porta manichetta aperta</v>
      </c>
      <c r="C295" t="str">
        <f>VLOOKUP(F295,'EXPORT IRIS PROD 13-11-2024'!F:F,1,0)</f>
        <v>ALR_PORTA_MANICHETTA</v>
      </c>
      <c r="D295" t="str">
        <f>VLOOKUP(G295,'EXPORT IRIS PROD 13-11-2024'!D:D,1,0)</f>
        <v>Allarme porta manichetta aperta</v>
      </c>
      <c r="E295" s="37" t="s">
        <v>26</v>
      </c>
      <c r="F295" s="38" t="s">
        <v>588</v>
      </c>
      <c r="G295" s="45" t="s">
        <v>589</v>
      </c>
      <c r="H295" s="46" t="s">
        <v>29</v>
      </c>
      <c r="I295" s="46" t="s">
        <v>590</v>
      </c>
      <c r="J295" s="47" t="s">
        <v>31</v>
      </c>
      <c r="K295" s="48" t="s">
        <v>32</v>
      </c>
      <c r="L295" s="43">
        <v>1</v>
      </c>
      <c r="M295" s="43" t="s">
        <v>24</v>
      </c>
      <c r="N295" s="43" t="s">
        <v>25</v>
      </c>
      <c r="O295" s="42" t="s">
        <v>21</v>
      </c>
      <c r="P295" s="49"/>
    </row>
    <row r="296" spans="1:16" customFormat="1" x14ac:dyDescent="0.25">
      <c r="A296" t="str">
        <f t="shared" si="4"/>
        <v>ALR_PORTA_PLC-Allarme porta PLC RIO aperta</v>
      </c>
      <c r="B296" t="str">
        <f>VLOOKUP(A296,'EXPORT IRIS PROD 13-11-2024'!A:A,1,0)</f>
        <v>ALR_PORTA_PLC-Allarme porta PLC RIO aperta</v>
      </c>
      <c r="C296" t="str">
        <f>VLOOKUP(F296,'EXPORT IRIS PROD 13-11-2024'!F:F,1,0)</f>
        <v>ALR_PORTA_PLC</v>
      </c>
      <c r="D296" t="str">
        <f>VLOOKUP(G296,'EXPORT IRIS PROD 13-11-2024'!D:D,1,0)</f>
        <v>Allarme porta PLC RIO aperta</v>
      </c>
      <c r="E296" s="37" t="s">
        <v>89</v>
      </c>
      <c r="F296" s="38" t="s">
        <v>591</v>
      </c>
      <c r="G296" s="38" t="s">
        <v>592</v>
      </c>
      <c r="H296" s="39" t="s">
        <v>29</v>
      </c>
      <c r="I296" s="39" t="s">
        <v>30</v>
      </c>
      <c r="J296" s="40" t="s">
        <v>21</v>
      </c>
      <c r="K296" s="41" t="s">
        <v>22</v>
      </c>
      <c r="L296" s="42" t="s">
        <v>23</v>
      </c>
      <c r="M296" s="43" t="s">
        <v>24</v>
      </c>
      <c r="N296" s="42" t="s">
        <v>25</v>
      </c>
      <c r="O296" s="42" t="s">
        <v>21</v>
      </c>
      <c r="P296" s="44"/>
    </row>
    <row r="297" spans="1:16" customFormat="1" x14ac:dyDescent="0.25">
      <c r="A297" t="str">
        <f t="shared" si="4"/>
        <v>ALR_PORTA_TELEFONO-Allarme porta telefono aperta</v>
      </c>
      <c r="B297" t="str">
        <f>VLOOKUP(A297,'EXPORT IRIS PROD 13-11-2024'!A:A,1,0)</f>
        <v>ALR_PORTA_TELEFONO-Allarme porta telefono aperta</v>
      </c>
      <c r="C297" t="str">
        <f>VLOOKUP(F297,'EXPORT IRIS PROD 13-11-2024'!F:F,1,0)</f>
        <v>ALR_PORTA_TELEFONO</v>
      </c>
      <c r="D297" t="str">
        <f>VLOOKUP(G297,'EXPORT IRIS PROD 13-11-2024'!D:D,1,0)</f>
        <v>Allarme porta telefono aperta</v>
      </c>
      <c r="E297" s="37" t="s">
        <v>89</v>
      </c>
      <c r="F297" s="38" t="s">
        <v>593</v>
      </c>
      <c r="G297" s="38" t="s">
        <v>594</v>
      </c>
      <c r="H297" s="39" t="s">
        <v>29</v>
      </c>
      <c r="I297" s="39" t="s">
        <v>30</v>
      </c>
      <c r="J297" s="40" t="s">
        <v>21</v>
      </c>
      <c r="K297" s="41" t="s">
        <v>22</v>
      </c>
      <c r="L297" s="42" t="s">
        <v>23</v>
      </c>
      <c r="M297" s="43" t="s">
        <v>24</v>
      </c>
      <c r="N297" s="42" t="s">
        <v>25</v>
      </c>
      <c r="O297" s="42" t="s">
        <v>21</v>
      </c>
      <c r="P297" s="44"/>
    </row>
    <row r="298" spans="1:16" customFormat="1" ht="15.6" customHeight="1" x14ac:dyDescent="0.25">
      <c r="A298" t="str">
        <f t="shared" si="4"/>
        <v>ALR_POTENZA_INVERSA_ALTERNATORE-Allarme potenza inversa alternatore</v>
      </c>
      <c r="B298" t="str">
        <f>VLOOKUP(A298,'EXPORT IRIS PROD 13-11-2024'!A:A,1,0)</f>
        <v>ALR_POTENZA_INVERSA_ALTERNATORE-Allarme potenza inversa alternatore</v>
      </c>
      <c r="C298" t="str">
        <f>VLOOKUP(F298,'EXPORT IRIS PROD 13-11-2024'!F:F,1,0)</f>
        <v>ALR_POTENZA_INVERSA_ALTERNATORE</v>
      </c>
      <c r="D298" t="str">
        <f>VLOOKUP(G298,'EXPORT IRIS PROD 13-11-2024'!D:D,1,0)</f>
        <v>Allarme potenza inversa alternatore</v>
      </c>
      <c r="E298" s="37" t="s">
        <v>53</v>
      </c>
      <c r="F298" s="38" t="s">
        <v>595</v>
      </c>
      <c r="G298" s="38" t="s">
        <v>596</v>
      </c>
      <c r="H298" s="39" t="s">
        <v>56</v>
      </c>
      <c r="I298" s="39" t="s">
        <v>57</v>
      </c>
      <c r="J298" s="40" t="s">
        <v>21</v>
      </c>
      <c r="K298" s="41" t="s">
        <v>22</v>
      </c>
      <c r="L298" s="42" t="s">
        <v>23</v>
      </c>
      <c r="M298" s="43" t="s">
        <v>24</v>
      </c>
      <c r="N298" s="42" t="s">
        <v>25</v>
      </c>
      <c r="O298" s="42" t="s">
        <v>21</v>
      </c>
      <c r="P298" s="44"/>
    </row>
    <row r="299" spans="1:16" customFormat="1" x14ac:dyDescent="0.25">
      <c r="A299" t="str">
        <f t="shared" si="4"/>
        <v>ALR_PREALLARME_ALLAGAMENTO-Preallarme allagamento</v>
      </c>
      <c r="B299" t="str">
        <f>VLOOKUP(A299,'EXPORT IRIS PROD 13-11-2024'!A:A,1,0)</f>
        <v>ALR_PREALLARME_ALLAGAMENTO-Preallarme allagamento</v>
      </c>
      <c r="C299" t="str">
        <f>VLOOKUP(F299,'EXPORT IRIS PROD 13-11-2024'!F:F,1,0)</f>
        <v>ALR_PREALLARME_ALLAGAMENTO</v>
      </c>
      <c r="D299" t="str">
        <f>VLOOKUP(G299,'EXPORT IRIS PROD 13-11-2024'!D:D,1,0)</f>
        <v>Preallarme allagamento</v>
      </c>
      <c r="E299" s="37" t="s">
        <v>70</v>
      </c>
      <c r="F299" s="38" t="s">
        <v>597</v>
      </c>
      <c r="G299" s="45" t="s">
        <v>598</v>
      </c>
      <c r="H299" s="46" t="s">
        <v>73</v>
      </c>
      <c r="I299" s="46" t="s">
        <v>599</v>
      </c>
      <c r="J299" s="47" t="s">
        <v>31</v>
      </c>
      <c r="K299" s="48" t="s">
        <v>32</v>
      </c>
      <c r="L299" s="43">
        <v>2</v>
      </c>
      <c r="M299" s="43" t="s">
        <v>157</v>
      </c>
      <c r="N299" s="43" t="s">
        <v>158</v>
      </c>
      <c r="O299" s="42" t="s">
        <v>21</v>
      </c>
      <c r="P299" s="49"/>
    </row>
    <row r="300" spans="1:16" customFormat="1" x14ac:dyDescent="0.25">
      <c r="A300" t="str">
        <f t="shared" si="4"/>
        <v>ALR_PREALLARME_TRAFO-Preallarme temperatura trafo</v>
      </c>
      <c r="B300" t="str">
        <f>VLOOKUP(A300,'EXPORT IRIS PROD 13-11-2024'!A:A,1,0)</f>
        <v>ALR_PREALLARME_TRAFO-Preallarme temperatura trafo</v>
      </c>
      <c r="C300" t="str">
        <f>VLOOKUP(F300,'EXPORT IRIS PROD 13-11-2024'!F:F,1,0)</f>
        <v>ALR_PREALLARME_TRAFO</v>
      </c>
      <c r="D300" t="str">
        <f>VLOOKUP(G300,'EXPORT IRIS PROD 13-11-2024'!D:D,1,0)</f>
        <v>Preallarme temperatura trafo</v>
      </c>
      <c r="E300" s="37" t="s">
        <v>53</v>
      </c>
      <c r="F300" s="38" t="s">
        <v>600</v>
      </c>
      <c r="G300" s="38" t="s">
        <v>601</v>
      </c>
      <c r="H300" s="39" t="s">
        <v>56</v>
      </c>
      <c r="I300" s="39" t="s">
        <v>208</v>
      </c>
      <c r="J300" s="40" t="s">
        <v>21</v>
      </c>
      <c r="K300" s="41" t="s">
        <v>22</v>
      </c>
      <c r="L300" s="42" t="s">
        <v>23</v>
      </c>
      <c r="M300" s="43" t="s">
        <v>24</v>
      </c>
      <c r="N300" s="42" t="s">
        <v>25</v>
      </c>
      <c r="O300" s="42" t="s">
        <v>21</v>
      </c>
      <c r="P300" s="44"/>
    </row>
    <row r="301" spans="1:16" customFormat="1" x14ac:dyDescent="0.25">
      <c r="A301" t="str">
        <f t="shared" si="4"/>
        <v>ALR_PRESSIONE-Allarme alta pressione Gruppo Elettrogeno Allarme pressione</v>
      </c>
      <c r="B301" s="86" t="e">
        <f>VLOOKUP(A301,'EXPORT IRIS PROD 13-11-2024'!A:A,1,0)</f>
        <v>#N/A</v>
      </c>
      <c r="C301" t="str">
        <f>VLOOKUP(F301,'EXPORT IRIS PROD 13-11-2024'!F:F,1,0)</f>
        <v>ALR_PRESSIONE</v>
      </c>
      <c r="D301" t="e">
        <f>VLOOKUP(G301,'EXPORT IRIS PROD 13-11-2024'!D:D,1,0)</f>
        <v>#N/A</v>
      </c>
      <c r="E301" s="37" t="s">
        <v>53</v>
      </c>
      <c r="F301" s="38" t="s">
        <v>602</v>
      </c>
      <c r="G301" s="38" t="s">
        <v>603</v>
      </c>
      <c r="H301" s="39" t="s">
        <v>56</v>
      </c>
      <c r="I301" s="39" t="s">
        <v>57</v>
      </c>
      <c r="J301" s="40" t="s">
        <v>21</v>
      </c>
      <c r="K301" s="41" t="s">
        <v>22</v>
      </c>
      <c r="L301" s="42" t="s">
        <v>23</v>
      </c>
      <c r="M301" s="43" t="s">
        <v>24</v>
      </c>
      <c r="N301" s="42" t="s">
        <v>25</v>
      </c>
      <c r="O301" s="42" t="s">
        <v>21</v>
      </c>
      <c r="P301" s="44"/>
    </row>
    <row r="302" spans="1:16" customFormat="1" x14ac:dyDescent="0.25">
      <c r="A302" t="str">
        <f t="shared" si="4"/>
        <v>ALR_PROGRAMMA_CENTRALINA-Allarme programma centralina</v>
      </c>
      <c r="B302" t="str">
        <f>VLOOKUP(A302,'EXPORT IRIS PROD 13-11-2024'!A:A,1,0)</f>
        <v>ALR_PROGRAMMA_CENTRALINA-Allarme programma centralina</v>
      </c>
      <c r="C302" t="str">
        <f>VLOOKUP(F302,'EXPORT IRIS PROD 13-11-2024'!F:F,1,0)</f>
        <v>ALR_PROGRAMMA_CENTRALINA</v>
      </c>
      <c r="D302" t="str">
        <f>VLOOKUP(G302,'EXPORT IRIS PROD 13-11-2024'!D:D,1,0)</f>
        <v>Allarme programma centralina</v>
      </c>
      <c r="E302" s="37" t="s">
        <v>105</v>
      </c>
      <c r="F302" s="38" t="s">
        <v>604</v>
      </c>
      <c r="G302" s="38" t="s">
        <v>605</v>
      </c>
      <c r="H302" s="39" t="s">
        <v>43</v>
      </c>
      <c r="I302" s="39" t="s">
        <v>108</v>
      </c>
      <c r="J302" s="40" t="s">
        <v>21</v>
      </c>
      <c r="K302" s="41" t="s">
        <v>22</v>
      </c>
      <c r="L302" s="42" t="s">
        <v>23</v>
      </c>
      <c r="M302" s="43" t="s">
        <v>24</v>
      </c>
      <c r="N302" s="42" t="s">
        <v>25</v>
      </c>
      <c r="O302" s="42" t="s">
        <v>21</v>
      </c>
      <c r="P302" s="44"/>
    </row>
    <row r="303" spans="1:16" customFormat="1" x14ac:dyDescent="0.25">
      <c r="A303" t="str">
        <f t="shared" si="4"/>
        <v>ALR_PROTEZIONE_COMANDO_AVANTI-Allarme protezione comando avanti</v>
      </c>
      <c r="B303" t="str">
        <f>VLOOKUP(A303,'EXPORT IRIS PROD 13-11-2024'!A:A,1,0)</f>
        <v>ALR_PROTEZIONE_COMANDO_AVANTI-Allarme protezione comando avanti</v>
      </c>
      <c r="C303" t="str">
        <f>VLOOKUP(F303,'EXPORT IRIS PROD 13-11-2024'!F:F,1,0)</f>
        <v>ALR_PROTEZIONE_COMANDO_AVANTI</v>
      </c>
      <c r="D303" t="str">
        <f>VLOOKUP(G303,'EXPORT IRIS PROD 13-11-2024'!D:D,1,0)</f>
        <v>Allarme protezione comando avanti</v>
      </c>
      <c r="E303" s="37" t="s">
        <v>85</v>
      </c>
      <c r="F303" s="38" t="s">
        <v>606</v>
      </c>
      <c r="G303" s="38" t="s">
        <v>607</v>
      </c>
      <c r="H303" s="39" t="s">
        <v>50</v>
      </c>
      <c r="I303" s="39" t="s">
        <v>124</v>
      </c>
      <c r="J303" s="40" t="s">
        <v>21</v>
      </c>
      <c r="K303" s="41" t="s">
        <v>22</v>
      </c>
      <c r="L303" s="42" t="s">
        <v>23</v>
      </c>
      <c r="M303" s="43" t="s">
        <v>24</v>
      </c>
      <c r="N303" s="42" t="s">
        <v>25</v>
      </c>
      <c r="O303" s="42" t="s">
        <v>21</v>
      </c>
      <c r="P303" s="44"/>
    </row>
    <row r="304" spans="1:16" customFormat="1" x14ac:dyDescent="0.25">
      <c r="A304" t="str">
        <f t="shared" si="4"/>
        <v>ALR_PROTEZIONE_COMANDO_INDIETRO-Allarme protezione comando indietro</v>
      </c>
      <c r="B304" t="str">
        <f>VLOOKUP(A304,'EXPORT IRIS PROD 13-11-2024'!A:A,1,0)</f>
        <v>ALR_PROTEZIONE_COMANDO_INDIETRO-Allarme protezione comando indietro</v>
      </c>
      <c r="C304" t="str">
        <f>VLOOKUP(F304,'EXPORT IRIS PROD 13-11-2024'!F:F,1,0)</f>
        <v>ALR_PROTEZIONE_COMANDO_INDIETRO</v>
      </c>
      <c r="D304" t="str">
        <f>VLOOKUP(G304,'EXPORT IRIS PROD 13-11-2024'!D:D,1,0)</f>
        <v>Allarme protezione comando indietro</v>
      </c>
      <c r="E304" s="37" t="s">
        <v>85</v>
      </c>
      <c r="F304" s="38" t="s">
        <v>608</v>
      </c>
      <c r="G304" s="38" t="s">
        <v>609</v>
      </c>
      <c r="H304" s="39" t="s">
        <v>50</v>
      </c>
      <c r="I304" s="39" t="s">
        <v>124</v>
      </c>
      <c r="J304" s="40" t="s">
        <v>21</v>
      </c>
      <c r="K304" s="41" t="s">
        <v>22</v>
      </c>
      <c r="L304" s="42" t="s">
        <v>23</v>
      </c>
      <c r="M304" s="43" t="s">
        <v>24</v>
      </c>
      <c r="N304" s="42" t="s">
        <v>25</v>
      </c>
      <c r="O304" s="42" t="s">
        <v>21</v>
      </c>
      <c r="P304" s="44"/>
    </row>
    <row r="305" spans="1:16" customFormat="1" x14ac:dyDescent="0.25">
      <c r="A305" t="str">
        <f t="shared" si="4"/>
        <v>ALR_PROTEZIONE_GALLERIA_CANNA_NORD-Allarme protezione galleria canna Nord</v>
      </c>
      <c r="B305" t="str">
        <f>VLOOKUP(A305,'EXPORT IRIS PROD 13-11-2024'!A:A,1,0)</f>
        <v>ALR_PROTEZIONE_GALLERIA_CANNA_NORD-Allarme protezione galleria canna Nord</v>
      </c>
      <c r="C305" t="str">
        <f>VLOOKUP(F305,'EXPORT IRIS PROD 13-11-2024'!F:F,1,0)</f>
        <v>ALR_PROTEZIONE_GALLERIA_CANNA_NORD</v>
      </c>
      <c r="D305" t="str">
        <f>VLOOKUP(G305,'EXPORT IRIS PROD 13-11-2024'!D:D,1,0)</f>
        <v>Allarme protezione galleria canna Nord</v>
      </c>
      <c r="E305" s="37" t="s">
        <v>53</v>
      </c>
      <c r="F305" s="38" t="s">
        <v>610</v>
      </c>
      <c r="G305" s="38" t="s">
        <v>611</v>
      </c>
      <c r="H305" s="39" t="s">
        <v>56</v>
      </c>
      <c r="I305" s="39" t="s">
        <v>114</v>
      </c>
      <c r="J305" s="40" t="s">
        <v>21</v>
      </c>
      <c r="K305" s="41" t="s">
        <v>22</v>
      </c>
      <c r="L305" s="42" t="s">
        <v>23</v>
      </c>
      <c r="M305" s="43" t="s">
        <v>24</v>
      </c>
      <c r="N305" s="42" t="s">
        <v>25</v>
      </c>
      <c r="O305" s="42" t="s">
        <v>21</v>
      </c>
      <c r="P305" s="44"/>
    </row>
    <row r="306" spans="1:16" customFormat="1" x14ac:dyDescent="0.25">
      <c r="A306" t="str">
        <f t="shared" si="4"/>
        <v>ALR_PROTEZIONE_GALLERIA_CANNA_SUD-Allarme protezione galleria canna Sud</v>
      </c>
      <c r="B306" t="str">
        <f>VLOOKUP(A306,'EXPORT IRIS PROD 13-11-2024'!A:A,1,0)</f>
        <v>ALR_PROTEZIONE_GALLERIA_CANNA_SUD-Allarme protezione galleria canna Sud</v>
      </c>
      <c r="C306" t="str">
        <f>VLOOKUP(F306,'EXPORT IRIS PROD 13-11-2024'!F:F,1,0)</f>
        <v>ALR_PROTEZIONE_GALLERIA_CANNA_SUD</v>
      </c>
      <c r="D306" t="str">
        <f>VLOOKUP(G306,'EXPORT IRIS PROD 13-11-2024'!D:D,1,0)</f>
        <v>Allarme protezione galleria canna Sud</v>
      </c>
      <c r="E306" s="37" t="s">
        <v>53</v>
      </c>
      <c r="F306" s="38" t="s">
        <v>612</v>
      </c>
      <c r="G306" s="38" t="s">
        <v>613</v>
      </c>
      <c r="H306" s="39" t="s">
        <v>56</v>
      </c>
      <c r="I306" s="39" t="s">
        <v>114</v>
      </c>
      <c r="J306" s="40" t="s">
        <v>21</v>
      </c>
      <c r="K306" s="41" t="s">
        <v>22</v>
      </c>
      <c r="L306" s="42" t="s">
        <v>23</v>
      </c>
      <c r="M306" s="43" t="s">
        <v>24</v>
      </c>
      <c r="N306" s="42" t="s">
        <v>25</v>
      </c>
      <c r="O306" s="42" t="s">
        <v>21</v>
      </c>
      <c r="P306" s="44"/>
    </row>
    <row r="307" spans="1:16" customFormat="1" x14ac:dyDescent="0.25">
      <c r="A307" t="str">
        <f t="shared" si="4"/>
        <v>ALR_PROTEZIONE_USCITA_CANNA_NORD-Allarme protezione uscita canna Nord</v>
      </c>
      <c r="B307" t="str">
        <f>VLOOKUP(A307,'EXPORT IRIS PROD 13-11-2024'!A:A,1,0)</f>
        <v>ALR_PROTEZIONE_USCITA_CANNA_NORD-Allarme protezione uscita canna Nord</v>
      </c>
      <c r="C307" t="str">
        <f>VLOOKUP(F307,'EXPORT IRIS PROD 13-11-2024'!F:F,1,0)</f>
        <v>ALR_PROTEZIONE_USCITA_CANNA_NORD</v>
      </c>
      <c r="D307" t="str">
        <f>VLOOKUP(G307,'EXPORT IRIS PROD 13-11-2024'!D:D,1,0)</f>
        <v>Allarme protezione uscita canna Nord</v>
      </c>
      <c r="E307" s="37" t="s">
        <v>53</v>
      </c>
      <c r="F307" s="38" t="s">
        <v>614</v>
      </c>
      <c r="G307" s="38" t="s">
        <v>615</v>
      </c>
      <c r="H307" s="39" t="s">
        <v>56</v>
      </c>
      <c r="I307" s="39" t="s">
        <v>114</v>
      </c>
      <c r="J307" s="40" t="s">
        <v>21</v>
      </c>
      <c r="K307" s="41" t="s">
        <v>22</v>
      </c>
      <c r="L307" s="42" t="s">
        <v>23</v>
      </c>
      <c r="M307" s="43" t="s">
        <v>24</v>
      </c>
      <c r="N307" s="42" t="s">
        <v>25</v>
      </c>
      <c r="O307" s="42" t="s">
        <v>21</v>
      </c>
      <c r="P307" s="44"/>
    </row>
    <row r="308" spans="1:16" customFormat="1" x14ac:dyDescent="0.25">
      <c r="A308" t="str">
        <f t="shared" si="4"/>
        <v>ALR_PROTEZIONE_USCITA_CANNA_SUD-Allarme protezione uscita canna Sud</v>
      </c>
      <c r="B308" t="str">
        <f>VLOOKUP(A308,'EXPORT IRIS PROD 13-11-2024'!A:A,1,0)</f>
        <v>ALR_PROTEZIONE_USCITA_CANNA_SUD-Allarme protezione uscita canna Sud</v>
      </c>
      <c r="C308" t="str">
        <f>VLOOKUP(F308,'EXPORT IRIS PROD 13-11-2024'!F:F,1,0)</f>
        <v>ALR_PROTEZIONE_USCITA_CANNA_SUD</v>
      </c>
      <c r="D308" t="str">
        <f>VLOOKUP(G308,'EXPORT IRIS PROD 13-11-2024'!D:D,1,0)</f>
        <v>Allarme protezione uscita canna Sud</v>
      </c>
      <c r="E308" s="37" t="s">
        <v>53</v>
      </c>
      <c r="F308" s="38" t="s">
        <v>616</v>
      </c>
      <c r="G308" s="38" t="s">
        <v>617</v>
      </c>
      <c r="H308" s="39" t="s">
        <v>56</v>
      </c>
      <c r="I308" s="39" t="s">
        <v>114</v>
      </c>
      <c r="J308" s="40" t="s">
        <v>21</v>
      </c>
      <c r="K308" s="41" t="s">
        <v>22</v>
      </c>
      <c r="L308" s="42" t="s">
        <v>23</v>
      </c>
      <c r="M308" s="43" t="s">
        <v>24</v>
      </c>
      <c r="N308" s="42" t="s">
        <v>25</v>
      </c>
      <c r="O308" s="42" t="s">
        <v>21</v>
      </c>
      <c r="P308" s="44"/>
    </row>
    <row r="309" spans="1:16" x14ac:dyDescent="0.25">
      <c r="A309" t="str">
        <f t="shared" si="4"/>
        <v>ALR_REGOLATORE-Allarme guasto regolatore</v>
      </c>
      <c r="B309" t="str">
        <f>VLOOKUP(A309,'EXPORT IRIS PROD 13-11-2024'!A:A,1,0)</f>
        <v>ALR_REGOLATORE-Allarme guasto regolatore</v>
      </c>
      <c r="C309" t="str">
        <f>VLOOKUP(F309,'EXPORT IRIS PROD 13-11-2024'!F:F,1,0)</f>
        <v>ALR_REGOLATORE</v>
      </c>
      <c r="D309" t="str">
        <f>VLOOKUP(G309,'EXPORT IRIS PROD 13-11-2024'!D:D,1,0)</f>
        <v>Allarme guasto regolatore</v>
      </c>
      <c r="E309" s="37" t="s">
        <v>115</v>
      </c>
      <c r="F309" s="38" t="s">
        <v>618</v>
      </c>
      <c r="G309" s="38" t="s">
        <v>619</v>
      </c>
      <c r="H309" s="39" t="s">
        <v>116</v>
      </c>
      <c r="I309" s="39" t="s">
        <v>256</v>
      </c>
      <c r="J309" s="40" t="s">
        <v>21</v>
      </c>
      <c r="K309" s="41" t="s">
        <v>22</v>
      </c>
      <c r="L309" s="42" t="s">
        <v>23</v>
      </c>
      <c r="M309" s="43" t="s">
        <v>24</v>
      </c>
      <c r="N309" s="42" t="s">
        <v>25</v>
      </c>
      <c r="O309" s="42" t="s">
        <v>21</v>
      </c>
      <c r="P309" s="44"/>
    </row>
    <row r="310" spans="1:16" customFormat="1" x14ac:dyDescent="0.25">
      <c r="A310" t="str">
        <f t="shared" si="4"/>
        <v>ALR_REGOLATORE_GUASTO-Allarme regolatore di flusso guasto</v>
      </c>
      <c r="B310" t="str">
        <f>VLOOKUP(A310,'EXPORT IRIS PROD 13-11-2024'!A:A,1,0)</f>
        <v>ALR_REGOLATORE_GUASTO-Allarme regolatore di flusso guasto</v>
      </c>
      <c r="C310" t="str">
        <f>VLOOKUP(F310,'EXPORT IRIS PROD 13-11-2024'!F:F,1,0)</f>
        <v>ALR_REGOLATORE_GUASTO</v>
      </c>
      <c r="D310" t="str">
        <f>VLOOKUP(G310,'EXPORT IRIS PROD 13-11-2024'!D:D,1,0)</f>
        <v>Allarme regolatore di flusso guasto</v>
      </c>
      <c r="E310" s="37" t="s">
        <v>115</v>
      </c>
      <c r="F310" s="38" t="s">
        <v>620</v>
      </c>
      <c r="G310" s="38" t="s">
        <v>621</v>
      </c>
      <c r="H310" s="39" t="s">
        <v>116</v>
      </c>
      <c r="I310" s="39" t="s">
        <v>256</v>
      </c>
      <c r="J310" s="40" t="s">
        <v>21</v>
      </c>
      <c r="K310" s="41" t="s">
        <v>22</v>
      </c>
      <c r="L310" s="42" t="s">
        <v>23</v>
      </c>
      <c r="M310" s="43" t="s">
        <v>24</v>
      </c>
      <c r="N310" s="42" t="s">
        <v>25</v>
      </c>
      <c r="O310" s="42" t="s">
        <v>21</v>
      </c>
      <c r="P310" s="44"/>
    </row>
    <row r="311" spans="1:16" customFormat="1" x14ac:dyDescent="0.25">
      <c r="A311" t="str">
        <f t="shared" si="4"/>
        <v>ALR_RELE_SEQUENZA_FASI_LINEA-Allarme sequenza fasi linea</v>
      </c>
      <c r="B311" t="str">
        <f>VLOOKUP(A311,'EXPORT IRIS PROD 13-11-2024'!A:A,1,0)</f>
        <v>ALR_RELE_SEQUENZA_FASI_LINEA-Allarme sequenza fasi linea</v>
      </c>
      <c r="C311" t="str">
        <f>VLOOKUP(F311,'EXPORT IRIS PROD 13-11-2024'!F:F,1,0)</f>
        <v>ALR_RELE_SEQUENZA_FASI_LINEA</v>
      </c>
      <c r="D311" t="str">
        <f>VLOOKUP(G311,'EXPORT IRIS PROD 13-11-2024'!D:D,1,0)</f>
        <v>Allarme sequenza fasi linea</v>
      </c>
      <c r="E311" s="37" t="s">
        <v>53</v>
      </c>
      <c r="F311" s="38" t="s">
        <v>622</v>
      </c>
      <c r="G311" s="38" t="s">
        <v>623</v>
      </c>
      <c r="H311" s="39" t="s">
        <v>56</v>
      </c>
      <c r="I311" s="39" t="s">
        <v>402</v>
      </c>
      <c r="J311" s="40" t="s">
        <v>21</v>
      </c>
      <c r="K311" s="41" t="s">
        <v>22</v>
      </c>
      <c r="L311" s="42" t="s">
        <v>23</v>
      </c>
      <c r="M311" s="43" t="s">
        <v>24</v>
      </c>
      <c r="N311" s="42" t="s">
        <v>25</v>
      </c>
      <c r="O311" s="42" t="s">
        <v>21</v>
      </c>
      <c r="P311" s="44"/>
    </row>
    <row r="312" spans="1:16" customFormat="1" x14ac:dyDescent="0.25">
      <c r="A312" t="str">
        <f t="shared" si="4"/>
        <v>ALR_RELE_SEQUENZA_FASI_PREFERENZIALE-Allarme sequenza fasi preferenziale</v>
      </c>
      <c r="B312" t="str">
        <f>VLOOKUP(A312,'EXPORT IRIS PROD 13-11-2024'!A:A,1,0)</f>
        <v>ALR_RELE_SEQUENZA_FASI_PREFERENZIALE-Allarme sequenza fasi preferenziale</v>
      </c>
      <c r="C312" t="str">
        <f>VLOOKUP(F312,'EXPORT IRIS PROD 13-11-2024'!F:F,1,0)</f>
        <v>ALR_RELE_SEQUENZA_FASI_PREFERENZIALE</v>
      </c>
      <c r="D312" t="str">
        <f>VLOOKUP(G312,'EXPORT IRIS PROD 13-11-2024'!D:D,1,0)</f>
        <v>Allarme sequenza fasi preferenziale</v>
      </c>
      <c r="E312" s="37" t="s">
        <v>53</v>
      </c>
      <c r="F312" s="38" t="s">
        <v>624</v>
      </c>
      <c r="G312" s="38" t="s">
        <v>625</v>
      </c>
      <c r="H312" s="39" t="s">
        <v>56</v>
      </c>
      <c r="I312" s="39" t="s">
        <v>402</v>
      </c>
      <c r="J312" s="40" t="s">
        <v>21</v>
      </c>
      <c r="K312" s="41" t="s">
        <v>22</v>
      </c>
      <c r="L312" s="42" t="s">
        <v>23</v>
      </c>
      <c r="M312" s="43" t="s">
        <v>24</v>
      </c>
      <c r="N312" s="42" t="s">
        <v>25</v>
      </c>
      <c r="O312" s="42" t="s">
        <v>21</v>
      </c>
      <c r="P312" s="44"/>
    </row>
    <row r="313" spans="1:16" customFormat="1" x14ac:dyDescent="0.25">
      <c r="A313" t="str">
        <f t="shared" si="4"/>
        <v>ALR_RESET-Allarme reset</v>
      </c>
      <c r="B313" t="str">
        <f>VLOOKUP(A313,'EXPORT IRIS PROD 13-11-2024'!A:A,1,0)</f>
        <v>ALR_RESET-Allarme reset</v>
      </c>
      <c r="C313" t="str">
        <f>VLOOKUP(F313,'EXPORT IRIS PROD 13-11-2024'!F:F,1,0)</f>
        <v>ALR_RESET</v>
      </c>
      <c r="D313" t="str">
        <f>VLOOKUP(G313,'EXPORT IRIS PROD 13-11-2024'!D:D,1,0)</f>
        <v>Allarme reset</v>
      </c>
      <c r="E313" s="37" t="s">
        <v>53</v>
      </c>
      <c r="F313" s="38" t="s">
        <v>626</v>
      </c>
      <c r="G313" s="38" t="s">
        <v>627</v>
      </c>
      <c r="H313" s="39" t="s">
        <v>56</v>
      </c>
      <c r="I313" s="39" t="s">
        <v>462</v>
      </c>
      <c r="J313" s="40" t="s">
        <v>21</v>
      </c>
      <c r="K313" s="41" t="s">
        <v>22</v>
      </c>
      <c r="L313" s="42" t="s">
        <v>23</v>
      </c>
      <c r="M313" s="43" t="s">
        <v>24</v>
      </c>
      <c r="N313" s="42" t="s">
        <v>25</v>
      </c>
      <c r="O313" s="42" t="s">
        <v>21</v>
      </c>
      <c r="P313" s="44"/>
    </row>
    <row r="314" spans="1:16" customFormat="1" x14ac:dyDescent="0.25">
      <c r="A314" t="str">
        <f t="shared" si="4"/>
        <v>ALR_RICHIESTA_MANUTENZIONE-Allarme richiesta manutenzione</v>
      </c>
      <c r="B314" t="str">
        <f>VLOOKUP(A314,'EXPORT IRIS PROD 13-11-2024'!A:A,1,0)</f>
        <v>ALR_RICHIESTA_MANUTENZIONE-Allarme richiesta manutenzione</v>
      </c>
      <c r="C314" t="str">
        <f>VLOOKUP(F314,'EXPORT IRIS PROD 13-11-2024'!F:F,1,0)</f>
        <v>ALR_RICHIESTA_MANUTENZIONE</v>
      </c>
      <c r="D314" t="str">
        <f>VLOOKUP(G314,'EXPORT IRIS PROD 13-11-2024'!D:D,1,0)</f>
        <v>Allarme richiesta manutenzione</v>
      </c>
      <c r="E314" s="37" t="s">
        <v>198</v>
      </c>
      <c r="F314" s="38" t="s">
        <v>628</v>
      </c>
      <c r="G314" s="38" t="s">
        <v>629</v>
      </c>
      <c r="H314" s="39" t="s">
        <v>201</v>
      </c>
      <c r="I314" s="39" t="s">
        <v>202</v>
      </c>
      <c r="J314" s="40" t="s">
        <v>21</v>
      </c>
      <c r="K314" s="41" t="s">
        <v>22</v>
      </c>
      <c r="L314" s="42" t="s">
        <v>23</v>
      </c>
      <c r="M314" s="43" t="s">
        <v>24</v>
      </c>
      <c r="N314" s="42" t="s">
        <v>25</v>
      </c>
      <c r="O314" s="42" t="s">
        <v>21</v>
      </c>
      <c r="P314" s="44"/>
    </row>
    <row r="315" spans="1:16" customFormat="1" x14ac:dyDescent="0.25">
      <c r="A315" t="str">
        <f t="shared" si="4"/>
        <v>ALR_RICHIESTA_MANUTENZIONE-Allarme richiesta manutenzione</v>
      </c>
      <c r="B315" t="str">
        <f>VLOOKUP(A315,'EXPORT IRIS PROD 13-11-2024'!A:A,1,0)</f>
        <v>ALR_RICHIESTA_MANUTENZIONE-Allarme richiesta manutenzione</v>
      </c>
      <c r="C315" t="str">
        <f>VLOOKUP(F315,'EXPORT IRIS PROD 13-11-2024'!F:F,1,0)</f>
        <v>ALR_RICHIESTA_MANUTENZIONE</v>
      </c>
      <c r="D315" t="str">
        <f>VLOOKUP(G315,'EXPORT IRIS PROD 13-11-2024'!D:D,1,0)</f>
        <v>Allarme richiesta manutenzione</v>
      </c>
      <c r="E315" s="37" t="s">
        <v>85</v>
      </c>
      <c r="F315" s="38" t="s">
        <v>628</v>
      </c>
      <c r="G315" s="38" t="s">
        <v>629</v>
      </c>
      <c r="H315" s="39" t="s">
        <v>50</v>
      </c>
      <c r="I315" s="39" t="s">
        <v>51</v>
      </c>
      <c r="J315" s="40" t="s">
        <v>21</v>
      </c>
      <c r="K315" s="41" t="s">
        <v>22</v>
      </c>
      <c r="L315" s="42" t="s">
        <v>23</v>
      </c>
      <c r="M315" s="43" t="s">
        <v>24</v>
      </c>
      <c r="N315" s="42" t="s">
        <v>25</v>
      </c>
      <c r="O315" s="42" t="s">
        <v>21</v>
      </c>
      <c r="P315" s="44"/>
    </row>
    <row r="316" spans="1:16" customFormat="1" x14ac:dyDescent="0.25">
      <c r="A316" t="str">
        <f t="shared" si="4"/>
        <v>ALR_RICHIESTA_MANUTENZIONE-Allarme richiesta manutenzione</v>
      </c>
      <c r="B316" t="str">
        <f>VLOOKUP(A316,'EXPORT IRIS PROD 13-11-2024'!A:A,1,0)</f>
        <v>ALR_RICHIESTA_MANUTENZIONE-Allarme richiesta manutenzione</v>
      </c>
      <c r="C316" t="str">
        <f>VLOOKUP(F316,'EXPORT IRIS PROD 13-11-2024'!F:F,1,0)</f>
        <v>ALR_RICHIESTA_MANUTENZIONE</v>
      </c>
      <c r="D316" t="str">
        <f>VLOOKUP(G316,'EXPORT IRIS PROD 13-11-2024'!D:D,1,0)</f>
        <v>Allarme richiesta manutenzione</v>
      </c>
      <c r="E316" s="37" t="s">
        <v>85</v>
      </c>
      <c r="F316" s="38" t="s">
        <v>628</v>
      </c>
      <c r="G316" s="38" t="s">
        <v>629</v>
      </c>
      <c r="H316" s="39" t="s">
        <v>50</v>
      </c>
      <c r="I316" s="39" t="s">
        <v>21</v>
      </c>
      <c r="J316" s="40" t="s">
        <v>21</v>
      </c>
      <c r="K316" s="41" t="s">
        <v>22</v>
      </c>
      <c r="L316" s="42" t="s">
        <v>23</v>
      </c>
      <c r="M316" s="43" t="s">
        <v>24</v>
      </c>
      <c r="N316" s="42" t="s">
        <v>25</v>
      </c>
      <c r="O316" s="42" t="s">
        <v>21</v>
      </c>
      <c r="P316" s="44"/>
    </row>
    <row r="317" spans="1:16" customFormat="1" x14ac:dyDescent="0.25">
      <c r="A317" t="str">
        <f t="shared" si="4"/>
        <v>ALR_RICHIESTA_MANUTENZIONE-Allarme richiesta manutenzione</v>
      </c>
      <c r="B317" t="str">
        <f>VLOOKUP(A317,'EXPORT IRIS PROD 13-11-2024'!A:A,1,0)</f>
        <v>ALR_RICHIESTA_MANUTENZIONE-Allarme richiesta manutenzione</v>
      </c>
      <c r="C317" t="str">
        <f>VLOOKUP(F317,'EXPORT IRIS PROD 13-11-2024'!F:F,1,0)</f>
        <v>ALR_RICHIESTA_MANUTENZIONE</v>
      </c>
      <c r="D317" t="str">
        <f>VLOOKUP(G317,'EXPORT IRIS PROD 13-11-2024'!D:D,1,0)</f>
        <v>Allarme richiesta manutenzione</v>
      </c>
      <c r="E317" s="37" t="s">
        <v>85</v>
      </c>
      <c r="F317" s="38" t="s">
        <v>628</v>
      </c>
      <c r="G317" s="38" t="s">
        <v>629</v>
      </c>
      <c r="H317" s="39" t="s">
        <v>50</v>
      </c>
      <c r="I317" s="39" t="s">
        <v>52</v>
      </c>
      <c r="J317" s="40" t="s">
        <v>21</v>
      </c>
      <c r="K317" s="41" t="s">
        <v>22</v>
      </c>
      <c r="L317" s="42" t="s">
        <v>23</v>
      </c>
      <c r="M317" s="43" t="s">
        <v>24</v>
      </c>
      <c r="N317" s="42" t="s">
        <v>25</v>
      </c>
      <c r="O317" s="42" t="s">
        <v>21</v>
      </c>
      <c r="P317" s="44"/>
    </row>
    <row r="318" spans="1:16" customFormat="1" x14ac:dyDescent="0.25">
      <c r="A318" t="str">
        <f t="shared" si="4"/>
        <v>ALR_RICHIESTO_AVVIO_ELETTROPOMPA-Allarme richiesto avviamento elettropompa</v>
      </c>
      <c r="B318" t="str">
        <f>VLOOKUP(A318,'EXPORT IRIS PROD 13-11-2024'!A:A,1,0)</f>
        <v>ALR_RICHIESTO_AVVIO_ELETTROPOMPA-Allarme richiesto avviamento elettropompa</v>
      </c>
      <c r="C318" t="str">
        <f>VLOOKUP(F318,'EXPORT IRIS PROD 13-11-2024'!F:F,1,0)</f>
        <v>ALR_RICHIESTO_AVVIO_ELETTROPOMPA</v>
      </c>
      <c r="D318" t="str">
        <f>VLOOKUP(G318,'EXPORT IRIS PROD 13-11-2024'!D:D,1,0)</f>
        <v>Allarme richiesto avviamento elettropompa</v>
      </c>
      <c r="E318" s="37" t="s">
        <v>298</v>
      </c>
      <c r="F318" s="38" t="s">
        <v>630</v>
      </c>
      <c r="G318" s="38" t="s">
        <v>631</v>
      </c>
      <c r="H318" s="39" t="s">
        <v>38</v>
      </c>
      <c r="I318" s="39" t="s">
        <v>301</v>
      </c>
      <c r="J318" s="40" t="s">
        <v>21</v>
      </c>
      <c r="K318" s="41" t="s">
        <v>22</v>
      </c>
      <c r="L318" s="42" t="s">
        <v>23</v>
      </c>
      <c r="M318" s="43" t="s">
        <v>24</v>
      </c>
      <c r="N318" s="42" t="s">
        <v>25</v>
      </c>
      <c r="O318" s="42" t="s">
        <v>21</v>
      </c>
      <c r="P318" s="52"/>
    </row>
    <row r="319" spans="1:16" customFormat="1" x14ac:dyDescent="0.25">
      <c r="A319" t="str">
        <f t="shared" si="4"/>
        <v>ALR_RISERVA_GASOLIO_MOTOPOMPA-Allarme riserva gasolio motopompa</v>
      </c>
      <c r="B319" t="str">
        <f>VLOOKUP(A319,'EXPORT IRIS PROD 13-11-2024'!A:A,1,0)</f>
        <v>ALR_RISERVA_GASOLIO_MOTOPOMPA-Allarme riserva gasolio motopompa</v>
      </c>
      <c r="C319" t="str">
        <f>VLOOKUP(F319,'EXPORT IRIS PROD 13-11-2024'!F:F,1,0)</f>
        <v>ALR_RISERVA_GASOLIO_MOTOPOMPA</v>
      </c>
      <c r="D319" t="str">
        <f>VLOOKUP(G319,'EXPORT IRIS PROD 13-11-2024'!D:D,1,0)</f>
        <v>Allarme riserva gasolio motopompa</v>
      </c>
      <c r="E319" s="37" t="s">
        <v>35</v>
      </c>
      <c r="F319" s="38" t="s">
        <v>632</v>
      </c>
      <c r="G319" s="38" t="s">
        <v>633</v>
      </c>
      <c r="H319" s="39" t="s">
        <v>38</v>
      </c>
      <c r="I319" s="39" t="s">
        <v>172</v>
      </c>
      <c r="J319" s="40" t="s">
        <v>21</v>
      </c>
      <c r="K319" s="41" t="s">
        <v>22</v>
      </c>
      <c r="L319" s="42" t="s">
        <v>23</v>
      </c>
      <c r="M319" s="43" t="s">
        <v>24</v>
      </c>
      <c r="N319" s="42" t="s">
        <v>25</v>
      </c>
      <c r="O319" s="42" t="s">
        <v>21</v>
      </c>
      <c r="P319" s="44"/>
    </row>
    <row r="320" spans="1:16" customFormat="1" x14ac:dyDescent="0.25">
      <c r="A320" t="str">
        <f t="shared" si="4"/>
        <v>ALR_RISERVA_IDRICA_ELETTROPOMPA-Allarme riserva idrica elettropompa</v>
      </c>
      <c r="B320" t="str">
        <f>VLOOKUP(A320,'EXPORT IRIS PROD 13-11-2024'!A:A,1,0)</f>
        <v>ALR_RISERVA_IDRICA_ELETTROPOMPA-Allarme riserva idrica elettropompa</v>
      </c>
      <c r="C320" t="str">
        <f>VLOOKUP(F320,'EXPORT IRIS PROD 13-11-2024'!F:F,1,0)</f>
        <v>ALR_RISERVA_IDRICA_ELETTROPOMPA</v>
      </c>
      <c r="D320" t="str">
        <f>VLOOKUP(G320,'EXPORT IRIS PROD 13-11-2024'!D:D,1,0)</f>
        <v>Allarme riserva idrica elettropompa</v>
      </c>
      <c r="E320" s="37" t="s">
        <v>35</v>
      </c>
      <c r="F320" s="38" t="s">
        <v>634</v>
      </c>
      <c r="G320" s="38" t="s">
        <v>635</v>
      </c>
      <c r="H320" s="39" t="s">
        <v>38</v>
      </c>
      <c r="I320" s="39" t="s">
        <v>301</v>
      </c>
      <c r="J320" s="40" t="s">
        <v>21</v>
      </c>
      <c r="K320" s="41" t="s">
        <v>22</v>
      </c>
      <c r="L320" s="42" t="s">
        <v>23</v>
      </c>
      <c r="M320" s="43" t="s">
        <v>157</v>
      </c>
      <c r="N320" s="42" t="s">
        <v>158</v>
      </c>
      <c r="O320" s="42" t="s">
        <v>21</v>
      </c>
      <c r="P320" s="44"/>
    </row>
    <row r="321" spans="1:16" customFormat="1" x14ac:dyDescent="0.25">
      <c r="A321" t="str">
        <f t="shared" si="4"/>
        <v>ALR_ROTTURA_CAVO-Allarme rottura cavo termosensibile</v>
      </c>
      <c r="B321" t="str">
        <f>VLOOKUP(A321,'EXPORT IRIS PROD 13-11-2024'!A:A,1,0)</f>
        <v>ALR_ROTTURA_CAVO-Allarme rottura cavo termosensibile</v>
      </c>
      <c r="C321" t="str">
        <f>VLOOKUP(F321,'EXPORT IRIS PROD 13-11-2024'!F:F,1,0)</f>
        <v>ALR_ROTTURA_CAVO</v>
      </c>
      <c r="D321" t="str">
        <f>VLOOKUP(G321,'EXPORT IRIS PROD 13-11-2024'!D:D,1,0)</f>
        <v>Allarme rottura cavo termosensibile</v>
      </c>
      <c r="E321" s="37" t="s">
        <v>105</v>
      </c>
      <c r="F321" s="38" t="s">
        <v>636</v>
      </c>
      <c r="G321" s="38" t="s">
        <v>637</v>
      </c>
      <c r="H321" s="39" t="s">
        <v>43</v>
      </c>
      <c r="I321" s="39" t="s">
        <v>394</v>
      </c>
      <c r="J321" s="40" t="s">
        <v>31</v>
      </c>
      <c r="K321" s="41" t="s">
        <v>32</v>
      </c>
      <c r="L321" s="42">
        <v>3</v>
      </c>
      <c r="M321" s="43" t="s">
        <v>33</v>
      </c>
      <c r="N321" s="42" t="s">
        <v>34</v>
      </c>
      <c r="O321" s="42" t="s">
        <v>31</v>
      </c>
      <c r="P321" s="44"/>
    </row>
    <row r="322" spans="1:16" customFormat="1" x14ac:dyDescent="0.25">
      <c r="A322" t="str">
        <f t="shared" si="4"/>
        <v>ALR_SCARICATORI_SOVRATENSIONE-Allarme scaricatori di sovratensione</v>
      </c>
      <c r="B322" t="str">
        <f>VLOOKUP(A322,'EXPORT IRIS PROD 13-11-2024'!A:A,1,0)</f>
        <v>ALR_SCARICATORI_SOVRATENSIONE-Allarme scaricatori di sovratensione</v>
      </c>
      <c r="C322" t="str">
        <f>VLOOKUP(F322,'EXPORT IRIS PROD 13-11-2024'!F:F,1,0)</f>
        <v>ALR_SCARICATORI_SOVRATENSIONE</v>
      </c>
      <c r="D322" t="str">
        <f>VLOOKUP(G322,'EXPORT IRIS PROD 13-11-2024'!D:D,1,0)</f>
        <v>Allarme scaricatori di sovratensione</v>
      </c>
      <c r="E322" s="37" t="s">
        <v>53</v>
      </c>
      <c r="F322" s="38" t="s">
        <v>638</v>
      </c>
      <c r="G322" s="38" t="s">
        <v>639</v>
      </c>
      <c r="H322" s="39" t="s">
        <v>56</v>
      </c>
      <c r="I322" s="39" t="s">
        <v>640</v>
      </c>
      <c r="J322" s="40" t="s">
        <v>21</v>
      </c>
      <c r="K322" s="41" t="s">
        <v>22</v>
      </c>
      <c r="L322" s="42" t="s">
        <v>23</v>
      </c>
      <c r="M322" s="43" t="s">
        <v>24</v>
      </c>
      <c r="N322" s="42" t="s">
        <v>25</v>
      </c>
      <c r="O322" s="42" t="s">
        <v>21</v>
      </c>
      <c r="P322" s="44"/>
    </row>
    <row r="323" spans="1:16" customFormat="1" x14ac:dyDescent="0.25">
      <c r="A323" t="str">
        <f t="shared" ref="A323:A386" si="5">CONCATENATE(F323,"-",G323)</f>
        <v>ALR_SENSO_CICLO_INVERSO-Allarme senso ciclo inverso</v>
      </c>
      <c r="B323" t="str">
        <f>VLOOKUP(A323,'EXPORT IRIS PROD 13-11-2024'!A:A,1,0)</f>
        <v>ALR_SENSO_CICLO_INVERSO-Allarme senso ciclo inverso</v>
      </c>
      <c r="C323" t="str">
        <f>VLOOKUP(F323,'EXPORT IRIS PROD 13-11-2024'!F:F,1,0)</f>
        <v>ALR_SENSO_CICLO_INVERSO</v>
      </c>
      <c r="D323" t="str">
        <f>VLOOKUP(G323,'EXPORT IRIS PROD 13-11-2024'!D:D,1,0)</f>
        <v>Allarme senso ciclo inverso</v>
      </c>
      <c r="E323" s="37" t="s">
        <v>53</v>
      </c>
      <c r="F323" s="38" t="s">
        <v>641</v>
      </c>
      <c r="G323" s="38" t="s">
        <v>642</v>
      </c>
      <c r="H323" s="39" t="s">
        <v>56</v>
      </c>
      <c r="I323" s="39" t="s">
        <v>57</v>
      </c>
      <c r="J323" s="40" t="s">
        <v>21</v>
      </c>
      <c r="K323" s="41" t="s">
        <v>22</v>
      </c>
      <c r="L323" s="42" t="s">
        <v>23</v>
      </c>
      <c r="M323" s="43" t="s">
        <v>24</v>
      </c>
      <c r="N323" s="42" t="s">
        <v>25</v>
      </c>
      <c r="O323" s="42" t="s">
        <v>21</v>
      </c>
      <c r="P323" s="44"/>
    </row>
    <row r="324" spans="1:16" customFormat="1" x14ac:dyDescent="0.25">
      <c r="A324" t="str">
        <f t="shared" si="5"/>
        <v>ALR_SERRANDA-Allarme Serranda</v>
      </c>
      <c r="B324" t="str">
        <f>VLOOKUP(A324,'EXPORT IRIS PROD 13-11-2024'!A:A,1,0)</f>
        <v>ALR_SERRANDA-Allarme Serranda</v>
      </c>
      <c r="C324" t="str">
        <f>VLOOKUP(F324,'EXPORT IRIS PROD 13-11-2024'!F:F,1,0)</f>
        <v>ALR_SERRANDA</v>
      </c>
      <c r="D324" t="str">
        <f>VLOOKUP(G324,'EXPORT IRIS PROD 13-11-2024'!D:D,1,0)</f>
        <v>Allarme Serranda</v>
      </c>
      <c r="E324" s="37" t="s">
        <v>576</v>
      </c>
      <c r="F324" s="38" t="s">
        <v>643</v>
      </c>
      <c r="G324" s="38" t="s">
        <v>644</v>
      </c>
      <c r="H324" s="39" t="s">
        <v>274</v>
      </c>
      <c r="I324" s="39" t="s">
        <v>275</v>
      </c>
      <c r="J324" s="40" t="s">
        <v>21</v>
      </c>
      <c r="K324" s="41" t="s">
        <v>22</v>
      </c>
      <c r="L324" s="42" t="s">
        <v>23</v>
      </c>
      <c r="M324" s="43" t="s">
        <v>24</v>
      </c>
      <c r="N324" s="42" t="s">
        <v>25</v>
      </c>
      <c r="O324" s="42" t="s">
        <v>21</v>
      </c>
      <c r="P324" s="44"/>
    </row>
    <row r="325" spans="1:16" customFormat="1" x14ac:dyDescent="0.25">
      <c r="A325" t="str">
        <f t="shared" si="5"/>
        <v>ALR_SERRANDA_APERTA-Allarme serranda aperta</v>
      </c>
      <c r="B325" t="str">
        <f>VLOOKUP(A325,'EXPORT IRIS PROD 13-11-2024'!A:A,1,0)</f>
        <v>ALR_SERRANDA_APERTA-Allarme serranda aperta</v>
      </c>
      <c r="C325" t="str">
        <f>VLOOKUP(F325,'EXPORT IRIS PROD 13-11-2024'!F:F,1,0)</f>
        <v>ALR_SERRANDA_APERTA</v>
      </c>
      <c r="D325" t="str">
        <f>VLOOKUP(G325,'EXPORT IRIS PROD 13-11-2024'!D:D,1,0)</f>
        <v>Allarme serranda aperta</v>
      </c>
      <c r="E325" s="37" t="s">
        <v>576</v>
      </c>
      <c r="F325" s="38" t="s">
        <v>645</v>
      </c>
      <c r="G325" s="38" t="s">
        <v>646</v>
      </c>
      <c r="H325" s="39" t="s">
        <v>274</v>
      </c>
      <c r="I325" s="39" t="s">
        <v>275</v>
      </c>
      <c r="J325" s="40" t="s">
        <v>21</v>
      </c>
      <c r="K325" s="41" t="s">
        <v>22</v>
      </c>
      <c r="L325" s="42" t="s">
        <v>23</v>
      </c>
      <c r="M325" s="43" t="s">
        <v>24</v>
      </c>
      <c r="N325" s="42" t="s">
        <v>25</v>
      </c>
      <c r="O325" s="42" t="s">
        <v>21</v>
      </c>
      <c r="P325" s="44"/>
    </row>
    <row r="326" spans="1:16" customFormat="1" x14ac:dyDescent="0.25">
      <c r="A326" t="str">
        <f t="shared" si="5"/>
        <v>ALR_SEZ_VUOTO-Allarme sezionatore a vuoto</v>
      </c>
      <c r="B326" t="str">
        <f>VLOOKUP(A326,'EXPORT IRIS PROD 13-11-2024'!A:A,1,0)</f>
        <v>ALR_SEZ_VUOTO-Allarme sezionatore a vuoto</v>
      </c>
      <c r="C326" t="str">
        <f>VLOOKUP(F326,'EXPORT IRIS PROD 13-11-2024'!F:F,1,0)</f>
        <v>ALR_SEZ_VUOTO</v>
      </c>
      <c r="D326" t="str">
        <f>VLOOKUP(G326,'EXPORT IRIS PROD 13-11-2024'!D:D,1,0)</f>
        <v>Allarme sezionatore a vuoto</v>
      </c>
      <c r="E326" s="37" t="s">
        <v>53</v>
      </c>
      <c r="F326" s="38" t="s">
        <v>647</v>
      </c>
      <c r="G326" s="38" t="s">
        <v>648</v>
      </c>
      <c r="H326" s="39" t="s">
        <v>56</v>
      </c>
      <c r="I326" s="39" t="s">
        <v>463</v>
      </c>
      <c r="J326" s="40" t="s">
        <v>21</v>
      </c>
      <c r="K326" s="41" t="s">
        <v>22</v>
      </c>
      <c r="L326" s="42" t="s">
        <v>23</v>
      </c>
      <c r="M326" s="43" t="s">
        <v>24</v>
      </c>
      <c r="N326" s="42" t="s">
        <v>25</v>
      </c>
      <c r="O326" s="42" t="s">
        <v>21</v>
      </c>
      <c r="P326" s="44"/>
    </row>
    <row r="327" spans="1:16" customFormat="1" x14ac:dyDescent="0.25">
      <c r="A327" t="str">
        <f t="shared" si="5"/>
        <v>ALR_SFILAMENTO-Allarme sfilamento</v>
      </c>
      <c r="B327" t="str">
        <f>VLOOKUP(A327,'EXPORT IRIS PROD 13-11-2024'!A:A,1,0)</f>
        <v>ALR_SFILAMENTO-Allarme sfilamento</v>
      </c>
      <c r="C327" t="str">
        <f>VLOOKUP(F327,'EXPORT IRIS PROD 13-11-2024'!F:F,1,0)</f>
        <v>ALR_SFILAMENTO</v>
      </c>
      <c r="D327" t="str">
        <f>VLOOKUP(G327,'EXPORT IRIS PROD 13-11-2024'!D:D,1,0)</f>
        <v>Allarme sfilamento</v>
      </c>
      <c r="E327" s="37" t="s">
        <v>280</v>
      </c>
      <c r="F327" s="38" t="s">
        <v>649</v>
      </c>
      <c r="G327" s="38" t="s">
        <v>650</v>
      </c>
      <c r="H327" s="39" t="s">
        <v>50</v>
      </c>
      <c r="I327" s="39" t="s">
        <v>124</v>
      </c>
      <c r="J327" s="40" t="s">
        <v>31</v>
      </c>
      <c r="K327" s="41" t="s">
        <v>32</v>
      </c>
      <c r="L327" s="42">
        <v>3</v>
      </c>
      <c r="M327" s="43" t="s">
        <v>33</v>
      </c>
      <c r="N327" s="42" t="s">
        <v>34</v>
      </c>
      <c r="O327" s="42" t="s">
        <v>31</v>
      </c>
      <c r="P327" s="44"/>
    </row>
    <row r="328" spans="1:16" customFormat="1" x14ac:dyDescent="0.25">
      <c r="A328" t="str">
        <f t="shared" si="5"/>
        <v>ALR_SGANCIO_TELEFONO-Allarme sgancio telefono</v>
      </c>
      <c r="B328" t="str">
        <f>VLOOKUP(A328,'EXPORT IRIS PROD 13-11-2024'!A:A,1,0)</f>
        <v>ALR_SGANCIO_TELEFONO-Allarme sgancio telefono</v>
      </c>
      <c r="C328" t="str">
        <f>VLOOKUP(F328,'EXPORT IRIS PROD 13-11-2024'!F:F,1,0)</f>
        <v>ALR_SGANCIO_TELEFONO</v>
      </c>
      <c r="D328" t="str">
        <f>VLOOKUP(G328,'EXPORT IRIS PROD 13-11-2024'!D:D,1,0)</f>
        <v>Allarme sgancio telefono</v>
      </c>
      <c r="E328" s="37" t="s">
        <v>26</v>
      </c>
      <c r="F328" s="38" t="s">
        <v>651</v>
      </c>
      <c r="G328" s="38" t="s">
        <v>652</v>
      </c>
      <c r="H328" s="39" t="s">
        <v>29</v>
      </c>
      <c r="I328" s="39" t="s">
        <v>30</v>
      </c>
      <c r="J328" s="40" t="s">
        <v>31</v>
      </c>
      <c r="K328" s="41" t="s">
        <v>32</v>
      </c>
      <c r="L328" s="43">
        <v>1</v>
      </c>
      <c r="M328" s="43" t="s">
        <v>33</v>
      </c>
      <c r="N328" s="42" t="s">
        <v>34</v>
      </c>
      <c r="O328" s="42" t="s">
        <v>31</v>
      </c>
      <c r="P328" s="52"/>
    </row>
    <row r="329" spans="1:16" customFormat="1" x14ac:dyDescent="0.25">
      <c r="A329" t="str">
        <f t="shared" si="5"/>
        <v>ALR_SIRENA-Allarme sirena attiva</v>
      </c>
      <c r="B329" t="str">
        <f>VLOOKUP(A329,'EXPORT IRIS PROD 13-11-2024'!A:A,1,0)</f>
        <v>ALR_SIRENA-Allarme sirena attiva</v>
      </c>
      <c r="C329" t="str">
        <f>VLOOKUP(F329,'EXPORT IRIS PROD 13-11-2024'!F:F,1,0)</f>
        <v>ALR_SIRENA</v>
      </c>
      <c r="D329" t="str">
        <f>VLOOKUP(G329,'EXPORT IRIS PROD 13-11-2024'!D:D,1,0)</f>
        <v>Allarme sirena attiva</v>
      </c>
      <c r="E329" s="37" t="s">
        <v>26</v>
      </c>
      <c r="F329" s="38" t="s">
        <v>653</v>
      </c>
      <c r="G329" s="45" t="s">
        <v>654</v>
      </c>
      <c r="H329" s="46" t="s">
        <v>29</v>
      </c>
      <c r="I329" s="46" t="s">
        <v>360</v>
      </c>
      <c r="J329" s="47" t="s">
        <v>31</v>
      </c>
      <c r="K329" s="48" t="s">
        <v>32</v>
      </c>
      <c r="L329" s="43">
        <v>1</v>
      </c>
      <c r="M329" s="43" t="s">
        <v>157</v>
      </c>
      <c r="N329" s="43" t="s">
        <v>158</v>
      </c>
      <c r="O329" s="42" t="s">
        <v>21</v>
      </c>
      <c r="P329" s="49"/>
    </row>
    <row r="330" spans="1:16" customFormat="1" x14ac:dyDescent="0.25">
      <c r="A330" t="str">
        <f t="shared" si="5"/>
        <v>ALR_SOCCORRITORE_BATTERIA_SCARICA-Allarme soccorritore batteria scarica</v>
      </c>
      <c r="B330" t="str">
        <f>VLOOKUP(A330,'EXPORT IRIS PROD 13-11-2024'!A:A,1,0)</f>
        <v>ALR_SOCCORRITORE_BATTERIA_SCARICA-Allarme soccorritore batteria scarica</v>
      </c>
      <c r="C330" t="str">
        <f>VLOOKUP(F330,'EXPORT IRIS PROD 13-11-2024'!F:F,1,0)</f>
        <v>ALR_SOCCORRITORE_BATTERIA_SCARICA</v>
      </c>
      <c r="D330" t="str">
        <f>VLOOKUP(G330,'EXPORT IRIS PROD 13-11-2024'!D:D,1,0)</f>
        <v>Allarme soccorritore batteria scarica</v>
      </c>
      <c r="E330" s="37" t="s">
        <v>53</v>
      </c>
      <c r="F330" s="38" t="s">
        <v>655</v>
      </c>
      <c r="G330" s="38" t="s">
        <v>656</v>
      </c>
      <c r="H330" s="39" t="s">
        <v>56</v>
      </c>
      <c r="I330" s="39" t="s">
        <v>355</v>
      </c>
      <c r="J330" s="40" t="s">
        <v>21</v>
      </c>
      <c r="K330" s="41" t="s">
        <v>22</v>
      </c>
      <c r="L330" s="42" t="s">
        <v>23</v>
      </c>
      <c r="M330" s="43" t="s">
        <v>24</v>
      </c>
      <c r="N330" s="42" t="s">
        <v>25</v>
      </c>
      <c r="O330" s="42" t="s">
        <v>21</v>
      </c>
      <c r="P330" s="44"/>
    </row>
    <row r="331" spans="1:16" customFormat="1" x14ac:dyDescent="0.25">
      <c r="A331" t="str">
        <f t="shared" si="5"/>
        <v>ALR_SOCCORRITORE_BYPASS-Allarme soccorritore in bypass</v>
      </c>
      <c r="B331" t="str">
        <f>VLOOKUP(A331,'EXPORT IRIS PROD 13-11-2024'!A:A,1,0)</f>
        <v>ALR_SOCCORRITORE_BYPASS-Allarme soccorritore in bypass</v>
      </c>
      <c r="C331" t="str">
        <f>VLOOKUP(F331,'EXPORT IRIS PROD 13-11-2024'!F:F,1,0)</f>
        <v>ALR_SOCCORRITORE_BYPASS</v>
      </c>
      <c r="D331" t="str">
        <f>VLOOKUP(G331,'EXPORT IRIS PROD 13-11-2024'!D:D,1,0)</f>
        <v>Allarme soccorritore in bypass</v>
      </c>
      <c r="E331" s="37" t="s">
        <v>53</v>
      </c>
      <c r="F331" s="38" t="s">
        <v>657</v>
      </c>
      <c r="G331" s="38" t="s">
        <v>658</v>
      </c>
      <c r="H331" s="39" t="s">
        <v>56</v>
      </c>
      <c r="I331" s="39" t="s">
        <v>355</v>
      </c>
      <c r="J331" s="40" t="s">
        <v>21</v>
      </c>
      <c r="K331" s="41" t="s">
        <v>22</v>
      </c>
      <c r="L331" s="42" t="s">
        <v>23</v>
      </c>
      <c r="M331" s="43" t="s">
        <v>24</v>
      </c>
      <c r="N331" s="42" t="s">
        <v>25</v>
      </c>
      <c r="O331" s="42" t="s">
        <v>21</v>
      </c>
      <c r="P331" s="44"/>
    </row>
    <row r="332" spans="1:16" customFormat="1" x14ac:dyDescent="0.25">
      <c r="A332" t="str">
        <f t="shared" si="5"/>
        <v>ALR_SOCCORRITORE_INVERTER_ON-Allarme soccorritore in scarica</v>
      </c>
      <c r="B332" t="str">
        <f>VLOOKUP(A332,'EXPORT IRIS PROD 13-11-2024'!A:A,1,0)</f>
        <v>ALR_SOCCORRITORE_INVERTER_ON-Allarme soccorritore in scarica</v>
      </c>
      <c r="C332" t="str">
        <f>VLOOKUP(F332,'EXPORT IRIS PROD 13-11-2024'!F:F,1,0)</f>
        <v>ALR_SOCCORRITORE_INVERTER_ON</v>
      </c>
      <c r="D332" t="str">
        <f>VLOOKUP(G332,'EXPORT IRIS PROD 13-11-2024'!D:D,1,0)</f>
        <v>Allarme soccorritore in scarica</v>
      </c>
      <c r="E332" s="37" t="s">
        <v>53</v>
      </c>
      <c r="F332" s="38" t="s">
        <v>659</v>
      </c>
      <c r="G332" s="38" t="s">
        <v>660</v>
      </c>
      <c r="H332" s="39" t="s">
        <v>56</v>
      </c>
      <c r="I332" s="39" t="s">
        <v>355</v>
      </c>
      <c r="J332" s="40" t="s">
        <v>21</v>
      </c>
      <c r="K332" s="41" t="s">
        <v>22</v>
      </c>
      <c r="L332" s="42" t="s">
        <v>23</v>
      </c>
      <c r="M332" s="43" t="s">
        <v>24</v>
      </c>
      <c r="N332" s="42" t="s">
        <v>25</v>
      </c>
      <c r="O332" s="42" t="s">
        <v>21</v>
      </c>
      <c r="P332" s="44"/>
    </row>
    <row r="333" spans="1:16" customFormat="1" x14ac:dyDescent="0.25">
      <c r="A333" t="str">
        <f t="shared" si="5"/>
        <v>ALR_SOFT_START-Allarme ventilatore</v>
      </c>
      <c r="B333" t="str">
        <f>VLOOKUP(A333,'EXPORT IRIS PROD 13-11-2024'!A:A,1,0)</f>
        <v>ALR_SOFT_START-Allarme ventilatore</v>
      </c>
      <c r="C333" t="str">
        <f>VLOOKUP(F333,'EXPORT IRIS PROD 13-11-2024'!F:F,1,0)</f>
        <v>ALR_SOFT_START</v>
      </c>
      <c r="D333" t="str">
        <f>VLOOKUP(G333,'EXPORT IRIS PROD 13-11-2024'!D:D,1,0)</f>
        <v>Allarme ventilatore</v>
      </c>
      <c r="E333" s="37" t="s">
        <v>85</v>
      </c>
      <c r="F333" s="38" t="s">
        <v>661</v>
      </c>
      <c r="G333" s="38" t="s">
        <v>662</v>
      </c>
      <c r="H333" s="39" t="s">
        <v>50</v>
      </c>
      <c r="I333" s="39" t="s">
        <v>124</v>
      </c>
      <c r="J333" s="40" t="s">
        <v>21</v>
      </c>
      <c r="K333" s="41" t="s">
        <v>22</v>
      </c>
      <c r="L333" s="42" t="s">
        <v>23</v>
      </c>
      <c r="M333" s="43" t="s">
        <v>24</v>
      </c>
      <c r="N333" s="42" t="s">
        <v>25</v>
      </c>
      <c r="O333" s="42" t="s">
        <v>21</v>
      </c>
      <c r="P333" s="44"/>
    </row>
    <row r="334" spans="1:16" customFormat="1" x14ac:dyDescent="0.25">
      <c r="A334" t="str">
        <f t="shared" si="5"/>
        <v>ALR_SOS_OFFLINE-Allarme SOS offline</v>
      </c>
      <c r="B334" t="str">
        <f>VLOOKUP(A334,'EXPORT IRIS PROD 13-11-2024'!A:A,1,0)</f>
        <v>ALR_SOS_OFFLINE-Allarme SOS offline</v>
      </c>
      <c r="C334" t="str">
        <f>VLOOKUP(F334,'EXPORT IRIS PROD 13-11-2024'!F:F,1,0)</f>
        <v>ALR_SOS_OFFLINE</v>
      </c>
      <c r="D334" t="str">
        <f>VLOOKUP(G334,'EXPORT IRIS PROD 13-11-2024'!D:D,1,0)</f>
        <v>Allarme SOS offline</v>
      </c>
      <c r="E334" s="37" t="s">
        <v>89</v>
      </c>
      <c r="F334" s="38" t="s">
        <v>663</v>
      </c>
      <c r="G334" s="38" t="s">
        <v>664</v>
      </c>
      <c r="H334" s="39" t="s">
        <v>29</v>
      </c>
      <c r="I334" s="39" t="s">
        <v>360</v>
      </c>
      <c r="J334" s="40" t="s">
        <v>21</v>
      </c>
      <c r="K334" s="41" t="s">
        <v>22</v>
      </c>
      <c r="L334" s="42" t="s">
        <v>23</v>
      </c>
      <c r="M334" s="43" t="s">
        <v>24</v>
      </c>
      <c r="N334" s="42" t="s">
        <v>25</v>
      </c>
      <c r="O334" s="42" t="s">
        <v>21</v>
      </c>
      <c r="P334" s="44"/>
    </row>
    <row r="335" spans="1:16" customFormat="1" x14ac:dyDescent="0.25">
      <c r="A335" t="str">
        <f t="shared" si="5"/>
        <v>ALR_SOVRAPOTENZA_ALTERNATORE-Allarme sovrapotenza alternatore</v>
      </c>
      <c r="B335" t="str">
        <f>VLOOKUP(A335,'EXPORT IRIS PROD 13-11-2024'!A:A,1,0)</f>
        <v>ALR_SOVRAPOTENZA_ALTERNATORE-Allarme sovrapotenza alternatore</v>
      </c>
      <c r="C335" t="str">
        <f>VLOOKUP(F335,'EXPORT IRIS PROD 13-11-2024'!F:F,1,0)</f>
        <v>ALR_SOVRAPOTENZA_ALTERNATORE</v>
      </c>
      <c r="D335" t="str">
        <f>VLOOKUP(G335,'EXPORT IRIS PROD 13-11-2024'!D:D,1,0)</f>
        <v>Allarme sovrapotenza alternatore</v>
      </c>
      <c r="E335" s="37" t="s">
        <v>53</v>
      </c>
      <c r="F335" s="38" t="s">
        <v>665</v>
      </c>
      <c r="G335" s="38" t="s">
        <v>666</v>
      </c>
      <c r="H335" s="39" t="s">
        <v>56</v>
      </c>
      <c r="I335" s="39" t="s">
        <v>57</v>
      </c>
      <c r="J335" s="40" t="s">
        <v>21</v>
      </c>
      <c r="K335" s="41" t="s">
        <v>22</v>
      </c>
      <c r="L335" s="42" t="s">
        <v>23</v>
      </c>
      <c r="M335" s="43" t="s">
        <v>24</v>
      </c>
      <c r="N335" s="42" t="s">
        <v>25</v>
      </c>
      <c r="O335" s="42" t="s">
        <v>21</v>
      </c>
      <c r="P335" s="44"/>
    </row>
    <row r="336" spans="1:16" customFormat="1" x14ac:dyDescent="0.25">
      <c r="A336" t="str">
        <f t="shared" si="5"/>
        <v>ALR_SOVRATEMPERATURA_UPS-Allarme sovratemperatura interna</v>
      </c>
      <c r="B336" t="str">
        <f>VLOOKUP(A336,'EXPORT IRIS PROD 13-11-2024'!A:A,1,0)</f>
        <v>ALR_SOVRATEMPERATURA_UPS-Allarme sovratemperatura interna</v>
      </c>
      <c r="C336" t="str">
        <f>VLOOKUP(F336,'EXPORT IRIS PROD 13-11-2024'!F:F,1,0)</f>
        <v>ALR_SOVRATEMPERATURA_UPS</v>
      </c>
      <c r="D336" t="str">
        <f>VLOOKUP(G336,'EXPORT IRIS PROD 13-11-2024'!D:D,1,0)</f>
        <v>Allarme sovratemperatura interna</v>
      </c>
      <c r="E336" s="37" t="s">
        <v>53</v>
      </c>
      <c r="F336" s="38" t="s">
        <v>667</v>
      </c>
      <c r="G336" s="38" t="s">
        <v>668</v>
      </c>
      <c r="H336" s="39" t="s">
        <v>56</v>
      </c>
      <c r="I336" s="39" t="s">
        <v>104</v>
      </c>
      <c r="J336" s="40" t="s">
        <v>21</v>
      </c>
      <c r="K336" s="41" t="s">
        <v>22</v>
      </c>
      <c r="L336" s="42" t="s">
        <v>23</v>
      </c>
      <c r="M336" s="43" t="s">
        <v>24</v>
      </c>
      <c r="N336" s="42" t="s">
        <v>25</v>
      </c>
      <c r="O336" s="42" t="s">
        <v>21</v>
      </c>
      <c r="P336" s="44"/>
    </row>
    <row r="337" spans="1:16" customFormat="1" x14ac:dyDescent="0.25">
      <c r="A337" t="str">
        <f t="shared" si="5"/>
        <v>ALR_SOVRATENSIONE_ALTERNATORE-Allarme sovratensione alternatore</v>
      </c>
      <c r="B337" t="str">
        <f>VLOOKUP(A337,'EXPORT IRIS PROD 13-11-2024'!A:A,1,0)</f>
        <v>ALR_SOVRATENSIONE_ALTERNATORE-Allarme sovratensione alternatore</v>
      </c>
      <c r="C337" t="str">
        <f>VLOOKUP(F337,'EXPORT IRIS PROD 13-11-2024'!F:F,1,0)</f>
        <v>ALR_SOVRATENSIONE_ALTERNATORE</v>
      </c>
      <c r="D337" t="str">
        <f>VLOOKUP(G337,'EXPORT IRIS PROD 13-11-2024'!D:D,1,0)</f>
        <v>Allarme sovratensione alternatore</v>
      </c>
      <c r="E337" s="37" t="s">
        <v>53</v>
      </c>
      <c r="F337" s="38" t="s">
        <v>669</v>
      </c>
      <c r="G337" s="38" t="s">
        <v>670</v>
      </c>
      <c r="H337" s="39" t="s">
        <v>56</v>
      </c>
      <c r="I337" s="39" t="s">
        <v>57</v>
      </c>
      <c r="J337" s="40" t="s">
        <v>21</v>
      </c>
      <c r="K337" s="41" t="s">
        <v>22</v>
      </c>
      <c r="L337" s="42" t="s">
        <v>23</v>
      </c>
      <c r="M337" s="43" t="s">
        <v>24</v>
      </c>
      <c r="N337" s="42" t="s">
        <v>25</v>
      </c>
      <c r="O337" s="42" t="s">
        <v>21</v>
      </c>
      <c r="P337" s="44"/>
    </row>
    <row r="338" spans="1:16" customFormat="1" x14ac:dyDescent="0.25">
      <c r="A338" t="str">
        <f t="shared" si="5"/>
        <v>ALR_SPENTO-Allarme spento</v>
      </c>
      <c r="B338" t="str">
        <f>VLOOKUP(A338,'EXPORT IRIS PROD 13-11-2024'!A:A,1,0)</f>
        <v>ALR_SPENTO-Allarme spento</v>
      </c>
      <c r="C338" t="str">
        <f>VLOOKUP(F338,'EXPORT IRIS PROD 13-11-2024'!F:F,1,0)</f>
        <v>ALR_SPENTO</v>
      </c>
      <c r="D338" t="str">
        <f>VLOOKUP(G338,'EXPORT IRIS PROD 13-11-2024'!D:D,1,0)</f>
        <v>Allarme spento</v>
      </c>
      <c r="E338" s="37" t="s">
        <v>109</v>
      </c>
      <c r="F338" s="38" t="s">
        <v>671</v>
      </c>
      <c r="G338" s="38" t="s">
        <v>672</v>
      </c>
      <c r="H338" s="39" t="s">
        <v>111</v>
      </c>
      <c r="I338" s="39" t="s">
        <v>127</v>
      </c>
      <c r="J338" s="40" t="s">
        <v>21</v>
      </c>
      <c r="K338" s="41" t="s">
        <v>22</v>
      </c>
      <c r="L338" s="42" t="s">
        <v>23</v>
      </c>
      <c r="M338" s="43" t="s">
        <v>24</v>
      </c>
      <c r="N338" s="42" t="s">
        <v>25</v>
      </c>
      <c r="O338" s="42" t="s">
        <v>21</v>
      </c>
      <c r="P338" s="44"/>
    </row>
    <row r="339" spans="1:16" customFormat="1" x14ac:dyDescent="0.25">
      <c r="A339" t="str">
        <f t="shared" si="5"/>
        <v>ALR_SPENTO-Allarme spento</v>
      </c>
      <c r="B339" t="str">
        <f>VLOOKUP(A339,'EXPORT IRIS PROD 13-11-2024'!A:A,1,0)</f>
        <v>ALR_SPENTO-Allarme spento</v>
      </c>
      <c r="C339" t="str">
        <f>VLOOKUP(F339,'EXPORT IRIS PROD 13-11-2024'!F:F,1,0)</f>
        <v>ALR_SPENTO</v>
      </c>
      <c r="D339" t="str">
        <f>VLOOKUP(G339,'EXPORT IRIS PROD 13-11-2024'!D:D,1,0)</f>
        <v>Allarme spento</v>
      </c>
      <c r="E339" s="37" t="s">
        <v>53</v>
      </c>
      <c r="F339" s="38" t="s">
        <v>671</v>
      </c>
      <c r="G339" s="38" t="s">
        <v>672</v>
      </c>
      <c r="H339" s="39" t="s">
        <v>56</v>
      </c>
      <c r="I339" s="39" t="s">
        <v>104</v>
      </c>
      <c r="J339" s="40" t="s">
        <v>21</v>
      </c>
      <c r="K339" s="41" t="s">
        <v>22</v>
      </c>
      <c r="L339" s="42" t="s">
        <v>23</v>
      </c>
      <c r="M339" s="43" t="s">
        <v>24</v>
      </c>
      <c r="N339" s="42" t="s">
        <v>25</v>
      </c>
      <c r="O339" s="42" t="s">
        <v>21</v>
      </c>
      <c r="P339" s="44"/>
    </row>
    <row r="340" spans="1:16" customFormat="1" x14ac:dyDescent="0.25">
      <c r="A340" t="str">
        <f t="shared" si="5"/>
        <v>ALR_STACCO_VENTILATORE-Allarme stacco ventilatore</v>
      </c>
      <c r="B340" t="str">
        <f>VLOOKUP(A340,'EXPORT IRIS PROD 13-11-2024'!A:A,1,0)</f>
        <v>ALR_STACCO_VENTILATORE-Allarme stacco ventilatore</v>
      </c>
      <c r="C340" t="str">
        <f>VLOOKUP(F340,'EXPORT IRIS PROD 13-11-2024'!F:F,1,0)</f>
        <v>ALR_STACCO_VENTILATORE</v>
      </c>
      <c r="D340" t="str">
        <f>VLOOKUP(G340,'EXPORT IRIS PROD 13-11-2024'!D:D,1,0)</f>
        <v>Allarme stacco ventilatore</v>
      </c>
      <c r="E340" s="37" t="s">
        <v>85</v>
      </c>
      <c r="F340" s="38" t="s">
        <v>673</v>
      </c>
      <c r="G340" s="38" t="s">
        <v>674</v>
      </c>
      <c r="H340" s="39" t="s">
        <v>50</v>
      </c>
      <c r="I340" s="39" t="s">
        <v>124</v>
      </c>
      <c r="J340" s="40" t="s">
        <v>31</v>
      </c>
      <c r="K340" s="41" t="s">
        <v>32</v>
      </c>
      <c r="L340" s="42">
        <v>3</v>
      </c>
      <c r="M340" s="43" t="s">
        <v>33</v>
      </c>
      <c r="N340" s="42" t="s">
        <v>34</v>
      </c>
      <c r="O340" s="42" t="s">
        <v>31</v>
      </c>
      <c r="P340" s="44"/>
    </row>
    <row r="341" spans="1:16" customFormat="1" x14ac:dyDescent="0.25">
      <c r="A341" t="str">
        <f t="shared" si="5"/>
        <v>ALR_SWITCH_FAULT-Allarme switch in fault</v>
      </c>
      <c r="B341" t="str">
        <f>VLOOKUP(A341,'EXPORT IRIS PROD 13-11-2024'!A:A,1,0)</f>
        <v>ALR_SWITCH_FAULT-Allarme switch in fault</v>
      </c>
      <c r="C341" t="str">
        <f>VLOOKUP(F341,'EXPORT IRIS PROD 13-11-2024'!F:F,1,0)</f>
        <v>ALR_SWITCH_FAULT</v>
      </c>
      <c r="D341" t="str">
        <f>VLOOKUP(G341,'EXPORT IRIS PROD 13-11-2024'!D:D,1,0)</f>
        <v>Allarme switch in fault</v>
      </c>
      <c r="E341" s="37" t="s">
        <v>16</v>
      </c>
      <c r="F341" s="38" t="s">
        <v>675</v>
      </c>
      <c r="G341" s="38" t="s">
        <v>676</v>
      </c>
      <c r="H341" s="39" t="s">
        <v>19</v>
      </c>
      <c r="I341" s="39" t="s">
        <v>259</v>
      </c>
      <c r="J341" s="40" t="s">
        <v>21</v>
      </c>
      <c r="K341" s="41" t="s">
        <v>22</v>
      </c>
      <c r="L341" s="42" t="s">
        <v>23</v>
      </c>
      <c r="M341" s="43" t="s">
        <v>24</v>
      </c>
      <c r="N341" s="42" t="s">
        <v>25</v>
      </c>
      <c r="O341" s="42" t="s">
        <v>21</v>
      </c>
      <c r="P341" s="44"/>
    </row>
    <row r="342" spans="1:16" customFormat="1" x14ac:dyDescent="0.25">
      <c r="A342" t="str">
        <f t="shared" si="5"/>
        <v>ALR_TEMPERATURA_ALTA-Allarme alta temperatura Gruppo elettrogeno</v>
      </c>
      <c r="B342" t="str">
        <f>VLOOKUP(A342,'EXPORT IRIS PROD 13-11-2024'!A:A,1,0)</f>
        <v>ALR_TEMPERATURA_ALTA-Allarme alta temperatura Gruppo elettrogeno</v>
      </c>
      <c r="C342" t="str">
        <f>VLOOKUP(F342,'EXPORT IRIS PROD 13-11-2024'!F:F,1,0)</f>
        <v>ALR_TEMPERATURA_ALTA</v>
      </c>
      <c r="D342" t="str">
        <f>VLOOKUP(G342,'EXPORT IRIS PROD 13-11-2024'!D:D,1,0)</f>
        <v>Allarme alta temperatura Gruppo elettrogeno</v>
      </c>
      <c r="E342" s="37" t="s">
        <v>53</v>
      </c>
      <c r="F342" s="38" t="s">
        <v>677</v>
      </c>
      <c r="G342" s="38" t="s">
        <v>678</v>
      </c>
      <c r="H342" s="39" t="s">
        <v>56</v>
      </c>
      <c r="I342" s="39" t="s">
        <v>57</v>
      </c>
      <c r="J342" s="40" t="s">
        <v>21</v>
      </c>
      <c r="K342" s="41" t="s">
        <v>22</v>
      </c>
      <c r="L342" s="42" t="s">
        <v>23</v>
      </c>
      <c r="M342" s="43" t="s">
        <v>24</v>
      </c>
      <c r="N342" s="42" t="s">
        <v>25</v>
      </c>
      <c r="O342" s="42" t="s">
        <v>21</v>
      </c>
      <c r="P342" s="44"/>
    </row>
    <row r="343" spans="1:16" customFormat="1" x14ac:dyDescent="0.25">
      <c r="A343" t="str">
        <f t="shared" si="5"/>
        <v>ALR_TEMPERATURA_ALTA_OLIO-Allarme temperatura alta olio</v>
      </c>
      <c r="B343" t="str">
        <f>VLOOKUP(A343,'EXPORT IRIS PROD 13-11-2024'!A:A,1,0)</f>
        <v>ALR_TEMPERATURA_ALTA_OLIO-Allarme temperatura alta olio</v>
      </c>
      <c r="C343" t="str">
        <f>VLOOKUP(F343,'EXPORT IRIS PROD 13-11-2024'!F:F,1,0)</f>
        <v>ALR_TEMPERATURA_ALTA_OLIO</v>
      </c>
      <c r="D343" t="str">
        <f>VLOOKUP(G343,'EXPORT IRIS PROD 13-11-2024'!D:D,1,0)</f>
        <v>Allarme temperatura alta olio</v>
      </c>
      <c r="E343" s="37" t="s">
        <v>53</v>
      </c>
      <c r="F343" s="38" t="s">
        <v>679</v>
      </c>
      <c r="G343" s="38" t="s">
        <v>680</v>
      </c>
      <c r="H343" s="39" t="s">
        <v>56</v>
      </c>
      <c r="I343" s="39" t="s">
        <v>57</v>
      </c>
      <c r="J343" s="40" t="s">
        <v>21</v>
      </c>
      <c r="K343" s="41" t="s">
        <v>22</v>
      </c>
      <c r="L343" s="42" t="s">
        <v>23</v>
      </c>
      <c r="M343" s="43" t="s">
        <v>24</v>
      </c>
      <c r="N343" s="42" t="s">
        <v>25</v>
      </c>
      <c r="O343" s="42" t="s">
        <v>21</v>
      </c>
      <c r="P343" s="44"/>
    </row>
    <row r="344" spans="1:16" customFormat="1" x14ac:dyDescent="0.25">
      <c r="A344" t="str">
        <f t="shared" si="5"/>
        <v>ALR_TEMPERATURA_ALTA_QE-Allarme temperatura locali quadri</v>
      </c>
      <c r="B344" t="str">
        <f>VLOOKUP(A344,'EXPORT IRIS PROD 13-11-2024'!A:A,1,0)</f>
        <v>ALR_TEMPERATURA_ALTA_QE-Allarme temperatura locali quadri</v>
      </c>
      <c r="C344" t="str">
        <f>VLOOKUP(F344,'EXPORT IRIS PROD 13-11-2024'!F:F,1,0)</f>
        <v>ALR_TEMPERATURA_ALTA_QE</v>
      </c>
      <c r="D344" t="str">
        <f>VLOOKUP(G344,'EXPORT IRIS PROD 13-11-2024'!D:D,1,0)</f>
        <v>Allarme temperatura locali quadri</v>
      </c>
      <c r="E344" s="37" t="s">
        <v>53</v>
      </c>
      <c r="F344" s="38" t="s">
        <v>681</v>
      </c>
      <c r="G344" s="38" t="s">
        <v>682</v>
      </c>
      <c r="H344" s="39" t="s">
        <v>56</v>
      </c>
      <c r="I344" s="39" t="s">
        <v>114</v>
      </c>
      <c r="J344" s="40" t="s">
        <v>21</v>
      </c>
      <c r="K344" s="41" t="s">
        <v>22</v>
      </c>
      <c r="L344" s="42" t="s">
        <v>23</v>
      </c>
      <c r="M344" s="43" t="s">
        <v>24</v>
      </c>
      <c r="N344" s="42" t="s">
        <v>25</v>
      </c>
      <c r="O344" s="42" t="s">
        <v>21</v>
      </c>
      <c r="P344" s="44"/>
    </row>
    <row r="345" spans="1:16" customFormat="1" x14ac:dyDescent="0.25">
      <c r="A345" t="str">
        <f t="shared" si="5"/>
        <v>ALR_TEMPERATURA_ALTA_QMT-Allarme temperatura locali MT</v>
      </c>
      <c r="B345" t="str">
        <f>VLOOKUP(A345,'EXPORT IRIS PROD 13-11-2024'!A:A,1,0)</f>
        <v>ALR_TEMPERATURA_ALTA_QMT-Allarme temperatura locali MT</v>
      </c>
      <c r="C345" t="str">
        <f>VLOOKUP(F345,'EXPORT IRIS PROD 13-11-2024'!F:F,1,0)</f>
        <v>ALR_TEMPERATURA_ALTA_QMT</v>
      </c>
      <c r="D345" t="str">
        <f>VLOOKUP(G345,'EXPORT IRIS PROD 13-11-2024'!D:D,1,0)</f>
        <v>Allarme temperatura locali MT</v>
      </c>
      <c r="E345" s="37" t="s">
        <v>53</v>
      </c>
      <c r="F345" s="38" t="s">
        <v>683</v>
      </c>
      <c r="G345" s="38" t="s">
        <v>684</v>
      </c>
      <c r="H345" s="39" t="s">
        <v>56</v>
      </c>
      <c r="I345" s="39" t="s">
        <v>114</v>
      </c>
      <c r="J345" s="40" t="s">
        <v>21</v>
      </c>
      <c r="K345" s="41" t="s">
        <v>22</v>
      </c>
      <c r="L345" s="42" t="s">
        <v>23</v>
      </c>
      <c r="M345" s="43" t="s">
        <v>24</v>
      </c>
      <c r="N345" s="42" t="s">
        <v>25</v>
      </c>
      <c r="O345" s="42" t="s">
        <v>21</v>
      </c>
      <c r="P345" s="44"/>
    </row>
    <row r="346" spans="1:16" customFormat="1" x14ac:dyDescent="0.25">
      <c r="A346" t="str">
        <f t="shared" si="5"/>
        <v>ALR_TEMPERATURA_ALTA_QPLC-Allarme temperatura locale automazione</v>
      </c>
      <c r="B346" t="str">
        <f>VLOOKUP(A346,'EXPORT IRIS PROD 13-11-2024'!A:A,1,0)</f>
        <v>ALR_TEMPERATURA_ALTA_QPLC-Allarme temperatura locale automazione</v>
      </c>
      <c r="C346" t="str">
        <f>VLOOKUP(F346,'EXPORT IRIS PROD 13-11-2024'!F:F,1,0)</f>
        <v>ALR_TEMPERATURA_ALTA_QPLC</v>
      </c>
      <c r="D346" t="str">
        <f>VLOOKUP(G346,'EXPORT IRIS PROD 13-11-2024'!D:D,1,0)</f>
        <v>Allarme temperatura locale automazione</v>
      </c>
      <c r="E346" s="37" t="s">
        <v>53</v>
      </c>
      <c r="F346" s="38" t="s">
        <v>685</v>
      </c>
      <c r="G346" s="38" t="s">
        <v>686</v>
      </c>
      <c r="H346" s="39" t="s">
        <v>56</v>
      </c>
      <c r="I346" s="39" t="s">
        <v>114</v>
      </c>
      <c r="J346" s="40" t="s">
        <v>21</v>
      </c>
      <c r="K346" s="41" t="s">
        <v>22</v>
      </c>
      <c r="L346" s="42" t="s">
        <v>23</v>
      </c>
      <c r="M346" s="43" t="s">
        <v>24</v>
      </c>
      <c r="N346" s="42" t="s">
        <v>25</v>
      </c>
      <c r="O346" s="42" t="s">
        <v>21</v>
      </c>
      <c r="P346" s="44"/>
    </row>
    <row r="347" spans="1:16" customFormat="1" x14ac:dyDescent="0.25">
      <c r="A347" t="str">
        <f t="shared" si="5"/>
        <v>ALR_TEMPERATURA_ALTA_QUADRO-Allarme alta temperatura quadro</v>
      </c>
      <c r="B347" t="str">
        <f>VLOOKUP(A347,'EXPORT IRIS PROD 13-11-2024'!A:A,1,0)</f>
        <v>ALR_TEMPERATURA_ALTA_QUADRO-Allarme alta temperatura quadro</v>
      </c>
      <c r="C347" t="str">
        <f>VLOOKUP(F347,'EXPORT IRIS PROD 13-11-2024'!F:F,1,0)</f>
        <v>ALR_TEMPERATURA_ALTA_QUADRO</v>
      </c>
      <c r="D347" t="str">
        <f>VLOOKUP(G347,'EXPORT IRIS PROD 13-11-2024'!D:D,1,0)</f>
        <v>Allarme alta temperatura quadro</v>
      </c>
      <c r="E347" s="37" t="s">
        <v>53</v>
      </c>
      <c r="F347" s="38" t="s">
        <v>687</v>
      </c>
      <c r="G347" s="38" t="s">
        <v>688</v>
      </c>
      <c r="H347" s="39" t="s">
        <v>56</v>
      </c>
      <c r="I347" s="39" t="s">
        <v>114</v>
      </c>
      <c r="J347" s="40" t="s">
        <v>21</v>
      </c>
      <c r="K347" s="41" t="s">
        <v>22</v>
      </c>
      <c r="L347" s="42" t="s">
        <v>23</v>
      </c>
      <c r="M347" s="43" t="s">
        <v>24</v>
      </c>
      <c r="N347" s="42" t="s">
        <v>25</v>
      </c>
      <c r="O347" s="42" t="s">
        <v>21</v>
      </c>
      <c r="P347" s="44"/>
    </row>
    <row r="348" spans="1:16" customFormat="1" x14ac:dyDescent="0.25">
      <c r="A348" t="str">
        <f t="shared" si="5"/>
        <v>ALR_TEMPERATURA_ALTA_TRAFO-Allarme alta temperatura trasformatore</v>
      </c>
      <c r="B348" t="str">
        <f>VLOOKUP(A348,'EXPORT IRIS PROD 13-11-2024'!A:A,1,0)</f>
        <v>ALR_TEMPERATURA_ALTA_TRAFO-Allarme alta temperatura trasformatore</v>
      </c>
      <c r="C348" t="str">
        <f>VLOOKUP(F348,'EXPORT IRIS PROD 13-11-2024'!F:F,1,0)</f>
        <v>ALR_TEMPERATURA_ALTA_TRAFO</v>
      </c>
      <c r="D348" t="str">
        <f>VLOOKUP(G348,'EXPORT IRIS PROD 13-11-2024'!D:D,1,0)</f>
        <v>Allarme alta temperatura trasformatore</v>
      </c>
      <c r="E348" s="37" t="s">
        <v>53</v>
      </c>
      <c r="F348" s="38" t="s">
        <v>689</v>
      </c>
      <c r="G348" s="38" t="s">
        <v>690</v>
      </c>
      <c r="H348" s="39" t="s">
        <v>56</v>
      </c>
      <c r="I348" s="39" t="s">
        <v>208</v>
      </c>
      <c r="J348" s="40" t="s">
        <v>21</v>
      </c>
      <c r="K348" s="41" t="s">
        <v>22</v>
      </c>
      <c r="L348" s="42" t="s">
        <v>23</v>
      </c>
      <c r="M348" s="43" t="s">
        <v>24</v>
      </c>
      <c r="N348" s="42" t="s">
        <v>25</v>
      </c>
      <c r="O348" s="42" t="s">
        <v>21</v>
      </c>
      <c r="P348" s="44"/>
    </row>
    <row r="349" spans="1:16" customFormat="1" x14ac:dyDescent="0.25">
      <c r="A349" t="str">
        <f t="shared" si="5"/>
        <v>ALR_TEMPERATURA_BASSA-Allarme temperatura bassa</v>
      </c>
      <c r="B349" t="str">
        <f>VLOOKUP(A349,'EXPORT IRIS PROD 13-11-2024'!A:A,1,0)</f>
        <v>ALR_TEMPERATURA_BASSA-Allarme temperatura bassa</v>
      </c>
      <c r="C349" t="str">
        <f>VLOOKUP(F349,'EXPORT IRIS PROD 13-11-2024'!F:F,1,0)</f>
        <v>ALR_TEMPERATURA_BASSA</v>
      </c>
      <c r="D349" t="str">
        <f>VLOOKUP(G349,'EXPORT IRIS PROD 13-11-2024'!D:D,1,0)</f>
        <v>Allarme temperatura bassa</v>
      </c>
      <c r="E349" s="37" t="s">
        <v>53</v>
      </c>
      <c r="F349" s="38" t="s">
        <v>691</v>
      </c>
      <c r="G349" s="38" t="s">
        <v>692</v>
      </c>
      <c r="H349" s="39" t="s">
        <v>56</v>
      </c>
      <c r="I349" s="39" t="s">
        <v>57</v>
      </c>
      <c r="J349" s="40" t="s">
        <v>21</v>
      </c>
      <c r="K349" s="41" t="s">
        <v>22</v>
      </c>
      <c r="L349" s="42" t="s">
        <v>23</v>
      </c>
      <c r="M349" s="43" t="s">
        <v>24</v>
      </c>
      <c r="N349" s="42" t="s">
        <v>25</v>
      </c>
      <c r="O349" s="42" t="s">
        <v>21</v>
      </c>
      <c r="P349" s="44"/>
    </row>
    <row r="350" spans="1:16" customFormat="1" x14ac:dyDescent="0.25">
      <c r="A350" t="str">
        <f t="shared" si="5"/>
        <v>ALR_TEMPERATURA_BASSA_OLIO-Allarme temperatura olio bassa</v>
      </c>
      <c r="B350" t="str">
        <f>VLOOKUP(A350,'EXPORT IRIS PROD 13-11-2024'!A:A,1,0)</f>
        <v>ALR_TEMPERATURA_BASSA_OLIO-Allarme temperatura olio bassa</v>
      </c>
      <c r="C350" t="str">
        <f>VLOOKUP(F350,'EXPORT IRIS PROD 13-11-2024'!F:F,1,0)</f>
        <v>ALR_TEMPERATURA_BASSA_OLIO</v>
      </c>
      <c r="D350" t="str">
        <f>VLOOKUP(G350,'EXPORT IRIS PROD 13-11-2024'!D:D,1,0)</f>
        <v>Allarme temperatura olio bassa</v>
      </c>
      <c r="E350" s="37" t="s">
        <v>53</v>
      </c>
      <c r="F350" s="38" t="s">
        <v>693</v>
      </c>
      <c r="G350" s="38" t="s">
        <v>694</v>
      </c>
      <c r="H350" s="39" t="s">
        <v>56</v>
      </c>
      <c r="I350" s="39" t="s">
        <v>57</v>
      </c>
      <c r="J350" s="40" t="s">
        <v>21</v>
      </c>
      <c r="K350" s="41" t="s">
        <v>22</v>
      </c>
      <c r="L350" s="42" t="s">
        <v>23</v>
      </c>
      <c r="M350" s="43" t="s">
        <v>24</v>
      </c>
      <c r="N350" s="42" t="s">
        <v>25</v>
      </c>
      <c r="O350" s="42" t="s">
        <v>21</v>
      </c>
      <c r="P350" s="44"/>
    </row>
    <row r="351" spans="1:16" customFormat="1" x14ac:dyDescent="0.25">
      <c r="A351" t="str">
        <f t="shared" si="5"/>
        <v>ALR_TENSIONE_MAX-Allarme tensione Gruppo Elettrogeno fuori limiti</v>
      </c>
      <c r="B351" t="str">
        <f>VLOOKUP(A351,'EXPORT IRIS PROD 13-11-2024'!A:A,1,0)</f>
        <v>ALR_TENSIONE_MAX-Allarme tensione Gruppo Elettrogeno fuori limiti</v>
      </c>
      <c r="C351" t="str">
        <f>VLOOKUP(F351,'EXPORT IRIS PROD 13-11-2024'!F:F,1,0)</f>
        <v>ALR_TENSIONE_MAX</v>
      </c>
      <c r="D351" t="str">
        <f>VLOOKUP(G351,'EXPORT IRIS PROD 13-11-2024'!D:D,1,0)</f>
        <v>Allarme tensione Gruppo Elettrogeno fuori limiti</v>
      </c>
      <c r="E351" s="37" t="s">
        <v>53</v>
      </c>
      <c r="F351" s="38" t="s">
        <v>695</v>
      </c>
      <c r="G351" s="38" t="s">
        <v>696</v>
      </c>
      <c r="H351" s="39" t="s">
        <v>56</v>
      </c>
      <c r="I351" s="39" t="s">
        <v>57</v>
      </c>
      <c r="J351" s="40" t="s">
        <v>21</v>
      </c>
      <c r="K351" s="41" t="s">
        <v>22</v>
      </c>
      <c r="L351" s="42" t="s">
        <v>23</v>
      </c>
      <c r="M351" s="43" t="s">
        <v>24</v>
      </c>
      <c r="N351" s="42" t="s">
        <v>25</v>
      </c>
      <c r="O351" s="42" t="s">
        <v>21</v>
      </c>
      <c r="P351" s="44"/>
    </row>
    <row r="352" spans="1:16" customFormat="1" x14ac:dyDescent="0.25">
      <c r="A352" t="str">
        <f t="shared" si="5"/>
        <v>ALR_TIMEOUT_ACCENSIONE_PERMANENTI_DIR_NORD-Allarme timeout accensione luci permanenti dir. Nord</v>
      </c>
      <c r="B352" t="str">
        <f>VLOOKUP(A352,'EXPORT IRIS PROD 13-11-2024'!A:A,1,0)</f>
        <v>ALR_TIMEOUT_ACCENSIONE_PERMANENTI_DIR_NORD-Allarme timeout accensione luci permanenti dir. Nord</v>
      </c>
      <c r="C352" t="str">
        <f>VLOOKUP(F352,'EXPORT IRIS PROD 13-11-2024'!F:F,1,0)</f>
        <v>ALR_TIMEOUT_ACCENSIONE_PERMANENTI_DIR_NORD</v>
      </c>
      <c r="D352" t="str">
        <f>VLOOKUP(G352,'EXPORT IRIS PROD 13-11-2024'!D:D,1,0)</f>
        <v>Allarme timeout accensione luci permanenti dir. Nord</v>
      </c>
      <c r="E352" s="37" t="s">
        <v>115</v>
      </c>
      <c r="F352" s="38" t="s">
        <v>697</v>
      </c>
      <c r="G352" s="38" t="s">
        <v>698</v>
      </c>
      <c r="H352" s="39" t="s">
        <v>116</v>
      </c>
      <c r="I352" s="39" t="s">
        <v>699</v>
      </c>
      <c r="J352" s="40" t="s">
        <v>21</v>
      </c>
      <c r="K352" s="41" t="s">
        <v>22</v>
      </c>
      <c r="L352" s="42" t="s">
        <v>23</v>
      </c>
      <c r="M352" s="43" t="s">
        <v>24</v>
      </c>
      <c r="N352" s="42" t="s">
        <v>25</v>
      </c>
      <c r="O352" s="42" t="s">
        <v>21</v>
      </c>
      <c r="P352" s="44"/>
    </row>
    <row r="353" spans="1:16" customFormat="1" x14ac:dyDescent="0.25">
      <c r="A353" t="str">
        <f t="shared" si="5"/>
        <v>ALR_TIMEOUT_ACCENSIONE_PERMANENTI_DIR_SUD-Allarme timeout accensione luci permanenti dir. Sud</v>
      </c>
      <c r="B353" t="str">
        <f>VLOOKUP(A353,'EXPORT IRIS PROD 13-11-2024'!A:A,1,0)</f>
        <v>ALR_TIMEOUT_ACCENSIONE_PERMANENTI_DIR_SUD-Allarme timeout accensione luci permanenti dir. Sud</v>
      </c>
      <c r="C353" t="str">
        <f>VLOOKUP(F353,'EXPORT IRIS PROD 13-11-2024'!F:F,1,0)</f>
        <v>ALR_TIMEOUT_ACCENSIONE_PERMANENTI_DIR_SUD</v>
      </c>
      <c r="D353" t="str">
        <f>VLOOKUP(G353,'EXPORT IRIS PROD 13-11-2024'!D:D,1,0)</f>
        <v>Allarme timeout accensione luci permanenti dir. Sud</v>
      </c>
      <c r="E353" s="37" t="s">
        <v>115</v>
      </c>
      <c r="F353" s="38" t="s">
        <v>700</v>
      </c>
      <c r="G353" s="38" t="s">
        <v>701</v>
      </c>
      <c r="H353" s="39" t="s">
        <v>116</v>
      </c>
      <c r="I353" s="39" t="s">
        <v>699</v>
      </c>
      <c r="J353" s="40" t="s">
        <v>21</v>
      </c>
      <c r="K353" s="41" t="s">
        <v>22</v>
      </c>
      <c r="L353" s="42" t="s">
        <v>23</v>
      </c>
      <c r="M353" s="43" t="s">
        <v>24</v>
      </c>
      <c r="N353" s="42" t="s">
        <v>25</v>
      </c>
      <c r="O353" s="42" t="s">
        <v>21</v>
      </c>
      <c r="P353" s="44"/>
    </row>
    <row r="354" spans="1:16" customFormat="1" x14ac:dyDescent="0.25">
      <c r="A354" t="str">
        <f t="shared" si="5"/>
        <v>ALR_TIMEOUT_ACCENSIONE_RINFORZI_DIR_NORD-Allarme timeout accensione luci di rinforzo dir. Nord</v>
      </c>
      <c r="B354" t="str">
        <f>VLOOKUP(A354,'EXPORT IRIS PROD 13-11-2024'!A:A,1,0)</f>
        <v>ALR_TIMEOUT_ACCENSIONE_RINFORZI_DIR_NORD-Allarme timeout accensione luci di rinforzo dir. Nord</v>
      </c>
      <c r="C354" t="str">
        <f>VLOOKUP(F354,'EXPORT IRIS PROD 13-11-2024'!F:F,1,0)</f>
        <v>ALR_TIMEOUT_ACCENSIONE_RINFORZI_DIR_NORD</v>
      </c>
      <c r="D354" t="str">
        <f>VLOOKUP(G354,'EXPORT IRIS PROD 13-11-2024'!D:D,1,0)</f>
        <v>Allarme timeout accensione luci di rinforzo dir. Nord</v>
      </c>
      <c r="E354" s="37" t="s">
        <v>115</v>
      </c>
      <c r="F354" s="38" t="s">
        <v>702</v>
      </c>
      <c r="G354" s="38" t="s">
        <v>703</v>
      </c>
      <c r="H354" s="39" t="s">
        <v>116</v>
      </c>
      <c r="I354" s="39" t="s">
        <v>704</v>
      </c>
      <c r="J354" s="40" t="s">
        <v>21</v>
      </c>
      <c r="K354" s="41" t="s">
        <v>22</v>
      </c>
      <c r="L354" s="42" t="s">
        <v>23</v>
      </c>
      <c r="M354" s="43" t="s">
        <v>24</v>
      </c>
      <c r="N354" s="42" t="s">
        <v>25</v>
      </c>
      <c r="O354" s="42" t="s">
        <v>21</v>
      </c>
      <c r="P354" s="44"/>
    </row>
    <row r="355" spans="1:16" customFormat="1" x14ac:dyDescent="0.25">
      <c r="A355" t="str">
        <f t="shared" si="5"/>
        <v>ALR_TIMEOUT_ACCENSIONE_RINFORZI_DIR_SUD-Allarme timeout accensione luci di rinforzo dir. Sud</v>
      </c>
      <c r="B355" t="str">
        <f>VLOOKUP(A355,'EXPORT IRIS PROD 13-11-2024'!A:A,1,0)</f>
        <v>ALR_TIMEOUT_ACCENSIONE_RINFORZI_DIR_SUD-Allarme timeout accensione luci di rinforzo dir. Sud</v>
      </c>
      <c r="C355" t="str">
        <f>VLOOKUP(F355,'EXPORT IRIS PROD 13-11-2024'!F:F,1,0)</f>
        <v>ALR_TIMEOUT_ACCENSIONE_RINFORZI_DIR_SUD</v>
      </c>
      <c r="D355" t="str">
        <f>VLOOKUP(G355,'EXPORT IRIS PROD 13-11-2024'!D:D,1,0)</f>
        <v>Allarme timeout accensione luci di rinforzo dir. Sud</v>
      </c>
      <c r="E355" s="37" t="s">
        <v>115</v>
      </c>
      <c r="F355" s="38" t="s">
        <v>705</v>
      </c>
      <c r="G355" s="38" t="s">
        <v>706</v>
      </c>
      <c r="H355" s="39" t="s">
        <v>116</v>
      </c>
      <c r="I355" s="39" t="s">
        <v>704</v>
      </c>
      <c r="J355" s="40" t="s">
        <v>21</v>
      </c>
      <c r="K355" s="41" t="s">
        <v>22</v>
      </c>
      <c r="L355" s="42" t="s">
        <v>23</v>
      </c>
      <c r="M355" s="43" t="s">
        <v>24</v>
      </c>
      <c r="N355" s="42" t="s">
        <v>25</v>
      </c>
      <c r="O355" s="42" t="s">
        <v>21</v>
      </c>
      <c r="P355" s="44"/>
    </row>
    <row r="356" spans="1:16" customFormat="1" x14ac:dyDescent="0.25">
      <c r="A356" t="str">
        <f t="shared" si="5"/>
        <v>ALR_TIMEOUT_CONNESSIONE-Allarme timeout connessione</v>
      </c>
      <c r="B356" t="str">
        <f>VLOOKUP(A356,'EXPORT IRIS PROD 13-11-2024'!A:A,1,0)</f>
        <v>ALR_TIMEOUT_CONNESSIONE-Allarme timeout connessione</v>
      </c>
      <c r="C356" t="str">
        <f>VLOOKUP(F356,'EXPORT IRIS PROD 13-11-2024'!F:F,1,0)</f>
        <v>ALR_TIMEOUT_CONNESSIONE</v>
      </c>
      <c r="D356" t="str">
        <f>VLOOKUP(G356,'EXPORT IRIS PROD 13-11-2024'!D:D,1,0)</f>
        <v>Allarme timeout connessione</v>
      </c>
      <c r="E356" s="37" t="s">
        <v>109</v>
      </c>
      <c r="F356" s="38" t="s">
        <v>707</v>
      </c>
      <c r="G356" s="38" t="s">
        <v>708</v>
      </c>
      <c r="H356" s="39" t="s">
        <v>111</v>
      </c>
      <c r="I356" s="39" t="s">
        <v>127</v>
      </c>
      <c r="J356" s="40" t="s">
        <v>21</v>
      </c>
      <c r="K356" s="41" t="s">
        <v>22</v>
      </c>
      <c r="L356" s="42" t="s">
        <v>23</v>
      </c>
      <c r="M356" s="43" t="s">
        <v>24</v>
      </c>
      <c r="N356" s="42" t="s">
        <v>25</v>
      </c>
      <c r="O356" s="42" t="s">
        <v>21</v>
      </c>
      <c r="P356" s="44"/>
    </row>
    <row r="357" spans="1:16" customFormat="1" x14ac:dyDescent="0.25">
      <c r="A357" t="str">
        <f t="shared" si="5"/>
        <v>ALR_TIMEOUT_DIR_NORD-Allarme timeout dir. Nord</v>
      </c>
      <c r="B357" t="str">
        <f>VLOOKUP(A357,'EXPORT IRIS PROD 13-11-2024'!A:A,1,0)</f>
        <v>ALR_TIMEOUT_DIR_NORD-Allarme timeout dir. Nord</v>
      </c>
      <c r="C357" t="str">
        <f>VLOOKUP(F357,'EXPORT IRIS PROD 13-11-2024'!F:F,1,0)</f>
        <v>ALR_TIMEOUT_DIR_NORD</v>
      </c>
      <c r="D357" t="str">
        <f>VLOOKUP(G357,'EXPORT IRIS PROD 13-11-2024'!D:D,1,0)</f>
        <v>Allarme timeout dir. Nord</v>
      </c>
      <c r="E357" s="37" t="s">
        <v>85</v>
      </c>
      <c r="F357" s="38" t="s">
        <v>709</v>
      </c>
      <c r="G357" s="38" t="s">
        <v>710</v>
      </c>
      <c r="H357" s="39" t="s">
        <v>50</v>
      </c>
      <c r="I357" s="39" t="s">
        <v>124</v>
      </c>
      <c r="J357" s="40" t="s">
        <v>21</v>
      </c>
      <c r="K357" s="41" t="s">
        <v>22</v>
      </c>
      <c r="L357" s="42" t="s">
        <v>23</v>
      </c>
      <c r="M357" s="43" t="s">
        <v>24</v>
      </c>
      <c r="N357" s="42" t="s">
        <v>25</v>
      </c>
      <c r="O357" s="42" t="s">
        <v>21</v>
      </c>
      <c r="P357" s="44"/>
    </row>
    <row r="358" spans="1:16" customFormat="1" x14ac:dyDescent="0.25">
      <c r="A358" t="str">
        <f t="shared" si="5"/>
        <v>ALR_TIMEOUT_DIR_SUD-Allarme timeout dir. Sud</v>
      </c>
      <c r="B358" t="str">
        <f>VLOOKUP(A358,'EXPORT IRIS PROD 13-11-2024'!A:A,1,0)</f>
        <v>ALR_TIMEOUT_DIR_SUD-Allarme timeout dir. Sud</v>
      </c>
      <c r="C358" t="str">
        <f>VLOOKUP(F358,'EXPORT IRIS PROD 13-11-2024'!F:F,1,0)</f>
        <v>ALR_TIMEOUT_DIR_SUD</v>
      </c>
      <c r="D358" t="str">
        <f>VLOOKUP(G358,'EXPORT IRIS PROD 13-11-2024'!D:D,1,0)</f>
        <v>Allarme timeout dir. Sud</v>
      </c>
      <c r="E358" s="37" t="s">
        <v>85</v>
      </c>
      <c r="F358" s="38" t="s">
        <v>711</v>
      </c>
      <c r="G358" s="38" t="s">
        <v>712</v>
      </c>
      <c r="H358" s="39" t="s">
        <v>50</v>
      </c>
      <c r="I358" s="39" t="s">
        <v>124</v>
      </c>
      <c r="J358" s="40" t="s">
        <v>21</v>
      </c>
      <c r="K358" s="41" t="s">
        <v>22</v>
      </c>
      <c r="L358" s="42" t="s">
        <v>23</v>
      </c>
      <c r="M358" s="43" t="s">
        <v>24</v>
      </c>
      <c r="N358" s="42" t="s">
        <v>25</v>
      </c>
      <c r="O358" s="42" t="s">
        <v>21</v>
      </c>
      <c r="P358" s="44"/>
    </row>
    <row r="359" spans="1:16" customFormat="1" x14ac:dyDescent="0.25">
      <c r="A359" t="str">
        <f t="shared" si="5"/>
        <v>ALR_TIMEOUT_ESCLUSIONE_PICCHETTI_LUMINOSI-Allarme timeout esclusione picchetti luminosi</v>
      </c>
      <c r="B359" t="str">
        <f>VLOOKUP(A359,'EXPORT IRIS PROD 13-11-2024'!A:A,1,0)</f>
        <v>ALR_TIMEOUT_ESCLUSIONE_PICCHETTI_LUMINOSI-Allarme timeout esclusione picchetti luminosi</v>
      </c>
      <c r="C359" t="str">
        <f>VLOOKUP(F359,'EXPORT IRIS PROD 13-11-2024'!F:F,1,0)</f>
        <v>ALR_TIMEOUT_ESCLUSIONE_PICCHETTI_LUMINOSI</v>
      </c>
      <c r="D359" t="str">
        <f>VLOOKUP(G359,'EXPORT IRIS PROD 13-11-2024'!D:D,1,0)</f>
        <v>Allarme timeout esclusione picchetti luminosi</v>
      </c>
      <c r="E359" s="37" t="s">
        <v>115</v>
      </c>
      <c r="F359" s="38" t="s">
        <v>713</v>
      </c>
      <c r="G359" s="38" t="s">
        <v>714</v>
      </c>
      <c r="H359" s="39" t="s">
        <v>116</v>
      </c>
      <c r="I359" s="39" t="s">
        <v>715</v>
      </c>
      <c r="J359" s="40" t="s">
        <v>21</v>
      </c>
      <c r="K359" s="41" t="s">
        <v>22</v>
      </c>
      <c r="L359" s="42" t="s">
        <v>23</v>
      </c>
      <c r="M359" s="43" t="s">
        <v>24</v>
      </c>
      <c r="N359" s="42" t="s">
        <v>25</v>
      </c>
      <c r="O359" s="42" t="s">
        <v>21</v>
      </c>
      <c r="P359" s="44"/>
    </row>
    <row r="360" spans="1:16" customFormat="1" x14ac:dyDescent="0.25">
      <c r="A360" t="str">
        <f t="shared" si="5"/>
        <v>ALR_TIMEOUT_FORZATURA_PICCHETTI_LUMINOSI-Allarme timeout forzatura picchetti luminosi</v>
      </c>
      <c r="B360" t="str">
        <f>VLOOKUP(A360,'EXPORT IRIS PROD 13-11-2024'!A:A,1,0)</f>
        <v>ALR_TIMEOUT_FORZATURA_PICCHETTI_LUMINOSI-Allarme timeout forzatura picchetti luminosi</v>
      </c>
      <c r="C360" t="str">
        <f>VLOOKUP(F360,'EXPORT IRIS PROD 13-11-2024'!F:F,1,0)</f>
        <v>ALR_TIMEOUT_FORZATURA_PICCHETTI_LUMINOSI</v>
      </c>
      <c r="D360" t="str">
        <f>VLOOKUP(G360,'EXPORT IRIS PROD 13-11-2024'!D:D,1,0)</f>
        <v>Allarme timeout forzatura picchetti luminosi</v>
      </c>
      <c r="E360" s="37" t="s">
        <v>115</v>
      </c>
      <c r="F360" s="38" t="s">
        <v>716</v>
      </c>
      <c r="G360" s="38" t="s">
        <v>717</v>
      </c>
      <c r="H360" s="39" t="s">
        <v>116</v>
      </c>
      <c r="I360" s="39" t="s">
        <v>715</v>
      </c>
      <c r="J360" s="40" t="s">
        <v>21</v>
      </c>
      <c r="K360" s="41" t="s">
        <v>22</v>
      </c>
      <c r="L360" s="42" t="s">
        <v>23</v>
      </c>
      <c r="M360" s="43" t="s">
        <v>24</v>
      </c>
      <c r="N360" s="42" t="s">
        <v>25</v>
      </c>
      <c r="O360" s="42" t="s">
        <v>21</v>
      </c>
      <c r="P360" s="44"/>
    </row>
    <row r="361" spans="1:16" customFormat="1" x14ac:dyDescent="0.25">
      <c r="A361" t="str">
        <f t="shared" si="5"/>
        <v>ALR_TIMEOUT_GIROFARO-Allarme timeout girofaro</v>
      </c>
      <c r="B361" t="str">
        <f>VLOOKUP(A361,'EXPORT IRIS PROD 13-11-2024'!A:A,1,0)</f>
        <v>ALR_TIMEOUT_GIROFARO-Allarme timeout girofaro</v>
      </c>
      <c r="C361" t="str">
        <f>VLOOKUP(F361,'EXPORT IRIS PROD 13-11-2024'!F:F,1,0)</f>
        <v>ALR_TIMEOUT_GIROFARO</v>
      </c>
      <c r="D361" t="str">
        <f>VLOOKUP(G361,'EXPORT IRIS PROD 13-11-2024'!D:D,1,0)</f>
        <v>Allarme timeout girofaro</v>
      </c>
      <c r="E361" s="37" t="s">
        <v>89</v>
      </c>
      <c r="F361" s="38" t="s">
        <v>718</v>
      </c>
      <c r="G361" s="38" t="s">
        <v>719</v>
      </c>
      <c r="H361" s="39" t="s">
        <v>29</v>
      </c>
      <c r="I361" s="39" t="s">
        <v>360</v>
      </c>
      <c r="J361" s="40" t="s">
        <v>21</v>
      </c>
      <c r="K361" s="41" t="s">
        <v>22</v>
      </c>
      <c r="L361" s="42" t="s">
        <v>23</v>
      </c>
      <c r="M361" s="43" t="s">
        <v>157</v>
      </c>
      <c r="N361" s="42" t="s">
        <v>158</v>
      </c>
      <c r="O361" s="42" t="s">
        <v>21</v>
      </c>
      <c r="P361" s="44"/>
    </row>
    <row r="362" spans="1:16" customFormat="1" x14ac:dyDescent="0.25">
      <c r="A362" t="str">
        <f t="shared" si="5"/>
        <v>ALR_TIMEOUT_LUCE_GIALLA-Allarme timeout semaforo luce gialla</v>
      </c>
      <c r="B362" t="str">
        <f>VLOOKUP(A362,'EXPORT IRIS PROD 13-11-2024'!A:A,1,0)</f>
        <v>ALR_TIMEOUT_LUCE_GIALLA-Allarme timeout semaforo luce gialla</v>
      </c>
      <c r="C362" t="str">
        <f>VLOOKUP(F362,'EXPORT IRIS PROD 13-11-2024'!F:F,1,0)</f>
        <v>ALR_TIMEOUT_LUCE_GIALLA</v>
      </c>
      <c r="D362" t="str">
        <f>VLOOKUP(G362,'EXPORT IRIS PROD 13-11-2024'!D:D,1,0)</f>
        <v>Allarme timeout semaforo luce gialla</v>
      </c>
      <c r="E362" s="37" t="s">
        <v>109</v>
      </c>
      <c r="F362" s="38" t="s">
        <v>720</v>
      </c>
      <c r="G362" s="38" t="s">
        <v>721</v>
      </c>
      <c r="H362" s="39" t="s">
        <v>111</v>
      </c>
      <c r="I362" s="39" t="s">
        <v>376</v>
      </c>
      <c r="J362" s="40" t="s">
        <v>21</v>
      </c>
      <c r="K362" s="41" t="s">
        <v>22</v>
      </c>
      <c r="L362" s="42" t="s">
        <v>23</v>
      </c>
      <c r="M362" s="43" t="s">
        <v>24</v>
      </c>
      <c r="N362" s="42" t="s">
        <v>25</v>
      </c>
      <c r="O362" s="42" t="s">
        <v>21</v>
      </c>
      <c r="P362" s="44"/>
    </row>
    <row r="363" spans="1:16" customFormat="1" x14ac:dyDescent="0.25">
      <c r="A363" t="str">
        <f t="shared" si="5"/>
        <v>ALR_TIMEOUT_LUCE_ROSSA-Allarme timeout semaforo luce rossa</v>
      </c>
      <c r="B363" t="str">
        <f>VLOOKUP(A363,'EXPORT IRIS PROD 13-11-2024'!A:A,1,0)</f>
        <v>ALR_TIMEOUT_LUCE_ROSSA-Allarme timeout semaforo luce rossa</v>
      </c>
      <c r="C363" t="str">
        <f>VLOOKUP(F363,'EXPORT IRIS PROD 13-11-2024'!F:F,1,0)</f>
        <v>ALR_TIMEOUT_LUCE_ROSSA</v>
      </c>
      <c r="D363" t="str">
        <f>VLOOKUP(G363,'EXPORT IRIS PROD 13-11-2024'!D:D,1,0)</f>
        <v>Allarme timeout semaforo luce rossa</v>
      </c>
      <c r="E363" s="37" t="s">
        <v>109</v>
      </c>
      <c r="F363" s="38" t="s">
        <v>722</v>
      </c>
      <c r="G363" s="38" t="s">
        <v>723</v>
      </c>
      <c r="H363" s="39" t="s">
        <v>111</v>
      </c>
      <c r="I363" s="39" t="s">
        <v>376</v>
      </c>
      <c r="J363" s="40" t="s">
        <v>21</v>
      </c>
      <c r="K363" s="41" t="s">
        <v>22</v>
      </c>
      <c r="L363" s="42" t="s">
        <v>23</v>
      </c>
      <c r="M363" s="43" t="s">
        <v>24</v>
      </c>
      <c r="N363" s="42" t="s">
        <v>25</v>
      </c>
      <c r="O363" s="42" t="s">
        <v>21</v>
      </c>
      <c r="P363" s="44"/>
    </row>
    <row r="364" spans="1:16" customFormat="1" x14ac:dyDescent="0.25">
      <c r="A364" t="str">
        <f t="shared" si="5"/>
        <v>ALR_TIMEOUT_LUCE_VERDE-Allarme timeout semaforo luce verde</v>
      </c>
      <c r="B364" t="str">
        <f>VLOOKUP(A364,'EXPORT IRIS PROD 13-11-2024'!A:A,1,0)</f>
        <v>ALR_TIMEOUT_LUCE_VERDE-Allarme timeout semaforo luce verde</v>
      </c>
      <c r="C364" t="str">
        <f>VLOOKUP(F364,'EXPORT IRIS PROD 13-11-2024'!F:F,1,0)</f>
        <v>ALR_TIMEOUT_LUCE_VERDE</v>
      </c>
      <c r="D364" t="str">
        <f>VLOOKUP(G364,'EXPORT IRIS PROD 13-11-2024'!D:D,1,0)</f>
        <v>Allarme timeout semaforo luce verde</v>
      </c>
      <c r="E364" s="37" t="s">
        <v>109</v>
      </c>
      <c r="F364" s="38" t="s">
        <v>724</v>
      </c>
      <c r="G364" s="38" t="s">
        <v>725</v>
      </c>
      <c r="H364" s="39" t="s">
        <v>111</v>
      </c>
      <c r="I364" s="39" t="s">
        <v>376</v>
      </c>
      <c r="J364" s="40" t="s">
        <v>21</v>
      </c>
      <c r="K364" s="41" t="s">
        <v>22</v>
      </c>
      <c r="L364" s="42" t="s">
        <v>23</v>
      </c>
      <c r="M364" s="43" t="s">
        <v>24</v>
      </c>
      <c r="N364" s="42" t="s">
        <v>25</v>
      </c>
      <c r="O364" s="42" t="s">
        <v>21</v>
      </c>
      <c r="P364" s="44"/>
    </row>
    <row r="365" spans="1:16" customFormat="1" x14ac:dyDescent="0.25">
      <c r="A365" t="str">
        <f t="shared" si="5"/>
        <v>ALR_TIMEOUT_SIRENA-Allarme timeout sirena</v>
      </c>
      <c r="B365" t="str">
        <f>VLOOKUP(A365,'EXPORT IRIS PROD 13-11-2024'!A:A,1,0)</f>
        <v>ALR_TIMEOUT_SIRENA-Allarme timeout sirena</v>
      </c>
      <c r="C365" t="str">
        <f>VLOOKUP(F365,'EXPORT IRIS PROD 13-11-2024'!F:F,1,0)</f>
        <v>ALR_TIMEOUT_SIRENA</v>
      </c>
      <c r="D365" t="str">
        <f>VLOOKUP(G365,'EXPORT IRIS PROD 13-11-2024'!D:D,1,0)</f>
        <v>Allarme timeout sirena</v>
      </c>
      <c r="E365" s="37" t="s">
        <v>89</v>
      </c>
      <c r="F365" s="38" t="s">
        <v>726</v>
      </c>
      <c r="G365" s="38" t="s">
        <v>727</v>
      </c>
      <c r="H365" s="39" t="s">
        <v>29</v>
      </c>
      <c r="I365" s="39" t="s">
        <v>360</v>
      </c>
      <c r="J365" s="40" t="s">
        <v>21</v>
      </c>
      <c r="K365" s="41" t="s">
        <v>22</v>
      </c>
      <c r="L365" s="42" t="s">
        <v>23</v>
      </c>
      <c r="M365" s="43" t="s">
        <v>157</v>
      </c>
      <c r="N365" s="42" t="s">
        <v>158</v>
      </c>
      <c r="O365" s="42" t="s">
        <v>21</v>
      </c>
      <c r="P365" s="44"/>
    </row>
    <row r="366" spans="1:16" customFormat="1" x14ac:dyDescent="0.25">
      <c r="A366" t="str">
        <f t="shared" si="5"/>
        <v>ALR_TIMEOUT_SPEGNIMENTO_PERMANENTI_DIR_NORD-Allarme timeout spegnimento luci permanenti dir. Nord</v>
      </c>
      <c r="B366" t="str">
        <f>VLOOKUP(A366,'EXPORT IRIS PROD 13-11-2024'!A:A,1,0)</f>
        <v>ALR_TIMEOUT_SPEGNIMENTO_PERMANENTI_DIR_NORD-Allarme timeout spegnimento luci permanenti dir. Nord</v>
      </c>
      <c r="C366" t="str">
        <f>VLOOKUP(F366,'EXPORT IRIS PROD 13-11-2024'!F:F,1,0)</f>
        <v>ALR_TIMEOUT_SPEGNIMENTO_PERMANENTI_DIR_NORD</v>
      </c>
      <c r="D366" t="str">
        <f>VLOOKUP(G366,'EXPORT IRIS PROD 13-11-2024'!D:D,1,0)</f>
        <v>Allarme timeout spegnimento luci permanenti dir. Nord</v>
      </c>
      <c r="E366" s="37" t="s">
        <v>115</v>
      </c>
      <c r="F366" s="38" t="s">
        <v>728</v>
      </c>
      <c r="G366" s="38" t="s">
        <v>729</v>
      </c>
      <c r="H366" s="39" t="s">
        <v>116</v>
      </c>
      <c r="I366" s="39" t="s">
        <v>699</v>
      </c>
      <c r="J366" s="40" t="s">
        <v>21</v>
      </c>
      <c r="K366" s="41" t="s">
        <v>22</v>
      </c>
      <c r="L366" s="42" t="s">
        <v>23</v>
      </c>
      <c r="M366" s="43" t="s">
        <v>24</v>
      </c>
      <c r="N366" s="42" t="s">
        <v>25</v>
      </c>
      <c r="O366" s="42" t="s">
        <v>21</v>
      </c>
      <c r="P366" s="44"/>
    </row>
    <row r="367" spans="1:16" customFormat="1" x14ac:dyDescent="0.25">
      <c r="A367" t="str">
        <f t="shared" si="5"/>
        <v>ALR_TIMEOUT_SPEGNIMENTO_PERMANENTI_DIR_SUD-Allarme timeout spegnimento luci permanenti dir. Sud</v>
      </c>
      <c r="B367" t="str">
        <f>VLOOKUP(A367,'EXPORT IRIS PROD 13-11-2024'!A:A,1,0)</f>
        <v>ALR_TIMEOUT_SPEGNIMENTO_PERMANENTI_DIR_SUD-Allarme timeout spegnimento luci permanenti dir. Sud</v>
      </c>
      <c r="C367" t="str">
        <f>VLOOKUP(F367,'EXPORT IRIS PROD 13-11-2024'!F:F,1,0)</f>
        <v>ALR_TIMEOUT_SPEGNIMENTO_PERMANENTI_DIR_SUD</v>
      </c>
      <c r="D367" t="str">
        <f>VLOOKUP(G367,'EXPORT IRIS PROD 13-11-2024'!D:D,1,0)</f>
        <v>Allarme timeout spegnimento luci permanenti dir. Sud</v>
      </c>
      <c r="E367" s="37" t="s">
        <v>115</v>
      </c>
      <c r="F367" s="38" t="s">
        <v>730</v>
      </c>
      <c r="G367" s="38" t="s">
        <v>731</v>
      </c>
      <c r="H367" s="39" t="s">
        <v>116</v>
      </c>
      <c r="I367" s="39" t="s">
        <v>699</v>
      </c>
      <c r="J367" s="40" t="s">
        <v>21</v>
      </c>
      <c r="K367" s="41" t="s">
        <v>22</v>
      </c>
      <c r="L367" s="42" t="s">
        <v>23</v>
      </c>
      <c r="M367" s="43" t="s">
        <v>24</v>
      </c>
      <c r="N367" s="42" t="s">
        <v>25</v>
      </c>
      <c r="O367" s="42" t="s">
        <v>21</v>
      </c>
      <c r="P367" s="44"/>
    </row>
    <row r="368" spans="1:16" customFormat="1" x14ac:dyDescent="0.25">
      <c r="A368" t="str">
        <f t="shared" si="5"/>
        <v>ALR_TIMEOUT_SPEGNIMENTO_RINFORZI_DIR_NORD-Allarme timeout spegnimento luci di rinforzo dir. Nord</v>
      </c>
      <c r="B368" t="str">
        <f>VLOOKUP(A368,'EXPORT IRIS PROD 13-11-2024'!A:A,1,0)</f>
        <v>ALR_TIMEOUT_SPEGNIMENTO_RINFORZI_DIR_NORD-Allarme timeout spegnimento luci di rinforzo dir. Nord</v>
      </c>
      <c r="C368" t="str">
        <f>VLOOKUP(F368,'EXPORT IRIS PROD 13-11-2024'!F:F,1,0)</f>
        <v>ALR_TIMEOUT_SPEGNIMENTO_RINFORZI_DIR_NORD</v>
      </c>
      <c r="D368" t="str">
        <f>VLOOKUP(G368,'EXPORT IRIS PROD 13-11-2024'!D:D,1,0)</f>
        <v>Allarme timeout spegnimento luci di rinforzo dir. Nord</v>
      </c>
      <c r="E368" s="37" t="s">
        <v>115</v>
      </c>
      <c r="F368" s="38" t="s">
        <v>732</v>
      </c>
      <c r="G368" s="38" t="s">
        <v>733</v>
      </c>
      <c r="H368" s="39" t="s">
        <v>116</v>
      </c>
      <c r="I368" s="39" t="s">
        <v>704</v>
      </c>
      <c r="J368" s="40" t="s">
        <v>21</v>
      </c>
      <c r="K368" s="41" t="s">
        <v>22</v>
      </c>
      <c r="L368" s="42" t="s">
        <v>23</v>
      </c>
      <c r="M368" s="43" t="s">
        <v>24</v>
      </c>
      <c r="N368" s="42" t="s">
        <v>25</v>
      </c>
      <c r="O368" s="42" t="s">
        <v>21</v>
      </c>
      <c r="P368" s="44"/>
    </row>
    <row r="369" spans="1:16" customFormat="1" x14ac:dyDescent="0.25">
      <c r="A369" t="str">
        <f t="shared" si="5"/>
        <v>ALR_TIMEOUT_SPEGNIMENTO_RINFORZI_DIR_SUD-Allarme timeout spegnimento luci di rinforzo dir. Sud</v>
      </c>
      <c r="B369" t="str">
        <f>VLOOKUP(A369,'EXPORT IRIS PROD 13-11-2024'!A:A,1,0)</f>
        <v>ALR_TIMEOUT_SPEGNIMENTO_RINFORZI_DIR_SUD-Allarme timeout spegnimento luci di rinforzo dir. Sud</v>
      </c>
      <c r="C369" t="str">
        <f>VLOOKUP(F369,'EXPORT IRIS PROD 13-11-2024'!F:F,1,0)</f>
        <v>ALR_TIMEOUT_SPEGNIMENTO_RINFORZI_DIR_SUD</v>
      </c>
      <c r="D369" t="str">
        <f>VLOOKUP(G369,'EXPORT IRIS PROD 13-11-2024'!D:D,1,0)</f>
        <v>Allarme timeout spegnimento luci di rinforzo dir. Sud</v>
      </c>
      <c r="E369" s="37" t="s">
        <v>115</v>
      </c>
      <c r="F369" s="38" t="s">
        <v>734</v>
      </c>
      <c r="G369" s="38" t="s">
        <v>735</v>
      </c>
      <c r="H369" s="39" t="s">
        <v>116</v>
      </c>
      <c r="I369" s="39" t="s">
        <v>704</v>
      </c>
      <c r="J369" s="40" t="s">
        <v>21</v>
      </c>
      <c r="K369" s="41" t="s">
        <v>22</v>
      </c>
      <c r="L369" s="42" t="s">
        <v>23</v>
      </c>
      <c r="M369" s="43" t="s">
        <v>24</v>
      </c>
      <c r="N369" s="42" t="s">
        <v>25</v>
      </c>
      <c r="O369" s="42" t="s">
        <v>21</v>
      </c>
      <c r="P369" s="44"/>
    </row>
    <row r="370" spans="1:16" customFormat="1" x14ac:dyDescent="0.25">
      <c r="A370" t="str">
        <f t="shared" si="5"/>
        <v>ALR_TIPO_A_ATTIVO-Allarme tipo A (secondo Uni EN 12845)</v>
      </c>
      <c r="B370" t="str">
        <f>VLOOKUP(A370,'EXPORT IRIS PROD 13-11-2024'!A:A,1,0)</f>
        <v>ALR_TIPO_A_ATTIVO-Allarme tipo A (secondo Uni EN 12845)</v>
      </c>
      <c r="C370" t="str">
        <f>VLOOKUP(F370,'EXPORT IRIS PROD 13-11-2024'!F:F,1,0)</f>
        <v>ALR_TIPO_A_ATTIVO</v>
      </c>
      <c r="D370" t="str">
        <f>VLOOKUP(G370,'EXPORT IRIS PROD 13-11-2024'!D:D,1,0)</f>
        <v>Allarme tipo A (secondo Uni EN 12845)</v>
      </c>
      <c r="E370" s="37" t="s">
        <v>105</v>
      </c>
      <c r="F370" s="38" t="s">
        <v>736</v>
      </c>
      <c r="G370" s="38" t="s">
        <v>737</v>
      </c>
      <c r="H370" s="39" t="s">
        <v>43</v>
      </c>
      <c r="I370" s="39" t="s">
        <v>130</v>
      </c>
      <c r="J370" s="40" t="s">
        <v>21</v>
      </c>
      <c r="K370" s="41" t="s">
        <v>22</v>
      </c>
      <c r="L370" s="42" t="s">
        <v>23</v>
      </c>
      <c r="M370" s="43" t="s">
        <v>24</v>
      </c>
      <c r="N370" s="42" t="s">
        <v>25</v>
      </c>
      <c r="O370" s="42" t="s">
        <v>21</v>
      </c>
      <c r="P370" s="44"/>
    </row>
    <row r="371" spans="1:16" customFormat="1" x14ac:dyDescent="0.25">
      <c r="A371" t="str">
        <f t="shared" si="5"/>
        <v>ALR_TIPO_B_ATTIVO-Allarme tipo B (secondo Uni EN 12845)</v>
      </c>
      <c r="B371" t="str">
        <f>VLOOKUP(A371,'EXPORT IRIS PROD 13-11-2024'!A:A,1,0)</f>
        <v>ALR_TIPO_B_ATTIVO-Allarme tipo B (secondo Uni EN 12845)</v>
      </c>
      <c r="C371" t="str">
        <f>VLOOKUP(F371,'EXPORT IRIS PROD 13-11-2024'!F:F,1,0)</f>
        <v>ALR_TIPO_B_ATTIVO</v>
      </c>
      <c r="D371" t="str">
        <f>VLOOKUP(G371,'EXPORT IRIS PROD 13-11-2024'!D:D,1,0)</f>
        <v>Allarme tipo B (secondo Uni EN 12845)</v>
      </c>
      <c r="E371" s="37" t="s">
        <v>105</v>
      </c>
      <c r="F371" s="38" t="s">
        <v>738</v>
      </c>
      <c r="G371" s="38" t="s">
        <v>739</v>
      </c>
      <c r="H371" s="39" t="s">
        <v>43</v>
      </c>
      <c r="I371" s="39" t="s">
        <v>130</v>
      </c>
      <c r="J371" s="40" t="s">
        <v>21</v>
      </c>
      <c r="K371" s="41" t="s">
        <v>22</v>
      </c>
      <c r="L371" s="42" t="s">
        <v>23</v>
      </c>
      <c r="M371" s="43" t="s">
        <v>24</v>
      </c>
      <c r="N371" s="42" t="s">
        <v>25</v>
      </c>
      <c r="O371" s="42" t="s">
        <v>21</v>
      </c>
      <c r="P371" s="44"/>
    </row>
    <row r="372" spans="1:16" customFormat="1" x14ac:dyDescent="0.25">
      <c r="A372" t="str">
        <f t="shared" si="5"/>
        <v>ALR_TIPO_GCB-Allarme tipo contattore generatore</v>
      </c>
      <c r="B372" t="str">
        <f>VLOOKUP(A372,'EXPORT IRIS PROD 13-11-2024'!A:A,1,0)</f>
        <v>ALR_TIPO_GCB-Allarme tipo contattore generatore</v>
      </c>
      <c r="C372" t="str">
        <f>VLOOKUP(F372,'EXPORT IRIS PROD 13-11-2024'!F:F,1,0)</f>
        <v>ALR_TIPO_GCB</v>
      </c>
      <c r="D372" t="str">
        <f>VLOOKUP(G372,'EXPORT IRIS PROD 13-11-2024'!D:D,1,0)</f>
        <v>Allarme tipo contattore generatore</v>
      </c>
      <c r="E372" s="37" t="s">
        <v>53</v>
      </c>
      <c r="F372" s="38" t="s">
        <v>740</v>
      </c>
      <c r="G372" s="38" t="s">
        <v>741</v>
      </c>
      <c r="H372" s="39" t="s">
        <v>56</v>
      </c>
      <c r="I372" s="39" t="s">
        <v>57</v>
      </c>
      <c r="J372" s="40" t="s">
        <v>21</v>
      </c>
      <c r="K372" s="41" t="s">
        <v>22</v>
      </c>
      <c r="L372" s="42" t="s">
        <v>23</v>
      </c>
      <c r="M372" s="43" t="s">
        <v>24</v>
      </c>
      <c r="N372" s="42" t="s">
        <v>25</v>
      </c>
      <c r="O372" s="42" t="s">
        <v>21</v>
      </c>
      <c r="P372" s="44"/>
    </row>
    <row r="373" spans="1:16" customFormat="1" x14ac:dyDescent="0.25">
      <c r="A373" t="str">
        <f t="shared" si="5"/>
        <v>ALR_TIPO_MCB-Allarme tipo contattore di rete</v>
      </c>
      <c r="B373" t="str">
        <f>VLOOKUP(A373,'EXPORT IRIS PROD 13-11-2024'!A:A,1,0)</f>
        <v>ALR_TIPO_MCB-Allarme tipo contattore di rete</v>
      </c>
      <c r="C373" t="str">
        <f>VLOOKUP(F373,'EXPORT IRIS PROD 13-11-2024'!F:F,1,0)</f>
        <v>ALR_TIPO_MCB</v>
      </c>
      <c r="D373" t="str">
        <f>VLOOKUP(G373,'EXPORT IRIS PROD 13-11-2024'!D:D,1,0)</f>
        <v>Allarme tipo contattore di rete</v>
      </c>
      <c r="E373" s="37" t="s">
        <v>53</v>
      </c>
      <c r="F373" s="38" t="s">
        <v>742</v>
      </c>
      <c r="G373" s="38" t="s">
        <v>743</v>
      </c>
      <c r="H373" s="39" t="s">
        <v>56</v>
      </c>
      <c r="I373" s="39" t="s">
        <v>57</v>
      </c>
      <c r="J373" s="40" t="s">
        <v>21</v>
      </c>
      <c r="K373" s="41" t="s">
        <v>22</v>
      </c>
      <c r="L373" s="42" t="s">
        <v>23</v>
      </c>
      <c r="M373" s="43" t="s">
        <v>24</v>
      </c>
      <c r="N373" s="42" t="s">
        <v>25</v>
      </c>
      <c r="O373" s="42" t="s">
        <v>21</v>
      </c>
      <c r="P373" s="44"/>
    </row>
    <row r="374" spans="1:16" customFormat="1" x14ac:dyDescent="0.25">
      <c r="A374" t="str">
        <f t="shared" si="5"/>
        <v>ALR_TRIP_PROTEZIONE_10_1-Allarme trip Protezione 10 1</v>
      </c>
      <c r="B374" t="str">
        <f>VLOOKUP(A374,'EXPORT IRIS PROD 13-11-2024'!A:A,1,0)</f>
        <v>ALR_TRIP_PROTEZIONE_10_1-Allarme trip Protezione 10 1</v>
      </c>
      <c r="C374" t="str">
        <f>VLOOKUP(F374,'EXPORT IRIS PROD 13-11-2024'!F:F,1,0)</f>
        <v>ALR_TRIP_PROTEZIONE_10_1</v>
      </c>
      <c r="D374" t="str">
        <f>VLOOKUP(G374,'EXPORT IRIS PROD 13-11-2024'!D:D,1,0)</f>
        <v>Allarme trip Protezione 10 1</v>
      </c>
      <c r="E374" s="37" t="s">
        <v>53</v>
      </c>
      <c r="F374" s="38" t="s">
        <v>744</v>
      </c>
      <c r="G374" s="38" t="s">
        <v>745</v>
      </c>
      <c r="H374" s="39" t="s">
        <v>56</v>
      </c>
      <c r="I374" s="39" t="s">
        <v>355</v>
      </c>
      <c r="J374" s="40" t="s">
        <v>21</v>
      </c>
      <c r="K374" s="41" t="s">
        <v>22</v>
      </c>
      <c r="L374" s="42" t="s">
        <v>23</v>
      </c>
      <c r="M374" s="43" t="s">
        <v>24</v>
      </c>
      <c r="N374" s="42" t="s">
        <v>25</v>
      </c>
      <c r="O374" s="42" t="s">
        <v>21</v>
      </c>
      <c r="P374" s="44"/>
    </row>
    <row r="375" spans="1:16" customFormat="1" x14ac:dyDescent="0.25">
      <c r="A375" t="str">
        <f t="shared" si="5"/>
        <v>ALR_TRIP_PROTEZIONE_10_2-Allarme trip Protezione 10 2</v>
      </c>
      <c r="B375" t="str">
        <f>VLOOKUP(A375,'EXPORT IRIS PROD 13-11-2024'!A:A,1,0)</f>
        <v>ALR_TRIP_PROTEZIONE_10_2-Allarme trip Protezione 10 2</v>
      </c>
      <c r="C375" t="str">
        <f>VLOOKUP(F375,'EXPORT IRIS PROD 13-11-2024'!F:F,1,0)</f>
        <v>ALR_TRIP_PROTEZIONE_10_2</v>
      </c>
      <c r="D375" t="str">
        <f>VLOOKUP(G375,'EXPORT IRIS PROD 13-11-2024'!D:D,1,0)</f>
        <v>Allarme trip Protezione 10 2</v>
      </c>
      <c r="E375" s="37" t="s">
        <v>53</v>
      </c>
      <c r="F375" s="38" t="s">
        <v>746</v>
      </c>
      <c r="G375" s="38" t="s">
        <v>747</v>
      </c>
      <c r="H375" s="39" t="s">
        <v>56</v>
      </c>
      <c r="I375" s="39" t="s">
        <v>355</v>
      </c>
      <c r="J375" s="40" t="s">
        <v>21</v>
      </c>
      <c r="K375" s="41" t="s">
        <v>22</v>
      </c>
      <c r="L375" s="42" t="s">
        <v>23</v>
      </c>
      <c r="M375" s="43" t="s">
        <v>24</v>
      </c>
      <c r="N375" s="42" t="s">
        <v>25</v>
      </c>
      <c r="O375" s="42" t="s">
        <v>21</v>
      </c>
      <c r="P375" s="44"/>
    </row>
    <row r="376" spans="1:16" customFormat="1" x14ac:dyDescent="0.25">
      <c r="A376" t="str">
        <f t="shared" si="5"/>
        <v>ALR_TRIP_PROTEZIONE_27-Allarme trip Protezione 27</v>
      </c>
      <c r="B376" t="str">
        <f>VLOOKUP(A376,'EXPORT IRIS PROD 13-11-2024'!A:A,1,0)</f>
        <v>ALR_TRIP_PROTEZIONE_27-Allarme trip Protezione 27</v>
      </c>
      <c r="C376" t="str">
        <f>VLOOKUP(F376,'EXPORT IRIS PROD 13-11-2024'!F:F,1,0)</f>
        <v>ALR_TRIP_PROTEZIONE_27</v>
      </c>
      <c r="D376" t="str">
        <f>VLOOKUP(G376,'EXPORT IRIS PROD 13-11-2024'!D:D,1,0)</f>
        <v>Allarme trip Protezione 27</v>
      </c>
      <c r="E376" s="37" t="s">
        <v>53</v>
      </c>
      <c r="F376" s="38" t="s">
        <v>748</v>
      </c>
      <c r="G376" s="38" t="s">
        <v>749</v>
      </c>
      <c r="H376" s="39" t="s">
        <v>56</v>
      </c>
      <c r="I376" s="39" t="s">
        <v>355</v>
      </c>
      <c r="J376" s="40" t="s">
        <v>21</v>
      </c>
      <c r="K376" s="41" t="s">
        <v>22</v>
      </c>
      <c r="L376" s="42" t="s">
        <v>23</v>
      </c>
      <c r="M376" s="43" t="s">
        <v>24</v>
      </c>
      <c r="N376" s="42" t="s">
        <v>25</v>
      </c>
      <c r="O376" s="42" t="s">
        <v>21</v>
      </c>
      <c r="P376" s="44"/>
    </row>
    <row r="377" spans="1:16" customFormat="1" x14ac:dyDescent="0.25">
      <c r="A377" t="str">
        <f t="shared" si="5"/>
        <v>ALR_TRIP_PROTEZIONE_67N_S1-Allarme trip Protezione 67N S1</v>
      </c>
      <c r="B377" t="str">
        <f>VLOOKUP(A377,'EXPORT IRIS PROD 13-11-2024'!A:A,1,0)</f>
        <v>ALR_TRIP_PROTEZIONE_67N_S1-Allarme trip Protezione 67N S1</v>
      </c>
      <c r="C377" t="str">
        <f>VLOOKUP(F377,'EXPORT IRIS PROD 13-11-2024'!F:F,1,0)</f>
        <v>ALR_TRIP_PROTEZIONE_67N_S1</v>
      </c>
      <c r="D377" t="str">
        <f>VLOOKUP(G377,'EXPORT IRIS PROD 13-11-2024'!D:D,1,0)</f>
        <v>Allarme trip Protezione 67N S1</v>
      </c>
      <c r="E377" s="37" t="s">
        <v>53</v>
      </c>
      <c r="F377" s="38" t="s">
        <v>750</v>
      </c>
      <c r="G377" s="38" t="s">
        <v>751</v>
      </c>
      <c r="H377" s="39" t="s">
        <v>56</v>
      </c>
      <c r="I377" s="39" t="s">
        <v>355</v>
      </c>
      <c r="J377" s="40" t="s">
        <v>21</v>
      </c>
      <c r="K377" s="41" t="s">
        <v>22</v>
      </c>
      <c r="L377" s="42" t="s">
        <v>23</v>
      </c>
      <c r="M377" s="43" t="s">
        <v>24</v>
      </c>
      <c r="N377" s="42" t="s">
        <v>25</v>
      </c>
      <c r="O377" s="42" t="s">
        <v>21</v>
      </c>
      <c r="P377" s="44"/>
    </row>
    <row r="378" spans="1:16" customFormat="1" x14ac:dyDescent="0.25">
      <c r="A378" t="str">
        <f t="shared" si="5"/>
        <v>ALR_TRIP_PROTEZIONE_67N_S2-Allarme trip Protezione 67N S1 Allarme trip Protezione 67N S2</v>
      </c>
      <c r="B378" s="86" t="e">
        <f>VLOOKUP(A378,'EXPORT IRIS PROD 13-11-2024'!A:A,1,0)</f>
        <v>#N/A</v>
      </c>
      <c r="C378" t="str">
        <f>VLOOKUP(F378,'EXPORT IRIS PROD 13-11-2024'!F:F,1,0)</f>
        <v>ALR_TRIP_PROTEZIONE_67N_S2</v>
      </c>
      <c r="D378" t="e">
        <f>VLOOKUP(G378,'EXPORT IRIS PROD 13-11-2024'!D:D,1,0)</f>
        <v>#N/A</v>
      </c>
      <c r="E378" s="37" t="s">
        <v>53</v>
      </c>
      <c r="F378" s="38" t="s">
        <v>752</v>
      </c>
      <c r="G378" s="38" t="s">
        <v>753</v>
      </c>
      <c r="H378" s="39" t="s">
        <v>56</v>
      </c>
      <c r="I378" s="39" t="s">
        <v>355</v>
      </c>
      <c r="J378" s="40" t="s">
        <v>21</v>
      </c>
      <c r="K378" s="41" t="s">
        <v>22</v>
      </c>
      <c r="L378" s="42" t="s">
        <v>23</v>
      </c>
      <c r="M378" s="43" t="s">
        <v>24</v>
      </c>
      <c r="N378" s="42" t="s">
        <v>25</v>
      </c>
      <c r="O378" s="42" t="s">
        <v>21</v>
      </c>
      <c r="P378" s="44"/>
    </row>
    <row r="379" spans="1:16" customFormat="1" x14ac:dyDescent="0.25">
      <c r="A379" t="str">
        <f t="shared" si="5"/>
        <v>ALR_UPS_ANOMALIA_BYPASS-Allarme ups anomalia bypass</v>
      </c>
      <c r="B379" t="str">
        <f>VLOOKUP(A379,'EXPORT IRIS PROD 13-11-2024'!A:A,1,0)</f>
        <v>ALR_UPS_ANOMALIA_BYPASS-Allarme ups anomalia bypass</v>
      </c>
      <c r="C379" t="str">
        <f>VLOOKUP(F379,'EXPORT IRIS PROD 13-11-2024'!F:F,1,0)</f>
        <v>ALR_UPS_ANOMALIA_BYPASS</v>
      </c>
      <c r="D379" t="str">
        <f>VLOOKUP(G379,'EXPORT IRIS PROD 13-11-2024'!D:D,1,0)</f>
        <v>Allarme ups anomalia bypass</v>
      </c>
      <c r="E379" s="37" t="s">
        <v>53</v>
      </c>
      <c r="F379" s="38" t="s">
        <v>754</v>
      </c>
      <c r="G379" s="38" t="s">
        <v>755</v>
      </c>
      <c r="H379" s="39" t="s">
        <v>56</v>
      </c>
      <c r="I379" s="39" t="s">
        <v>104</v>
      </c>
      <c r="J379" s="40" t="s">
        <v>21</v>
      </c>
      <c r="K379" s="41" t="s">
        <v>22</v>
      </c>
      <c r="L379" s="42" t="s">
        <v>23</v>
      </c>
      <c r="M379" s="43" t="s">
        <v>24</v>
      </c>
      <c r="N379" s="42" t="s">
        <v>25</v>
      </c>
      <c r="O379" s="42" t="s">
        <v>21</v>
      </c>
      <c r="P379" s="44"/>
    </row>
    <row r="380" spans="1:16" customFormat="1" x14ac:dyDescent="0.25">
      <c r="A380" t="str">
        <f t="shared" si="5"/>
        <v>ALR_UPS_ANOMALIA_GRUPPO_STATICO_CONTINUITA-Allarme anomalia UPS</v>
      </c>
      <c r="B380" t="str">
        <f>VLOOKUP(A380,'EXPORT IRIS PROD 13-11-2024'!A:A,1,0)</f>
        <v>ALR_UPS_ANOMALIA_GRUPPO_STATICO_CONTINUITA-Allarme anomalia UPS</v>
      </c>
      <c r="C380" t="str">
        <f>VLOOKUP(F380,'EXPORT IRIS PROD 13-11-2024'!F:F,1,0)</f>
        <v>ALR_UPS_ANOMALIA_GRUPPO_STATICO_CONTINUITA</v>
      </c>
      <c r="D380" t="str">
        <f>VLOOKUP(G380,'EXPORT IRIS PROD 13-11-2024'!D:D,1,0)</f>
        <v>Allarme anomalia UPS</v>
      </c>
      <c r="E380" s="37" t="s">
        <v>53</v>
      </c>
      <c r="F380" s="38" t="s">
        <v>756</v>
      </c>
      <c r="G380" s="38" t="s">
        <v>757</v>
      </c>
      <c r="H380" s="39" t="s">
        <v>56</v>
      </c>
      <c r="I380" s="39" t="s">
        <v>104</v>
      </c>
      <c r="J380" s="40" t="s">
        <v>21</v>
      </c>
      <c r="K380" s="41" t="s">
        <v>22</v>
      </c>
      <c r="L380" s="42" t="s">
        <v>23</v>
      </c>
      <c r="M380" s="43" t="s">
        <v>24</v>
      </c>
      <c r="N380" s="42" t="s">
        <v>25</v>
      </c>
      <c r="O380" s="42" t="s">
        <v>21</v>
      </c>
      <c r="P380" s="44"/>
    </row>
    <row r="381" spans="1:16" customFormat="1" x14ac:dyDescent="0.25">
      <c r="A381" t="str">
        <f t="shared" si="5"/>
        <v>ALR_UPS_BACKUP-Allarme ups backup</v>
      </c>
      <c r="B381" t="str">
        <f>VLOOKUP(A381,'EXPORT IRIS PROD 13-11-2024'!A:A,1,0)</f>
        <v>ALR_UPS_BACKUP-Allarme ups backup</v>
      </c>
      <c r="C381" t="str">
        <f>VLOOKUP(F381,'EXPORT IRIS PROD 13-11-2024'!F:F,1,0)</f>
        <v>ALR_UPS_BACKUP</v>
      </c>
      <c r="D381" t="str">
        <f>VLOOKUP(G381,'EXPORT IRIS PROD 13-11-2024'!D:D,1,0)</f>
        <v>Allarme ups backup</v>
      </c>
      <c r="E381" s="37" t="s">
        <v>53</v>
      </c>
      <c r="F381" s="38" t="s">
        <v>758</v>
      </c>
      <c r="G381" s="38" t="s">
        <v>759</v>
      </c>
      <c r="H381" s="39" t="s">
        <v>56</v>
      </c>
      <c r="I381" s="39" t="s">
        <v>104</v>
      </c>
      <c r="J381" s="40" t="s">
        <v>21</v>
      </c>
      <c r="K381" s="41" t="s">
        <v>22</v>
      </c>
      <c r="L381" s="42" t="s">
        <v>23</v>
      </c>
      <c r="M381" s="43" t="s">
        <v>24</v>
      </c>
      <c r="N381" s="42" t="s">
        <v>25</v>
      </c>
      <c r="O381" s="42" t="s">
        <v>21</v>
      </c>
      <c r="P381" s="44"/>
    </row>
    <row r="382" spans="1:16" customFormat="1" x14ac:dyDescent="0.25">
      <c r="A382" t="str">
        <f t="shared" si="5"/>
        <v>ALR_UPS_BATTERIA_GUASTA-Allarme batteria guasta</v>
      </c>
      <c r="B382" t="str">
        <f>VLOOKUP(A382,'EXPORT IRIS PROD 13-11-2024'!A:A,1,0)</f>
        <v>ALR_UPS_BATTERIA_GUASTA-Allarme batteria guasta</v>
      </c>
      <c r="C382" t="str">
        <f>VLOOKUP(F382,'EXPORT IRIS PROD 13-11-2024'!F:F,1,0)</f>
        <v>ALR_UPS_BATTERIA_GUASTA</v>
      </c>
      <c r="D382" t="str">
        <f>VLOOKUP(G382,'EXPORT IRIS PROD 13-11-2024'!D:D,1,0)</f>
        <v>Allarme batteria guasta</v>
      </c>
      <c r="E382" s="37" t="s">
        <v>53</v>
      </c>
      <c r="F382" s="38" t="s">
        <v>760</v>
      </c>
      <c r="G382" s="38" t="s">
        <v>761</v>
      </c>
      <c r="H382" s="39" t="s">
        <v>56</v>
      </c>
      <c r="I382" s="39" t="s">
        <v>104</v>
      </c>
      <c r="J382" s="40" t="s">
        <v>21</v>
      </c>
      <c r="K382" s="41" t="s">
        <v>22</v>
      </c>
      <c r="L382" s="42" t="s">
        <v>23</v>
      </c>
      <c r="M382" s="43" t="s">
        <v>24</v>
      </c>
      <c r="N382" s="42" t="s">
        <v>25</v>
      </c>
      <c r="O382" s="42" t="s">
        <v>21</v>
      </c>
      <c r="P382" s="44"/>
    </row>
    <row r="383" spans="1:16" x14ac:dyDescent="0.25">
      <c r="A383" t="str">
        <f t="shared" si="5"/>
        <v>ALR_UPS_GENERICO-Allarme generico UPS</v>
      </c>
      <c r="B383" t="str">
        <f>VLOOKUP(A383,'EXPORT IRIS PROD 13-11-2024'!A:A,1,0)</f>
        <v>ALR_UPS_GENERICO-Allarme generico UPS</v>
      </c>
      <c r="C383" t="str">
        <f>VLOOKUP(F383,'EXPORT IRIS PROD 13-11-2024'!F:F,1,0)</f>
        <v>ALR_UPS_GENERICO</v>
      </c>
      <c r="D383" t="str">
        <f>VLOOKUP(G383,'EXPORT IRIS PROD 13-11-2024'!D:D,1,0)</f>
        <v>Allarme generico UPS</v>
      </c>
      <c r="E383" s="37" t="s">
        <v>53</v>
      </c>
      <c r="F383" s="38" t="s">
        <v>762</v>
      </c>
      <c r="G383" s="38" t="s">
        <v>763</v>
      </c>
      <c r="H383" s="39" t="s">
        <v>56</v>
      </c>
      <c r="I383" s="39" t="s">
        <v>104</v>
      </c>
      <c r="J383" s="40" t="s">
        <v>21</v>
      </c>
      <c r="K383" s="41" t="s">
        <v>22</v>
      </c>
      <c r="L383" s="42" t="s">
        <v>23</v>
      </c>
      <c r="M383" s="43" t="s">
        <v>24</v>
      </c>
      <c r="N383" s="42" t="s">
        <v>25</v>
      </c>
      <c r="O383" s="42" t="s">
        <v>21</v>
      </c>
      <c r="P383" s="44"/>
    </row>
    <row r="384" spans="1:16" customFormat="1" x14ac:dyDescent="0.25">
      <c r="A384" t="str">
        <f t="shared" si="5"/>
        <v>ALR_UPS_IN_RISERVA-Allarme UPS carico in riserva</v>
      </c>
      <c r="B384" t="str">
        <f>VLOOKUP(A384,'EXPORT IRIS PROD 13-11-2024'!A:A,1,0)</f>
        <v>ALR_UPS_IN_RISERVA-Allarme UPS carico in riserva</v>
      </c>
      <c r="C384" t="str">
        <f>VLOOKUP(F384,'EXPORT IRIS PROD 13-11-2024'!F:F,1,0)</f>
        <v>ALR_UPS_IN_RISERVA</v>
      </c>
      <c r="D384" t="str">
        <f>VLOOKUP(G384,'EXPORT IRIS PROD 13-11-2024'!D:D,1,0)</f>
        <v>Allarme UPS carico in riserva</v>
      </c>
      <c r="E384" s="37" t="s">
        <v>53</v>
      </c>
      <c r="F384" s="38" t="s">
        <v>764</v>
      </c>
      <c r="G384" s="38" t="s">
        <v>765</v>
      </c>
      <c r="H384" s="39" t="s">
        <v>56</v>
      </c>
      <c r="I384" s="39" t="s">
        <v>104</v>
      </c>
      <c r="J384" s="40" t="s">
        <v>21</v>
      </c>
      <c r="K384" s="41" t="s">
        <v>22</v>
      </c>
      <c r="L384" s="42" t="s">
        <v>23</v>
      </c>
      <c r="M384" s="43" t="s">
        <v>24</v>
      </c>
      <c r="N384" s="42" t="s">
        <v>25</v>
      </c>
      <c r="O384" s="42" t="s">
        <v>21</v>
      </c>
      <c r="P384" s="44"/>
    </row>
    <row r="385" spans="1:16" customFormat="1" x14ac:dyDescent="0.25">
      <c r="A385" t="str">
        <f t="shared" si="5"/>
        <v>ALR_UPS_IN_SCARICA-Allarme batteria in scarica</v>
      </c>
      <c r="B385" t="str">
        <f>VLOOKUP(A385,'EXPORT IRIS PROD 13-11-2024'!A:A,1,0)</f>
        <v>ALR_UPS_IN_SCARICA-Allarme batteria in scarica</v>
      </c>
      <c r="C385" t="str">
        <f>VLOOKUP(F385,'EXPORT IRIS PROD 13-11-2024'!F:F,1,0)</f>
        <v>ALR_UPS_IN_SCARICA</v>
      </c>
      <c r="D385" t="str">
        <f>VLOOKUP(G385,'EXPORT IRIS PROD 13-11-2024'!D:D,1,0)</f>
        <v>Allarme batteria in scarica</v>
      </c>
      <c r="E385" s="37" t="s">
        <v>53</v>
      </c>
      <c r="F385" s="38" t="s">
        <v>766</v>
      </c>
      <c r="G385" s="38" t="s">
        <v>477</v>
      </c>
      <c r="H385" s="39" t="s">
        <v>56</v>
      </c>
      <c r="I385" s="39" t="s">
        <v>104</v>
      </c>
      <c r="J385" s="40" t="s">
        <v>21</v>
      </c>
      <c r="K385" s="41" t="s">
        <v>22</v>
      </c>
      <c r="L385" s="42" t="s">
        <v>23</v>
      </c>
      <c r="M385" s="43" t="s">
        <v>24</v>
      </c>
      <c r="N385" s="42" t="s">
        <v>25</v>
      </c>
      <c r="O385" s="42" t="s">
        <v>21</v>
      </c>
      <c r="P385" s="44"/>
    </row>
    <row r="386" spans="1:16" customFormat="1" x14ac:dyDescent="0.25">
      <c r="A386" t="str">
        <f t="shared" si="5"/>
        <v>ALR_UPS_INVERTER_GUASTO-Allarme UPS Inverter guasto</v>
      </c>
      <c r="B386" t="str">
        <f>VLOOKUP(A386,'EXPORT IRIS PROD 13-11-2024'!A:A,1,0)</f>
        <v>ALR_UPS_INVERTER_GUASTO-Allarme UPS Inverter guasto</v>
      </c>
      <c r="C386" t="str">
        <f>VLOOKUP(F386,'EXPORT IRIS PROD 13-11-2024'!F:F,1,0)</f>
        <v>ALR_UPS_INVERTER_GUASTO</v>
      </c>
      <c r="D386" t="str">
        <f>VLOOKUP(G386,'EXPORT IRIS PROD 13-11-2024'!D:D,1,0)</f>
        <v>Allarme UPS Inverter guasto</v>
      </c>
      <c r="E386" s="37" t="s">
        <v>53</v>
      </c>
      <c r="F386" s="38" t="s">
        <v>767</v>
      </c>
      <c r="G386" s="38" t="s">
        <v>768</v>
      </c>
      <c r="H386" s="39" t="s">
        <v>56</v>
      </c>
      <c r="I386" s="39" t="s">
        <v>104</v>
      </c>
      <c r="J386" s="40" t="s">
        <v>21</v>
      </c>
      <c r="K386" s="41" t="s">
        <v>22</v>
      </c>
      <c r="L386" s="42" t="s">
        <v>23</v>
      </c>
      <c r="M386" s="43" t="s">
        <v>24</v>
      </c>
      <c r="N386" s="42" t="s">
        <v>25</v>
      </c>
      <c r="O386" s="42" t="s">
        <v>21</v>
      </c>
      <c r="P386" s="44"/>
    </row>
    <row r="387" spans="1:16" customFormat="1" x14ac:dyDescent="0.25">
      <c r="A387" t="str">
        <f t="shared" ref="A387:A450" si="6">CONCATENATE(F387,"-",G387)</f>
        <v>ALR_UPS_NON_ALIMENTATO-Allarme ups non alimentato</v>
      </c>
      <c r="B387" t="str">
        <f>VLOOKUP(A387,'EXPORT IRIS PROD 13-11-2024'!A:A,1,0)</f>
        <v>ALR_UPS_NON_ALIMENTATO-Allarme ups non alimentato</v>
      </c>
      <c r="C387" t="str">
        <f>VLOOKUP(F387,'EXPORT IRIS PROD 13-11-2024'!F:F,1,0)</f>
        <v>ALR_UPS_NON_ALIMENTATO</v>
      </c>
      <c r="D387" t="str">
        <f>VLOOKUP(G387,'EXPORT IRIS PROD 13-11-2024'!D:D,1,0)</f>
        <v>Allarme ups non alimentato</v>
      </c>
      <c r="E387" s="37" t="s">
        <v>53</v>
      </c>
      <c r="F387" s="38" t="s">
        <v>769</v>
      </c>
      <c r="G387" s="38" t="s">
        <v>770</v>
      </c>
      <c r="H387" s="39" t="s">
        <v>56</v>
      </c>
      <c r="I387" s="39" t="s">
        <v>104</v>
      </c>
      <c r="J387" s="40" t="s">
        <v>21</v>
      </c>
      <c r="K387" s="41" t="s">
        <v>22</v>
      </c>
      <c r="L387" s="42" t="s">
        <v>23</v>
      </c>
      <c r="M387" s="43" t="s">
        <v>24</v>
      </c>
      <c r="N387" s="42" t="s">
        <v>25</v>
      </c>
      <c r="O387" s="42" t="s">
        <v>21</v>
      </c>
      <c r="P387" s="44"/>
    </row>
    <row r="388" spans="1:16" customFormat="1" x14ac:dyDescent="0.25">
      <c r="A388" t="str">
        <f t="shared" si="6"/>
        <v>ALR_UPS_SCARICO-Allarme batteria scarica</v>
      </c>
      <c r="B388" t="str">
        <f>VLOOKUP(A388,'EXPORT IRIS PROD 13-11-2024'!A:A,1,0)</f>
        <v>ALR_UPS_SCARICO-Allarme batteria scarica</v>
      </c>
      <c r="C388" t="str">
        <f>VLOOKUP(F388,'EXPORT IRIS PROD 13-11-2024'!F:F,1,0)</f>
        <v>ALR_UPS_SCARICO</v>
      </c>
      <c r="D388" t="str">
        <f>VLOOKUP(G388,'EXPORT IRIS PROD 13-11-2024'!D:D,1,0)</f>
        <v>Allarme batteria scarica</v>
      </c>
      <c r="E388" s="37" t="s">
        <v>53</v>
      </c>
      <c r="F388" s="38" t="s">
        <v>771</v>
      </c>
      <c r="G388" s="38" t="s">
        <v>169</v>
      </c>
      <c r="H388" s="39" t="s">
        <v>56</v>
      </c>
      <c r="I388" s="39" t="s">
        <v>104</v>
      </c>
      <c r="J388" s="40" t="s">
        <v>21</v>
      </c>
      <c r="K388" s="41" t="s">
        <v>22</v>
      </c>
      <c r="L388" s="42" t="s">
        <v>23</v>
      </c>
      <c r="M388" s="43" t="s">
        <v>24</v>
      </c>
      <c r="N388" s="42" t="s">
        <v>25</v>
      </c>
      <c r="O388" s="42" t="s">
        <v>21</v>
      </c>
      <c r="P388" s="44"/>
    </row>
    <row r="389" spans="1:16" customFormat="1" x14ac:dyDescent="0.25">
      <c r="A389" t="str">
        <f t="shared" si="6"/>
        <v>ALR_UPS_SOVRA-CARICO-Allarme UPS Inverter sovra carico</v>
      </c>
      <c r="B389" t="str">
        <f>VLOOKUP(A389,'EXPORT IRIS PROD 13-11-2024'!A:A,1,0)</f>
        <v>ALR_UPS_SOVRA-CARICO-Allarme UPS Inverter sovra carico</v>
      </c>
      <c r="C389" t="str">
        <f>VLOOKUP(F389,'EXPORT IRIS PROD 13-11-2024'!F:F,1,0)</f>
        <v>ALR_UPS_SOVRA-CARICO</v>
      </c>
      <c r="D389" t="str">
        <f>VLOOKUP(G389,'EXPORT IRIS PROD 13-11-2024'!D:D,1,0)</f>
        <v>Allarme UPS Inverter sovra carico</v>
      </c>
      <c r="E389" s="37" t="s">
        <v>53</v>
      </c>
      <c r="F389" s="38" t="s">
        <v>772</v>
      </c>
      <c r="G389" s="38" t="s">
        <v>773</v>
      </c>
      <c r="H389" s="39" t="s">
        <v>56</v>
      </c>
      <c r="I389" s="39" t="s">
        <v>104</v>
      </c>
      <c r="J389" s="40" t="s">
        <v>21</v>
      </c>
      <c r="K389" s="41" t="s">
        <v>22</v>
      </c>
      <c r="L389" s="42" t="s">
        <v>23</v>
      </c>
      <c r="M389" s="43" t="s">
        <v>24</v>
      </c>
      <c r="N389" s="42" t="s">
        <v>25</v>
      </c>
      <c r="O389" s="42" t="s">
        <v>21</v>
      </c>
      <c r="P389" s="44"/>
    </row>
    <row r="390" spans="1:16" x14ac:dyDescent="0.25">
      <c r="A390" t="str">
        <f t="shared" si="6"/>
        <v>ALR_UPS_SU_BYPASS-Allarme UPS su bypass</v>
      </c>
      <c r="B390" t="str">
        <f>VLOOKUP(A390,'EXPORT IRIS PROD 13-11-2024'!A:A,1,0)</f>
        <v>ALR_UPS_SU_BYPASS-Allarme UPS su bypass</v>
      </c>
      <c r="C390" t="str">
        <f>VLOOKUP(F390,'EXPORT IRIS PROD 13-11-2024'!F:F,1,0)</f>
        <v>ALR_UPS_SU_BYPASS</v>
      </c>
      <c r="D390" t="str">
        <f>VLOOKUP(G390,'EXPORT IRIS PROD 13-11-2024'!D:D,1,0)</f>
        <v>Allarme UPS su bypass</v>
      </c>
      <c r="E390" s="37" t="s">
        <v>53</v>
      </c>
      <c r="F390" s="38" t="s">
        <v>774</v>
      </c>
      <c r="G390" s="38" t="s">
        <v>775</v>
      </c>
      <c r="H390" s="39" t="s">
        <v>56</v>
      </c>
      <c r="I390" s="39" t="s">
        <v>104</v>
      </c>
      <c r="J390" s="40" t="s">
        <v>21</v>
      </c>
      <c r="K390" s="41" t="s">
        <v>22</v>
      </c>
      <c r="L390" s="42" t="s">
        <v>23</v>
      </c>
      <c r="M390" s="43" t="s">
        <v>24</v>
      </c>
      <c r="N390" s="42" t="s">
        <v>25</v>
      </c>
      <c r="O390" s="42" t="s">
        <v>21</v>
      </c>
      <c r="P390" s="44"/>
    </row>
    <row r="391" spans="1:16" x14ac:dyDescent="0.25">
      <c r="A391" t="str">
        <f t="shared" si="6"/>
        <v>ALR_VENTILATORE_NON_PRONTO-Allarme Ventilatore non pronto</v>
      </c>
      <c r="B391" t="str">
        <f>VLOOKUP(A391,'EXPORT IRIS PROD 13-11-2024'!A:A,1,0)</f>
        <v>ALR_VENTILATORE_NON_PRONTO-Allarme Ventilatore non pronto</v>
      </c>
      <c r="C391" t="str">
        <f>VLOOKUP(F391,'EXPORT IRIS PROD 13-11-2024'!F:F,1,0)</f>
        <v>ALR_VENTILATORE_NON_PRONTO</v>
      </c>
      <c r="D391" t="str">
        <f>VLOOKUP(G391,'EXPORT IRIS PROD 13-11-2024'!D:D,1,0)</f>
        <v>Allarme Ventilatore non pronto</v>
      </c>
      <c r="E391" s="37" t="s">
        <v>85</v>
      </c>
      <c r="F391" s="38" t="s">
        <v>776</v>
      </c>
      <c r="G391" s="38" t="s">
        <v>777</v>
      </c>
      <c r="H391" s="39" t="s">
        <v>50</v>
      </c>
      <c r="I391" s="39" t="s">
        <v>124</v>
      </c>
      <c r="J391" s="40" t="s">
        <v>21</v>
      </c>
      <c r="K391" s="41" t="s">
        <v>22</v>
      </c>
      <c r="L391" s="42" t="s">
        <v>23</v>
      </c>
      <c r="M391" s="43" t="s">
        <v>24</v>
      </c>
      <c r="N391" s="42" t="s">
        <v>25</v>
      </c>
      <c r="O391" s="42" t="s">
        <v>21</v>
      </c>
      <c r="P391" s="44"/>
    </row>
    <row r="392" spans="1:16" x14ac:dyDescent="0.25">
      <c r="A392" t="str">
        <f t="shared" si="6"/>
        <v>ALR_VIBRAZIONE-Allarme vibrazione</v>
      </c>
      <c r="B392" t="str">
        <f>VLOOKUP(A392,'EXPORT IRIS PROD 13-11-2024'!A:A,1,0)</f>
        <v>ALR_VIBRAZIONE-Allarme vibrazione</v>
      </c>
      <c r="C392" t="str">
        <f>VLOOKUP(F392,'EXPORT IRIS PROD 13-11-2024'!F:F,1,0)</f>
        <v>ALR_VIBRAZIONE</v>
      </c>
      <c r="D392" t="str">
        <f>VLOOKUP(G392,'EXPORT IRIS PROD 13-11-2024'!D:D,1,0)</f>
        <v>Allarme vibrazione</v>
      </c>
      <c r="E392" s="37" t="s">
        <v>85</v>
      </c>
      <c r="F392" s="38" t="s">
        <v>778</v>
      </c>
      <c r="G392" s="38" t="s">
        <v>779</v>
      </c>
      <c r="H392" s="39" t="s">
        <v>50</v>
      </c>
      <c r="I392" s="39" t="s">
        <v>124</v>
      </c>
      <c r="J392" s="40" t="s">
        <v>21</v>
      </c>
      <c r="K392" s="41" t="s">
        <v>22</v>
      </c>
      <c r="L392" s="42" t="s">
        <v>23</v>
      </c>
      <c r="M392" s="43" t="s">
        <v>24</v>
      </c>
      <c r="N392" s="42" t="s">
        <v>25</v>
      </c>
      <c r="O392" s="42" t="s">
        <v>21</v>
      </c>
      <c r="P392" s="44"/>
    </row>
    <row r="393" spans="1:16" x14ac:dyDescent="0.25">
      <c r="A393" t="str">
        <f t="shared" si="6"/>
        <v>ALR_VIBRAZIONE_2-Allarme vibrazione</v>
      </c>
      <c r="B393" t="str">
        <f>VLOOKUP(A393,'EXPORT IRIS PROD 13-11-2024'!A:A,1,0)</f>
        <v>ALR_VIBRAZIONE_2-Allarme vibrazione</v>
      </c>
      <c r="C393" t="str">
        <f>VLOOKUP(F393,'EXPORT IRIS PROD 13-11-2024'!F:F,1,0)</f>
        <v>ALR_VIBRAZIONE_2</v>
      </c>
      <c r="D393" t="str">
        <f>VLOOKUP(G393,'EXPORT IRIS PROD 13-11-2024'!D:D,1,0)</f>
        <v>Allarme vibrazione</v>
      </c>
      <c r="E393" s="37" t="s">
        <v>85</v>
      </c>
      <c r="F393" s="38" t="s">
        <v>780</v>
      </c>
      <c r="G393" s="38" t="s">
        <v>779</v>
      </c>
      <c r="H393" s="39" t="s">
        <v>50</v>
      </c>
      <c r="I393" s="50" t="s">
        <v>124</v>
      </c>
      <c r="J393" s="40" t="s">
        <v>21</v>
      </c>
      <c r="K393" s="41" t="s">
        <v>22</v>
      </c>
      <c r="L393" s="42" t="s">
        <v>23</v>
      </c>
      <c r="M393" s="43" t="s">
        <v>24</v>
      </c>
      <c r="N393" s="42" t="s">
        <v>25</v>
      </c>
      <c r="O393" s="42" t="s">
        <v>21</v>
      </c>
      <c r="P393" s="44"/>
    </row>
    <row r="394" spans="1:16" x14ac:dyDescent="0.25">
      <c r="A394" t="str">
        <f t="shared" si="6"/>
        <v>ALR_VIBRAZIONE_CUSCINETTO_2-Allarme vibrazione cuscinetto 2</v>
      </c>
      <c r="B394" t="str">
        <f>VLOOKUP(A394,'EXPORT IRIS PROD 13-11-2024'!A:A,1,0)</f>
        <v>ALR_VIBRAZIONE_CUSCINETTO_2-Allarme vibrazione cuscinetto 2</v>
      </c>
      <c r="C394" t="str">
        <f>VLOOKUP(F394,'EXPORT IRIS PROD 13-11-2024'!F:F,1,0)</f>
        <v>ALR_VIBRAZIONE_CUSCINETTO_2</v>
      </c>
      <c r="D394" t="str">
        <f>VLOOKUP(G394,'EXPORT IRIS PROD 13-11-2024'!D:D,1,0)</f>
        <v>Allarme vibrazione cuscinetto 2</v>
      </c>
      <c r="E394" s="37" t="s">
        <v>85</v>
      </c>
      <c r="F394" s="38" t="s">
        <v>781</v>
      </c>
      <c r="G394" s="38" t="s">
        <v>782</v>
      </c>
      <c r="H394" s="39" t="s">
        <v>50</v>
      </c>
      <c r="I394" s="39" t="s">
        <v>124</v>
      </c>
      <c r="J394" s="40" t="s">
        <v>21</v>
      </c>
      <c r="K394" s="41" t="s">
        <v>22</v>
      </c>
      <c r="L394" s="42" t="s">
        <v>23</v>
      </c>
      <c r="M394" s="43" t="s">
        <v>24</v>
      </c>
      <c r="N394" s="42" t="s">
        <v>25</v>
      </c>
      <c r="O394" s="42" t="s">
        <v>21</v>
      </c>
      <c r="P394" s="44"/>
    </row>
    <row r="395" spans="1:16" x14ac:dyDescent="0.25">
      <c r="A395" t="str">
        <f t="shared" si="6"/>
        <v>ALT_TERMICO_POMPA-Allarme termico pompa</v>
      </c>
      <c r="B395" t="str">
        <f>VLOOKUP(A395,'EXPORT IRIS PROD 13-11-2024'!A:A,1,0)</f>
        <v>ALT_TERMICO_POMPA-Allarme termico pompa</v>
      </c>
      <c r="C395" t="str">
        <f>VLOOKUP(F395,'EXPORT IRIS PROD 13-11-2024'!F:F,1,0)</f>
        <v>ALT_TERMICO_POMPA</v>
      </c>
      <c r="D395" t="str">
        <f>VLOOKUP(G395,'EXPORT IRIS PROD 13-11-2024'!D:D,1,0)</f>
        <v>Allarme termico pompa</v>
      </c>
      <c r="E395" s="37" t="s">
        <v>35</v>
      </c>
      <c r="F395" s="38" t="s">
        <v>783</v>
      </c>
      <c r="G395" s="38" t="s">
        <v>784</v>
      </c>
      <c r="H395" s="39" t="s">
        <v>38</v>
      </c>
      <c r="I395" s="39" t="s">
        <v>39</v>
      </c>
      <c r="J395" s="40" t="s">
        <v>21</v>
      </c>
      <c r="K395" s="41" t="s">
        <v>22</v>
      </c>
      <c r="L395" s="42" t="s">
        <v>23</v>
      </c>
      <c r="M395" s="43" t="s">
        <v>24</v>
      </c>
      <c r="N395" s="42" t="s">
        <v>25</v>
      </c>
      <c r="O395" s="42" t="s">
        <v>21</v>
      </c>
      <c r="P395" s="44"/>
    </row>
    <row r="396" spans="1:16" x14ac:dyDescent="0.25">
      <c r="A396" t="str">
        <f t="shared" si="6"/>
        <v>AN_GUASTO-Allarme guasto sensore AN</v>
      </c>
      <c r="B396" t="str">
        <f>VLOOKUP(A396,'EXPORT IRIS PROD 13-11-2024'!A:A,1,0)</f>
        <v>AN_GUASTO-Allarme guasto sensore AN</v>
      </c>
      <c r="C396" t="str">
        <f>VLOOKUP(F396,'EXPORT IRIS PROD 13-11-2024'!F:F,1,0)</f>
        <v>AN_GUASTO</v>
      </c>
      <c r="D396" t="str">
        <f>VLOOKUP(G396,'EXPORT IRIS PROD 13-11-2024'!D:D,1,0)</f>
        <v>Allarme guasto sensore AN</v>
      </c>
      <c r="E396" s="37" t="s">
        <v>85</v>
      </c>
      <c r="F396" s="38" t="s">
        <v>785</v>
      </c>
      <c r="G396" s="38" t="s">
        <v>786</v>
      </c>
      <c r="H396" s="39" t="s">
        <v>50</v>
      </c>
      <c r="I396" s="50" t="s">
        <v>787</v>
      </c>
      <c r="J396" s="40" t="s">
        <v>21</v>
      </c>
      <c r="K396" s="41" t="s">
        <v>22</v>
      </c>
      <c r="L396" s="42" t="s">
        <v>23</v>
      </c>
      <c r="M396" s="43" t="s">
        <v>24</v>
      </c>
      <c r="N396" s="42" t="s">
        <v>25</v>
      </c>
      <c r="O396" s="42" t="s">
        <v>21</v>
      </c>
      <c r="P396" s="44"/>
    </row>
    <row r="397" spans="1:16" x14ac:dyDescent="0.25">
      <c r="A397" t="str">
        <f t="shared" si="6"/>
        <v>ANOMALIA_DISPOSITIVO-Allarme dispositivo in errore</v>
      </c>
      <c r="B397" t="str">
        <f>VLOOKUP(A397,'EXPORT IRIS PROD 13-11-2024'!A:A,1,0)</f>
        <v>ANOMALIA_DISPOSITIVO-Allarme dispositivo in errore</v>
      </c>
      <c r="C397" t="str">
        <f>VLOOKUP(F397,'EXPORT IRIS PROD 13-11-2024'!F:F,1,0)</f>
        <v>ANOMALIA_DISPOSITIVO</v>
      </c>
      <c r="D397" t="str">
        <f>VLOOKUP(G397,'EXPORT IRIS PROD 13-11-2024'!D:D,1,0)</f>
        <v>Allarme dispositivo in errore</v>
      </c>
      <c r="E397" s="37" t="s">
        <v>115</v>
      </c>
      <c r="F397" s="38" t="s">
        <v>788</v>
      </c>
      <c r="G397" s="38" t="s">
        <v>789</v>
      </c>
      <c r="H397" s="39" t="s">
        <v>116</v>
      </c>
      <c r="I397" s="39" t="s">
        <v>256</v>
      </c>
      <c r="J397" s="40" t="s">
        <v>21</v>
      </c>
      <c r="K397" s="41" t="s">
        <v>22</v>
      </c>
      <c r="L397" s="42" t="s">
        <v>23</v>
      </c>
      <c r="M397" s="43" t="s">
        <v>24</v>
      </c>
      <c r="N397" s="42" t="s">
        <v>25</v>
      </c>
      <c r="O397" s="42" t="s">
        <v>21</v>
      </c>
      <c r="P397" s="44"/>
    </row>
    <row r="398" spans="1:16" customFormat="1" x14ac:dyDescent="0.25">
      <c r="A398" t="str">
        <f t="shared" si="6"/>
        <v>ANOMALIA_DISPOSITIVO-Allarme dispositivo in errore</v>
      </c>
      <c r="B398" t="str">
        <f>VLOOKUP(A398,'EXPORT IRIS PROD 13-11-2024'!A:A,1,0)</f>
        <v>ANOMALIA_DISPOSITIVO-Allarme dispositivo in errore</v>
      </c>
      <c r="C398" t="str">
        <f>VLOOKUP(F398,'EXPORT IRIS PROD 13-11-2024'!F:F,1,0)</f>
        <v>ANOMALIA_DISPOSITIVO</v>
      </c>
      <c r="D398" t="str">
        <f>VLOOKUP(G398,'EXPORT IRIS PROD 13-11-2024'!D:D,1,0)</f>
        <v>Allarme dispositivo in errore</v>
      </c>
      <c r="E398" s="37" t="s">
        <v>85</v>
      </c>
      <c r="F398" s="38" t="s">
        <v>788</v>
      </c>
      <c r="G398" s="38" t="s">
        <v>789</v>
      </c>
      <c r="H398" s="39" t="s">
        <v>50</v>
      </c>
      <c r="I398" s="39" t="s">
        <v>88</v>
      </c>
      <c r="J398" s="40" t="s">
        <v>21</v>
      </c>
      <c r="K398" s="41" t="s">
        <v>22</v>
      </c>
      <c r="L398" s="42" t="s">
        <v>23</v>
      </c>
      <c r="M398" s="43" t="s">
        <v>24</v>
      </c>
      <c r="N398" s="42" t="s">
        <v>25</v>
      </c>
      <c r="O398" s="42" t="s">
        <v>21</v>
      </c>
      <c r="P398" s="44"/>
    </row>
    <row r="399" spans="1:16" customFormat="1" x14ac:dyDescent="0.25">
      <c r="A399" t="str">
        <f t="shared" si="6"/>
        <v>ANOMALIA_DISPOSITIVO-Allarme dispositivo in errore</v>
      </c>
      <c r="B399" t="str">
        <f>VLOOKUP(A399,'EXPORT IRIS PROD 13-11-2024'!A:A,1,0)</f>
        <v>ANOMALIA_DISPOSITIVO-Allarme dispositivo in errore</v>
      </c>
      <c r="C399" t="str">
        <f>VLOOKUP(F399,'EXPORT IRIS PROD 13-11-2024'!F:F,1,0)</f>
        <v>ANOMALIA_DISPOSITIVO</v>
      </c>
      <c r="D399" t="str">
        <f>VLOOKUP(G399,'EXPORT IRIS PROD 13-11-2024'!D:D,1,0)</f>
        <v>Allarme dispositivo in errore</v>
      </c>
      <c r="E399" s="37" t="s">
        <v>85</v>
      </c>
      <c r="F399" s="38" t="s">
        <v>788</v>
      </c>
      <c r="G399" s="38" t="s">
        <v>789</v>
      </c>
      <c r="H399" s="39" t="s">
        <v>50</v>
      </c>
      <c r="I399" s="39" t="s">
        <v>51</v>
      </c>
      <c r="J399" s="40" t="s">
        <v>21</v>
      </c>
      <c r="K399" s="41" t="s">
        <v>22</v>
      </c>
      <c r="L399" s="42" t="s">
        <v>23</v>
      </c>
      <c r="M399" s="43" t="s">
        <v>24</v>
      </c>
      <c r="N399" s="42" t="s">
        <v>25</v>
      </c>
      <c r="O399" s="42" t="s">
        <v>21</v>
      </c>
      <c r="P399" s="44"/>
    </row>
    <row r="400" spans="1:16" x14ac:dyDescent="0.25">
      <c r="A400" t="str">
        <f t="shared" si="6"/>
        <v>ANOMALIA_DISPOSITIVO-Allarme dispositivo in errore</v>
      </c>
      <c r="B400" t="str">
        <f>VLOOKUP(A400,'EXPORT IRIS PROD 13-11-2024'!A:A,1,0)</f>
        <v>ANOMALIA_DISPOSITIVO-Allarme dispositivo in errore</v>
      </c>
      <c r="C400" t="str">
        <f>VLOOKUP(F400,'EXPORT IRIS PROD 13-11-2024'!F:F,1,0)</f>
        <v>ANOMALIA_DISPOSITIVO</v>
      </c>
      <c r="D400" t="str">
        <f>VLOOKUP(G400,'EXPORT IRIS PROD 13-11-2024'!D:D,1,0)</f>
        <v>Allarme dispositivo in errore</v>
      </c>
      <c r="E400" s="37" t="s">
        <v>85</v>
      </c>
      <c r="F400" s="38" t="s">
        <v>788</v>
      </c>
      <c r="G400" s="38" t="s">
        <v>789</v>
      </c>
      <c r="H400" s="39" t="s">
        <v>50</v>
      </c>
      <c r="I400" s="39" t="s">
        <v>52</v>
      </c>
      <c r="J400" s="40" t="s">
        <v>21</v>
      </c>
      <c r="K400" s="41" t="s">
        <v>22</v>
      </c>
      <c r="L400" s="42" t="s">
        <v>23</v>
      </c>
      <c r="M400" s="43" t="s">
        <v>24</v>
      </c>
      <c r="N400" s="42" t="s">
        <v>25</v>
      </c>
      <c r="O400" s="42" t="s">
        <v>21</v>
      </c>
      <c r="P400" s="44"/>
    </row>
    <row r="401" spans="1:16" x14ac:dyDescent="0.25">
      <c r="A401" t="str">
        <f t="shared" si="6"/>
        <v>ANOMALIA_UPS_QUADRO_ALIMENTAZIONE-Allarme anomalia ups quadro alimentazione</v>
      </c>
      <c r="B401" t="str">
        <f>VLOOKUP(A401,'EXPORT IRIS PROD 13-11-2024'!A:A,1,0)</f>
        <v>ANOMALIA_UPS_QUADRO_ALIMENTAZIONE-Allarme anomalia ups quadro alimentazione</v>
      </c>
      <c r="C401" t="str">
        <f>VLOOKUP(F401,'EXPORT IRIS PROD 13-11-2024'!F:F,1,0)</f>
        <v>ANOMALIA_UPS_QUADRO_ALIMENTAZIONE</v>
      </c>
      <c r="D401" t="str">
        <f>VLOOKUP(G401,'EXPORT IRIS PROD 13-11-2024'!D:D,1,0)</f>
        <v>Allarme anomalia ups quadro alimentazione</v>
      </c>
      <c r="E401" s="37" t="s">
        <v>53</v>
      </c>
      <c r="F401" s="38" t="s">
        <v>790</v>
      </c>
      <c r="G401" s="38" t="s">
        <v>791</v>
      </c>
      <c r="H401" s="39" t="s">
        <v>56</v>
      </c>
      <c r="I401" s="39" t="s">
        <v>104</v>
      </c>
      <c r="J401" s="40" t="s">
        <v>21</v>
      </c>
      <c r="K401" s="41" t="s">
        <v>22</v>
      </c>
      <c r="L401" s="42" t="s">
        <v>23</v>
      </c>
      <c r="M401" s="43" t="s">
        <v>24</v>
      </c>
      <c r="N401" s="42" t="s">
        <v>25</v>
      </c>
      <c r="O401" s="42" t="s">
        <v>21</v>
      </c>
      <c r="P401" s="44"/>
    </row>
    <row r="402" spans="1:16" x14ac:dyDescent="0.25">
      <c r="A402" t="str">
        <f t="shared" si="6"/>
        <v>APERTA-Allarme porta aperta</v>
      </c>
      <c r="B402" t="str">
        <f>VLOOKUP(A402,'EXPORT IRIS PROD 13-11-2024'!A:A,1,0)</f>
        <v>APERTA-Allarme porta aperta</v>
      </c>
      <c r="C402" t="str">
        <f>VLOOKUP(F402,'EXPORT IRIS PROD 13-11-2024'!F:F,1,0)</f>
        <v>APERTA</v>
      </c>
      <c r="D402" t="str">
        <f>VLOOKUP(G402,'EXPORT IRIS PROD 13-11-2024'!D:D,1,0)</f>
        <v>Allarme porta aperta</v>
      </c>
      <c r="E402" s="37" t="s">
        <v>576</v>
      </c>
      <c r="F402" s="38" t="s">
        <v>792</v>
      </c>
      <c r="G402" s="45" t="s">
        <v>793</v>
      </c>
      <c r="H402" s="46" t="s">
        <v>274</v>
      </c>
      <c r="I402" s="46" t="s">
        <v>794</v>
      </c>
      <c r="J402" s="47" t="s">
        <v>31</v>
      </c>
      <c r="K402" s="48" t="s">
        <v>32</v>
      </c>
      <c r="L402" s="43">
        <v>2</v>
      </c>
      <c r="M402" s="43" t="s">
        <v>157</v>
      </c>
      <c r="N402" s="43" t="s">
        <v>158</v>
      </c>
      <c r="O402" s="42" t="s">
        <v>21</v>
      </c>
      <c r="P402" s="49"/>
    </row>
    <row r="403" spans="1:16" x14ac:dyDescent="0.25">
      <c r="A403" t="str">
        <f t="shared" si="6"/>
        <v>AVARIA-Allarme avaria</v>
      </c>
      <c r="B403" t="str">
        <f>VLOOKUP(A403,'EXPORT IRIS PROD 13-11-2024'!A:A,1,0)</f>
        <v>AVARIA-Allarme avaria</v>
      </c>
      <c r="C403" t="str">
        <f>VLOOKUP(F403,'EXPORT IRIS PROD 13-11-2024'!F:F,1,0)</f>
        <v>AVARIA</v>
      </c>
      <c r="D403" t="str">
        <f>VLOOKUP(G403,'EXPORT IRIS PROD 13-11-2024'!D:D,1,0)</f>
        <v>Allarme avaria</v>
      </c>
      <c r="E403" s="37" t="s">
        <v>198</v>
      </c>
      <c r="F403" s="38" t="s">
        <v>795</v>
      </c>
      <c r="G403" s="38" t="s">
        <v>796</v>
      </c>
      <c r="H403" s="39" t="s">
        <v>201</v>
      </c>
      <c r="I403" s="39" t="s">
        <v>797</v>
      </c>
      <c r="J403" s="40" t="s">
        <v>21</v>
      </c>
      <c r="K403" s="41" t="s">
        <v>22</v>
      </c>
      <c r="L403" s="42" t="s">
        <v>23</v>
      </c>
      <c r="M403" s="43" t="s">
        <v>24</v>
      </c>
      <c r="N403" s="42" t="s">
        <v>25</v>
      </c>
      <c r="O403" s="42" t="s">
        <v>21</v>
      </c>
      <c r="P403" s="44"/>
    </row>
    <row r="404" spans="1:16" x14ac:dyDescent="0.25">
      <c r="A404" t="str">
        <f t="shared" si="6"/>
        <v>CAMERA_FAULT-Allarme camera KO</v>
      </c>
      <c r="B404" t="str">
        <f>VLOOKUP(A404,'EXPORT IRIS PROD 13-11-2024'!A:A,1,0)</f>
        <v>CAMERA_FAULT-Allarme camera KO</v>
      </c>
      <c r="C404" t="str">
        <f>VLOOKUP(F404,'EXPORT IRIS PROD 13-11-2024'!F:F,1,0)</f>
        <v>CAMERA_FAULT</v>
      </c>
      <c r="D404" t="str">
        <f>VLOOKUP(G404,'EXPORT IRIS PROD 13-11-2024'!D:D,1,0)</f>
        <v>Allarme camera KO</v>
      </c>
      <c r="E404" s="37" t="s">
        <v>198</v>
      </c>
      <c r="F404" s="38" t="s">
        <v>798</v>
      </c>
      <c r="G404" s="38" t="s">
        <v>799</v>
      </c>
      <c r="H404" s="39" t="s">
        <v>201</v>
      </c>
      <c r="I404" s="39" t="s">
        <v>533</v>
      </c>
      <c r="J404" s="40" t="s">
        <v>21</v>
      </c>
      <c r="K404" s="41" t="s">
        <v>22</v>
      </c>
      <c r="L404" s="42" t="s">
        <v>23</v>
      </c>
      <c r="M404" s="43" t="s">
        <v>24</v>
      </c>
      <c r="N404" s="42" t="s">
        <v>25</v>
      </c>
      <c r="O404" s="42" t="s">
        <v>21</v>
      </c>
      <c r="P404" s="44"/>
    </row>
    <row r="405" spans="1:16" x14ac:dyDescent="0.25">
      <c r="A405" t="str">
        <f t="shared" si="6"/>
        <v>CENTRALINA_FAULT-Allarme centralina termometrica trasformatore</v>
      </c>
      <c r="B405" t="str">
        <f>VLOOKUP(A405,'EXPORT IRIS PROD 13-11-2024'!A:A,1,0)</f>
        <v>CENTRALINA_FAULT-Allarme centralina termometrica trasformatore</v>
      </c>
      <c r="C405" t="str">
        <f>VLOOKUP(F405,'EXPORT IRIS PROD 13-11-2024'!F:F,1,0)</f>
        <v>CENTRALINA_FAULT</v>
      </c>
      <c r="D405" t="str">
        <f>VLOOKUP(G405,'EXPORT IRIS PROD 13-11-2024'!D:D,1,0)</f>
        <v>Allarme centralina termometrica trasformatore</v>
      </c>
      <c r="E405" s="37" t="s">
        <v>53</v>
      </c>
      <c r="F405" s="38" t="s">
        <v>800</v>
      </c>
      <c r="G405" s="38" t="s">
        <v>801</v>
      </c>
      <c r="H405" s="39" t="s">
        <v>56</v>
      </c>
      <c r="I405" s="39" t="s">
        <v>208</v>
      </c>
      <c r="J405" s="40" t="s">
        <v>21</v>
      </c>
      <c r="K405" s="41" t="s">
        <v>22</v>
      </c>
      <c r="L405" s="42" t="s">
        <v>23</v>
      </c>
      <c r="M405" s="43" t="s">
        <v>24</v>
      </c>
      <c r="N405" s="42" t="s">
        <v>25</v>
      </c>
      <c r="O405" s="42" t="s">
        <v>21</v>
      </c>
      <c r="P405" s="44"/>
    </row>
    <row r="406" spans="1:16" x14ac:dyDescent="0.25">
      <c r="A406" t="str">
        <f t="shared" si="6"/>
        <v>CENTRALINA_FAULT_CANNA_NORD-Guasto centralina rilevazione incendio canna nord</v>
      </c>
      <c r="B406" t="str">
        <f>VLOOKUP(A406,'EXPORT IRIS PROD 13-11-2024'!A:A,1,0)</f>
        <v>CENTRALINA_FAULT_CANNA_NORD-Guasto centralina rilevazione incendio canna nord</v>
      </c>
      <c r="C406" t="str">
        <f>VLOOKUP(F406,'EXPORT IRIS PROD 13-11-2024'!F:F,1,0)</f>
        <v>CENTRALINA_FAULT_CANNA_NORD</v>
      </c>
      <c r="D406" t="str">
        <f>VLOOKUP(G406,'EXPORT IRIS PROD 13-11-2024'!D:D,1,0)</f>
        <v>Guasto centralina rilevazione incendio canna nord</v>
      </c>
      <c r="E406" s="37" t="s">
        <v>105</v>
      </c>
      <c r="F406" s="38" t="s">
        <v>802</v>
      </c>
      <c r="G406" s="38" t="s">
        <v>803</v>
      </c>
      <c r="H406" s="39" t="s">
        <v>43</v>
      </c>
      <c r="I406" s="39" t="s">
        <v>108</v>
      </c>
      <c r="J406" s="40" t="s">
        <v>31</v>
      </c>
      <c r="K406" s="41" t="s">
        <v>32</v>
      </c>
      <c r="L406" s="42">
        <v>3</v>
      </c>
      <c r="M406" s="43" t="s">
        <v>33</v>
      </c>
      <c r="N406" s="42" t="s">
        <v>34</v>
      </c>
      <c r="O406" s="42" t="s">
        <v>31</v>
      </c>
      <c r="P406" s="44"/>
    </row>
    <row r="407" spans="1:16" x14ac:dyDescent="0.25">
      <c r="A407" t="str">
        <f t="shared" si="6"/>
        <v>CENTRALINA_FAULT_CANNA_SUD-Guasto centralina rilevazione incendio canna sud</v>
      </c>
      <c r="B407" t="str">
        <f>VLOOKUP(A407,'EXPORT IRIS PROD 13-11-2024'!A:A,1,0)</f>
        <v>CENTRALINA_FAULT_CANNA_SUD-Guasto centralina rilevazione incendio canna sud</v>
      </c>
      <c r="C407" t="str">
        <f>VLOOKUP(F407,'EXPORT IRIS PROD 13-11-2024'!F:F,1,0)</f>
        <v>CENTRALINA_FAULT_CANNA_SUD</v>
      </c>
      <c r="D407" t="str">
        <f>VLOOKUP(G407,'EXPORT IRIS PROD 13-11-2024'!D:D,1,0)</f>
        <v>Guasto centralina rilevazione incendio canna sud</v>
      </c>
      <c r="E407" s="37" t="s">
        <v>105</v>
      </c>
      <c r="F407" s="38" t="s">
        <v>804</v>
      </c>
      <c r="G407" s="38" t="s">
        <v>805</v>
      </c>
      <c r="H407" s="39" t="s">
        <v>43</v>
      </c>
      <c r="I407" s="39" t="s">
        <v>108</v>
      </c>
      <c r="J407" s="40" t="s">
        <v>31</v>
      </c>
      <c r="K407" s="41" t="s">
        <v>32</v>
      </c>
      <c r="L407" s="42">
        <v>3</v>
      </c>
      <c r="M407" s="43" t="s">
        <v>33</v>
      </c>
      <c r="N407" s="42" t="s">
        <v>34</v>
      </c>
      <c r="O407" s="42" t="s">
        <v>31</v>
      </c>
      <c r="P407" s="44"/>
    </row>
    <row r="408" spans="1:16" x14ac:dyDescent="0.25">
      <c r="A408" t="str">
        <f t="shared" si="6"/>
        <v>CO_GUASTO-Allarme guasto sensore CO</v>
      </c>
      <c r="B408" t="str">
        <f>VLOOKUP(A408,'EXPORT IRIS PROD 13-11-2024'!A:A,1,0)</f>
        <v>CO_GUASTO-Allarme guasto sensore CO</v>
      </c>
      <c r="C408" t="str">
        <f>VLOOKUP(F408,'EXPORT IRIS PROD 13-11-2024'!F:F,1,0)</f>
        <v>CO_GUASTO</v>
      </c>
      <c r="D408" t="str">
        <f>VLOOKUP(G408,'EXPORT IRIS PROD 13-11-2024'!D:D,1,0)</f>
        <v>Allarme guasto sensore CO</v>
      </c>
      <c r="E408" s="37" t="s">
        <v>85</v>
      </c>
      <c r="F408" s="38" t="s">
        <v>806</v>
      </c>
      <c r="G408" s="38" t="s">
        <v>514</v>
      </c>
      <c r="H408" s="39" t="s">
        <v>50</v>
      </c>
      <c r="I408" s="50" t="s">
        <v>51</v>
      </c>
      <c r="J408" s="40" t="s">
        <v>21</v>
      </c>
      <c r="K408" s="41" t="s">
        <v>22</v>
      </c>
      <c r="L408" s="42" t="s">
        <v>23</v>
      </c>
      <c r="M408" s="43" t="s">
        <v>24</v>
      </c>
      <c r="N408" s="42" t="s">
        <v>25</v>
      </c>
      <c r="O408" s="42" t="s">
        <v>21</v>
      </c>
      <c r="P408" s="44"/>
    </row>
    <row r="409" spans="1:16" x14ac:dyDescent="0.25">
      <c r="A409" t="str">
        <f t="shared" si="6"/>
        <v>CODA-Allarme coda in galleria</v>
      </c>
      <c r="B409" t="str">
        <f>VLOOKUP(A409,'EXPORT IRIS PROD 13-11-2024'!A:A,1,0)</f>
        <v>CODA-Allarme coda in galleria</v>
      </c>
      <c r="C409" t="str">
        <f>VLOOKUP(F409,'EXPORT IRIS PROD 13-11-2024'!F:F,1,0)</f>
        <v>CODA</v>
      </c>
      <c r="D409" t="str">
        <f>VLOOKUP(G409,'EXPORT IRIS PROD 13-11-2024'!D:D,1,0)</f>
        <v>Allarme coda in galleria</v>
      </c>
      <c r="E409" s="37" t="s">
        <v>807</v>
      </c>
      <c r="F409" s="38" t="s">
        <v>808</v>
      </c>
      <c r="G409" s="45" t="s">
        <v>809</v>
      </c>
      <c r="H409" s="46" t="s">
        <v>201</v>
      </c>
      <c r="I409" s="46" t="s">
        <v>380</v>
      </c>
      <c r="J409" s="47" t="s">
        <v>31</v>
      </c>
      <c r="K409" s="48" t="s">
        <v>32</v>
      </c>
      <c r="L409" s="43">
        <v>1</v>
      </c>
      <c r="M409" s="43" t="s">
        <v>24</v>
      </c>
      <c r="N409" s="43" t="s">
        <v>25</v>
      </c>
      <c r="O409" s="42" t="s">
        <v>21</v>
      </c>
      <c r="P409" s="49"/>
    </row>
    <row r="410" spans="1:16" x14ac:dyDescent="0.25">
      <c r="A410" t="str">
        <f t="shared" si="6"/>
        <v>CODA-Allarme coda in galleria</v>
      </c>
      <c r="B410" t="str">
        <f>VLOOKUP(A410,'EXPORT IRIS PROD 13-11-2024'!A:A,1,0)</f>
        <v>CODA-Allarme coda in galleria</v>
      </c>
      <c r="C410" t="str">
        <f>VLOOKUP(F410,'EXPORT IRIS PROD 13-11-2024'!F:F,1,0)</f>
        <v>CODA</v>
      </c>
      <c r="D410" t="str">
        <f>VLOOKUP(G410,'EXPORT IRIS PROD 13-11-2024'!D:D,1,0)</f>
        <v>Allarme coda in galleria</v>
      </c>
      <c r="E410" s="37" t="s">
        <v>807</v>
      </c>
      <c r="F410" s="38" t="s">
        <v>808</v>
      </c>
      <c r="G410" s="45" t="s">
        <v>809</v>
      </c>
      <c r="H410" s="46" t="s">
        <v>201</v>
      </c>
      <c r="I410" s="46" t="s">
        <v>263</v>
      </c>
      <c r="J410" s="47" t="s">
        <v>31</v>
      </c>
      <c r="K410" s="48" t="s">
        <v>32</v>
      </c>
      <c r="L410" s="43">
        <v>1</v>
      </c>
      <c r="M410" s="43" t="s">
        <v>24</v>
      </c>
      <c r="N410" s="43" t="s">
        <v>25</v>
      </c>
      <c r="O410" s="42" t="s">
        <v>21</v>
      </c>
      <c r="P410" s="49"/>
    </row>
    <row r="411" spans="1:16" x14ac:dyDescent="0.25">
      <c r="A411" t="str">
        <f t="shared" si="6"/>
        <v>CODA_CORSIA_2-Allarme coda in corsia di marcia</v>
      </c>
      <c r="B411" t="str">
        <f>VLOOKUP(A411,'EXPORT IRIS PROD 13-11-2024'!A:A,1,0)</f>
        <v>CODA_CORSIA_2-Allarme coda in corsia di marcia</v>
      </c>
      <c r="C411" t="str">
        <f>VLOOKUP(F411,'EXPORT IRIS PROD 13-11-2024'!F:F,1,0)</f>
        <v>CODA_CORSIA_2</v>
      </c>
      <c r="D411" t="str">
        <f>VLOOKUP(G411,'EXPORT IRIS PROD 13-11-2024'!D:D,1,0)</f>
        <v>Allarme coda in corsia di marcia</v>
      </c>
      <c r="E411" s="37" t="s">
        <v>807</v>
      </c>
      <c r="F411" s="38" t="s">
        <v>810</v>
      </c>
      <c r="G411" s="45" t="s">
        <v>811</v>
      </c>
      <c r="H411" s="46" t="s">
        <v>201</v>
      </c>
      <c r="I411" s="46" t="s">
        <v>380</v>
      </c>
      <c r="J411" s="47" t="s">
        <v>31</v>
      </c>
      <c r="K411" s="48" t="s">
        <v>32</v>
      </c>
      <c r="L411" s="43">
        <v>1</v>
      </c>
      <c r="M411" s="43" t="s">
        <v>24</v>
      </c>
      <c r="N411" s="43" t="s">
        <v>25</v>
      </c>
      <c r="O411" s="42" t="s">
        <v>21</v>
      </c>
      <c r="P411" s="49"/>
    </row>
    <row r="412" spans="1:16" x14ac:dyDescent="0.25">
      <c r="A412" t="str">
        <f t="shared" si="6"/>
        <v>CODA_CORSIA_2-Allarme coda in corsia di marcia</v>
      </c>
      <c r="B412" t="str">
        <f>VLOOKUP(A412,'EXPORT IRIS PROD 13-11-2024'!A:A,1,0)</f>
        <v>CODA_CORSIA_2-Allarme coda in corsia di marcia</v>
      </c>
      <c r="C412" t="str">
        <f>VLOOKUP(F412,'EXPORT IRIS PROD 13-11-2024'!F:F,1,0)</f>
        <v>CODA_CORSIA_2</v>
      </c>
      <c r="D412" t="str">
        <f>VLOOKUP(G412,'EXPORT IRIS PROD 13-11-2024'!D:D,1,0)</f>
        <v>Allarme coda in corsia di marcia</v>
      </c>
      <c r="E412" s="37" t="s">
        <v>807</v>
      </c>
      <c r="F412" s="38" t="s">
        <v>810</v>
      </c>
      <c r="G412" s="45" t="s">
        <v>811</v>
      </c>
      <c r="H412" s="46" t="s">
        <v>201</v>
      </c>
      <c r="I412" s="46" t="s">
        <v>263</v>
      </c>
      <c r="J412" s="47" t="s">
        <v>31</v>
      </c>
      <c r="K412" s="48" t="s">
        <v>32</v>
      </c>
      <c r="L412" s="43">
        <v>1</v>
      </c>
      <c r="M412" s="43" t="s">
        <v>24</v>
      </c>
      <c r="N412" s="43" t="s">
        <v>25</v>
      </c>
      <c r="O412" s="42" t="s">
        <v>21</v>
      </c>
      <c r="P412" s="49"/>
    </row>
    <row r="413" spans="1:16" x14ac:dyDescent="0.25">
      <c r="A413" t="str">
        <f t="shared" si="6"/>
        <v>CODA_CORSIA_3-Allarme coda in corsia di sorpasso</v>
      </c>
      <c r="B413" t="str">
        <f>VLOOKUP(A413,'EXPORT IRIS PROD 13-11-2024'!A:A,1,0)</f>
        <v>CODA_CORSIA_3-Allarme coda in corsia di sorpasso</v>
      </c>
      <c r="C413" t="str">
        <f>VLOOKUP(F413,'EXPORT IRIS PROD 13-11-2024'!F:F,1,0)</f>
        <v>CODA_CORSIA_3</v>
      </c>
      <c r="D413" t="str">
        <f>VLOOKUP(G413,'EXPORT IRIS PROD 13-11-2024'!D:D,1,0)</f>
        <v>Allarme coda in corsia di sorpasso</v>
      </c>
      <c r="E413" s="37" t="s">
        <v>807</v>
      </c>
      <c r="F413" s="38" t="s">
        <v>812</v>
      </c>
      <c r="G413" s="45" t="s">
        <v>813</v>
      </c>
      <c r="H413" s="46" t="s">
        <v>201</v>
      </c>
      <c r="I413" s="46" t="s">
        <v>380</v>
      </c>
      <c r="J413" s="47" t="s">
        <v>31</v>
      </c>
      <c r="K413" s="48" t="s">
        <v>32</v>
      </c>
      <c r="L413" s="43">
        <v>1</v>
      </c>
      <c r="M413" s="43" t="s">
        <v>24</v>
      </c>
      <c r="N413" s="43" t="s">
        <v>25</v>
      </c>
      <c r="O413" s="42" t="s">
        <v>21</v>
      </c>
      <c r="P413" s="49"/>
    </row>
    <row r="414" spans="1:16" customFormat="1" x14ac:dyDescent="0.25">
      <c r="A414" t="str">
        <f t="shared" si="6"/>
        <v>CODA_CORSIA_3-Allarme coda in corsia di sorpasso</v>
      </c>
      <c r="B414" t="str">
        <f>VLOOKUP(A414,'EXPORT IRIS PROD 13-11-2024'!A:A,1,0)</f>
        <v>CODA_CORSIA_3-Allarme coda in corsia di sorpasso</v>
      </c>
      <c r="C414" t="str">
        <f>VLOOKUP(F414,'EXPORT IRIS PROD 13-11-2024'!F:F,1,0)</f>
        <v>CODA_CORSIA_3</v>
      </c>
      <c r="D414" t="str">
        <f>VLOOKUP(G414,'EXPORT IRIS PROD 13-11-2024'!D:D,1,0)</f>
        <v>Allarme coda in corsia di sorpasso</v>
      </c>
      <c r="E414" s="37" t="s">
        <v>807</v>
      </c>
      <c r="F414" s="38" t="s">
        <v>812</v>
      </c>
      <c r="G414" s="45" t="s">
        <v>813</v>
      </c>
      <c r="H414" s="46" t="s">
        <v>201</v>
      </c>
      <c r="I414" s="46" t="s">
        <v>263</v>
      </c>
      <c r="J414" s="47" t="s">
        <v>31</v>
      </c>
      <c r="K414" s="48" t="s">
        <v>32</v>
      </c>
      <c r="L414" s="43">
        <v>1</v>
      </c>
      <c r="M414" s="43" t="s">
        <v>24</v>
      </c>
      <c r="N414" s="43" t="s">
        <v>25</v>
      </c>
      <c r="O414" s="42" t="s">
        <v>21</v>
      </c>
      <c r="P414" s="49"/>
    </row>
    <row r="415" spans="1:16" customFormat="1" x14ac:dyDescent="0.25">
      <c r="A415" t="str">
        <f t="shared" si="6"/>
        <v>CODA_DIR_NORD-Allarme coda direzione Nord</v>
      </c>
      <c r="B415" t="str">
        <f>VLOOKUP(A415,'EXPORT IRIS PROD 13-11-2024'!A:A,1,0)</f>
        <v>CODA_DIR_NORD-Allarme coda direzione Nord</v>
      </c>
      <c r="C415" t="str">
        <f>VLOOKUP(F415,'EXPORT IRIS PROD 13-11-2024'!F:F,1,0)</f>
        <v>CODA_DIR_NORD</v>
      </c>
      <c r="D415" t="str">
        <f>VLOOKUP(G415,'EXPORT IRIS PROD 13-11-2024'!D:D,1,0)</f>
        <v>Allarme coda direzione Nord</v>
      </c>
      <c r="E415" s="37" t="s">
        <v>807</v>
      </c>
      <c r="F415" s="38" t="s">
        <v>814</v>
      </c>
      <c r="G415" s="45" t="s">
        <v>815</v>
      </c>
      <c r="H415" s="46" t="s">
        <v>201</v>
      </c>
      <c r="I415" s="46" t="s">
        <v>263</v>
      </c>
      <c r="J415" s="47" t="s">
        <v>31</v>
      </c>
      <c r="K415" s="48" t="s">
        <v>32</v>
      </c>
      <c r="L415" s="43">
        <v>1</v>
      </c>
      <c r="M415" s="43" t="s">
        <v>24</v>
      </c>
      <c r="N415" s="43" t="s">
        <v>25</v>
      </c>
      <c r="O415" s="42" t="s">
        <v>21</v>
      </c>
      <c r="P415" s="49"/>
    </row>
    <row r="416" spans="1:16" customFormat="1" x14ac:dyDescent="0.25">
      <c r="A416" t="str">
        <f t="shared" si="6"/>
        <v>CODA_DIR_SUD-Allarme coda direzione Sud</v>
      </c>
      <c r="B416" t="str">
        <f>VLOOKUP(A416,'EXPORT IRIS PROD 13-11-2024'!A:A,1,0)</f>
        <v>CODA_DIR_SUD-Allarme coda direzione Sud</v>
      </c>
      <c r="C416" t="str">
        <f>VLOOKUP(F416,'EXPORT IRIS PROD 13-11-2024'!F:F,1,0)</f>
        <v>CODA_DIR_SUD</v>
      </c>
      <c r="D416" t="str">
        <f>VLOOKUP(G416,'EXPORT IRIS PROD 13-11-2024'!D:D,1,0)</f>
        <v>Allarme coda direzione Sud</v>
      </c>
      <c r="E416" s="37" t="s">
        <v>807</v>
      </c>
      <c r="F416" s="38" t="s">
        <v>816</v>
      </c>
      <c r="G416" s="45" t="s">
        <v>817</v>
      </c>
      <c r="H416" s="46" t="s">
        <v>201</v>
      </c>
      <c r="I416" s="46" t="s">
        <v>263</v>
      </c>
      <c r="J416" s="47" t="s">
        <v>31</v>
      </c>
      <c r="K416" s="48" t="s">
        <v>32</v>
      </c>
      <c r="L416" s="43">
        <v>1</v>
      </c>
      <c r="M416" s="43" t="s">
        <v>24</v>
      </c>
      <c r="N416" s="43" t="s">
        <v>25</v>
      </c>
      <c r="O416" s="42" t="s">
        <v>21</v>
      </c>
      <c r="P416" s="49"/>
    </row>
    <row r="417" spans="1:16" customFormat="1" x14ac:dyDescent="0.25">
      <c r="A417" t="str">
        <f t="shared" si="6"/>
        <v>CUMULATIVO_CAMERA-Allarme cumulativo camera</v>
      </c>
      <c r="B417" t="str">
        <f>VLOOKUP(A417,'EXPORT IRIS PROD 13-11-2024'!A:A,1,0)</f>
        <v>CUMULATIVO_CAMERA-Allarme cumulativo camera</v>
      </c>
      <c r="C417" t="str">
        <f>VLOOKUP(F417,'EXPORT IRIS PROD 13-11-2024'!F:F,1,0)</f>
        <v>CUMULATIVO_CAMERA</v>
      </c>
      <c r="D417" t="str">
        <f>VLOOKUP(G417,'EXPORT IRIS PROD 13-11-2024'!D:D,1,0)</f>
        <v>Allarme cumulativo camera</v>
      </c>
      <c r="E417" s="37" t="s">
        <v>198</v>
      </c>
      <c r="F417" s="38" t="s">
        <v>818</v>
      </c>
      <c r="G417" s="38" t="s">
        <v>819</v>
      </c>
      <c r="H417" s="39" t="s">
        <v>201</v>
      </c>
      <c r="I417" s="39" t="s">
        <v>533</v>
      </c>
      <c r="J417" s="40" t="s">
        <v>21</v>
      </c>
      <c r="K417" s="41" t="s">
        <v>22</v>
      </c>
      <c r="L417" s="42" t="s">
        <v>23</v>
      </c>
      <c r="M417" s="43" t="s">
        <v>24</v>
      </c>
      <c r="N417" s="42" t="s">
        <v>25</v>
      </c>
      <c r="O417" s="42" t="s">
        <v>21</v>
      </c>
      <c r="P417" s="44"/>
    </row>
    <row r="418" spans="1:16" x14ac:dyDescent="0.25">
      <c r="A418" t="str">
        <f t="shared" si="6"/>
        <v>FAULT_LETT_PORTATA-Allarme lettura portata non riuscita</v>
      </c>
      <c r="B418" t="str">
        <f>VLOOKUP(A418,'EXPORT IRIS PROD 13-11-2024'!A:A,1,0)</f>
        <v>FAULT_LETT_PORTATA-Allarme lettura portata non riuscita</v>
      </c>
      <c r="C418" t="str">
        <f>VLOOKUP(F418,'EXPORT IRIS PROD 13-11-2024'!F:F,1,0)</f>
        <v>FAULT_LETT_PORTATA</v>
      </c>
      <c r="D418" t="str">
        <f>VLOOKUP(G418,'EXPORT IRIS PROD 13-11-2024'!D:D,1,0)</f>
        <v>Allarme lettura portata non riuscita</v>
      </c>
      <c r="E418" s="37" t="s">
        <v>105</v>
      </c>
      <c r="F418" s="38" t="s">
        <v>820</v>
      </c>
      <c r="G418" s="38" t="s">
        <v>821</v>
      </c>
      <c r="H418" s="39" t="s">
        <v>43</v>
      </c>
      <c r="I418" s="39" t="s">
        <v>108</v>
      </c>
      <c r="J418" s="40" t="s">
        <v>21</v>
      </c>
      <c r="K418" s="41" t="s">
        <v>22</v>
      </c>
      <c r="L418" s="42" t="s">
        <v>23</v>
      </c>
      <c r="M418" s="43" t="s">
        <v>24</v>
      </c>
      <c r="N418" s="42" t="s">
        <v>25</v>
      </c>
      <c r="O418" s="42" t="s">
        <v>21</v>
      </c>
      <c r="P418" s="44"/>
    </row>
    <row r="419" spans="1:16" x14ac:dyDescent="0.25">
      <c r="A419" t="str">
        <f t="shared" si="6"/>
        <v>FORTE_RALLENTAMENTO-Allarme forte rallentamento</v>
      </c>
      <c r="B419" t="str">
        <f>VLOOKUP(A419,'EXPORT IRIS PROD 13-11-2024'!A:A,1,0)</f>
        <v>FORTE_RALLENTAMENTO-Allarme forte rallentamento</v>
      </c>
      <c r="C419" t="str">
        <f>VLOOKUP(F419,'EXPORT IRIS PROD 13-11-2024'!F:F,1,0)</f>
        <v>FORTE_RALLENTAMENTO</v>
      </c>
      <c r="D419" t="str">
        <f>VLOOKUP(G419,'EXPORT IRIS PROD 13-11-2024'!D:D,1,0)</f>
        <v>Allarme forte rallentamento</v>
      </c>
      <c r="E419" s="37" t="s">
        <v>822</v>
      </c>
      <c r="F419" s="38" t="s">
        <v>823</v>
      </c>
      <c r="G419" s="45" t="s">
        <v>824</v>
      </c>
      <c r="H419" s="46" t="s">
        <v>201</v>
      </c>
      <c r="I419" s="46" t="s">
        <v>825</v>
      </c>
      <c r="J419" s="47" t="s">
        <v>31</v>
      </c>
      <c r="K419" s="48" t="s">
        <v>32</v>
      </c>
      <c r="L419" s="43">
        <v>1</v>
      </c>
      <c r="M419" s="43" t="s">
        <v>24</v>
      </c>
      <c r="N419" s="43" t="s">
        <v>25</v>
      </c>
      <c r="O419" s="42" t="s">
        <v>21</v>
      </c>
      <c r="P419" s="49"/>
    </row>
    <row r="420" spans="1:16" x14ac:dyDescent="0.25">
      <c r="A420" t="str">
        <f t="shared" si="6"/>
        <v>FORTE_RALLENTAMENTO_CORSIA_1-Allarme forte rallentamento corsia di emergenza</v>
      </c>
      <c r="B420" t="str">
        <f>VLOOKUP(A420,'EXPORT IRIS PROD 13-11-2024'!A:A,1,0)</f>
        <v>FORTE_RALLENTAMENTO_CORSIA_1-Allarme forte rallentamento corsia di emergenza</v>
      </c>
      <c r="C420" t="str">
        <f>VLOOKUP(F420,'EXPORT IRIS PROD 13-11-2024'!F:F,1,0)</f>
        <v>FORTE_RALLENTAMENTO_CORSIA_1</v>
      </c>
      <c r="D420" t="str">
        <f>VLOOKUP(G420,'EXPORT IRIS PROD 13-11-2024'!D:D,1,0)</f>
        <v>Allarme forte rallentamento corsia di emergenza</v>
      </c>
      <c r="E420" s="37" t="s">
        <v>822</v>
      </c>
      <c r="F420" s="38" t="s">
        <v>826</v>
      </c>
      <c r="G420" s="45" t="s">
        <v>827</v>
      </c>
      <c r="H420" s="46" t="s">
        <v>201</v>
      </c>
      <c r="I420" s="46" t="s">
        <v>263</v>
      </c>
      <c r="J420" s="47" t="s">
        <v>31</v>
      </c>
      <c r="K420" s="48" t="s">
        <v>32</v>
      </c>
      <c r="L420" s="43">
        <v>1</v>
      </c>
      <c r="M420" s="43" t="s">
        <v>24</v>
      </c>
      <c r="N420" s="43" t="s">
        <v>25</v>
      </c>
      <c r="O420" s="42" t="s">
        <v>21</v>
      </c>
      <c r="P420" s="49"/>
    </row>
    <row r="421" spans="1:16" customFormat="1" x14ac:dyDescent="0.25">
      <c r="A421" t="str">
        <f t="shared" si="6"/>
        <v>FORTE_RALLENTAMENTO_CORSIA_2-Allarme forte rallentamento corsia di marcia</v>
      </c>
      <c r="B421" t="str">
        <f>VLOOKUP(A421,'EXPORT IRIS PROD 13-11-2024'!A:A,1,0)</f>
        <v>FORTE_RALLENTAMENTO_CORSIA_2-Allarme forte rallentamento corsia di marcia</v>
      </c>
      <c r="C421" t="str">
        <f>VLOOKUP(F421,'EXPORT IRIS PROD 13-11-2024'!F:F,1,0)</f>
        <v>FORTE_RALLENTAMENTO_CORSIA_2</v>
      </c>
      <c r="D421" t="str">
        <f>VLOOKUP(G421,'EXPORT IRIS PROD 13-11-2024'!D:D,1,0)</f>
        <v>Allarme forte rallentamento corsia di marcia</v>
      </c>
      <c r="E421" s="37" t="s">
        <v>822</v>
      </c>
      <c r="F421" s="38" t="s">
        <v>828</v>
      </c>
      <c r="G421" s="45" t="s">
        <v>829</v>
      </c>
      <c r="H421" s="46" t="s">
        <v>201</v>
      </c>
      <c r="I421" s="46" t="s">
        <v>263</v>
      </c>
      <c r="J421" s="47" t="s">
        <v>31</v>
      </c>
      <c r="K421" s="48" t="s">
        <v>32</v>
      </c>
      <c r="L421" s="43">
        <v>1</v>
      </c>
      <c r="M421" s="43" t="s">
        <v>24</v>
      </c>
      <c r="N421" s="43" t="s">
        <v>25</v>
      </c>
      <c r="O421" s="42" t="s">
        <v>21</v>
      </c>
      <c r="P421" s="49"/>
    </row>
    <row r="422" spans="1:16" x14ac:dyDescent="0.25">
      <c r="A422" t="str">
        <f t="shared" si="6"/>
        <v>FORTE_RALLENTAMENTO_CORSIA_3-Allarme forte rallentamento corsia veloce</v>
      </c>
      <c r="B422" t="str">
        <f>VLOOKUP(A422,'EXPORT IRIS PROD 13-11-2024'!A:A,1,0)</f>
        <v>FORTE_RALLENTAMENTO_CORSIA_3-Allarme forte rallentamento corsia veloce</v>
      </c>
      <c r="C422" t="str">
        <f>VLOOKUP(F422,'EXPORT IRIS PROD 13-11-2024'!F:F,1,0)</f>
        <v>FORTE_RALLENTAMENTO_CORSIA_3</v>
      </c>
      <c r="D422" t="str">
        <f>VLOOKUP(G422,'EXPORT IRIS PROD 13-11-2024'!D:D,1,0)</f>
        <v>Allarme forte rallentamento corsia veloce</v>
      </c>
      <c r="E422" s="37" t="s">
        <v>822</v>
      </c>
      <c r="F422" s="38" t="s">
        <v>830</v>
      </c>
      <c r="G422" s="45" t="s">
        <v>831</v>
      </c>
      <c r="H422" s="46" t="s">
        <v>201</v>
      </c>
      <c r="I422" s="46" t="s">
        <v>263</v>
      </c>
      <c r="J422" s="47" t="s">
        <v>31</v>
      </c>
      <c r="K422" s="48" t="s">
        <v>32</v>
      </c>
      <c r="L422" s="43">
        <v>1</v>
      </c>
      <c r="M422" s="43" t="s">
        <v>24</v>
      </c>
      <c r="N422" s="43" t="s">
        <v>25</v>
      </c>
      <c r="O422" s="42" t="s">
        <v>21</v>
      </c>
      <c r="P422" s="49"/>
    </row>
    <row r="423" spans="1:16" customFormat="1" x14ac:dyDescent="0.25">
      <c r="A423" t="str">
        <f t="shared" si="6"/>
        <v>FORTE_RALLENTAMENTO_DIR_NORD-Allarme forte rallentamento direzione Nord</v>
      </c>
      <c r="B423" t="str">
        <f>VLOOKUP(A423,'EXPORT IRIS PROD 13-11-2024'!A:A,1,0)</f>
        <v>FORTE_RALLENTAMENTO_DIR_NORD-Allarme forte rallentamento direzione Nord</v>
      </c>
      <c r="C423" t="str">
        <f>VLOOKUP(F423,'EXPORT IRIS PROD 13-11-2024'!F:F,1,0)</f>
        <v>FORTE_RALLENTAMENTO_DIR_NORD</v>
      </c>
      <c r="D423" t="str">
        <f>VLOOKUP(G423,'EXPORT IRIS PROD 13-11-2024'!D:D,1,0)</f>
        <v>Allarme forte rallentamento direzione Nord</v>
      </c>
      <c r="E423" s="37" t="s">
        <v>822</v>
      </c>
      <c r="F423" s="38" t="s">
        <v>832</v>
      </c>
      <c r="G423" s="45" t="s">
        <v>833</v>
      </c>
      <c r="H423" s="46" t="s">
        <v>201</v>
      </c>
      <c r="I423" s="46" t="s">
        <v>263</v>
      </c>
      <c r="J423" s="47" t="s">
        <v>31</v>
      </c>
      <c r="K423" s="48" t="s">
        <v>32</v>
      </c>
      <c r="L423" s="43">
        <v>1</v>
      </c>
      <c r="M423" s="43" t="s">
        <v>24</v>
      </c>
      <c r="N423" s="43" t="s">
        <v>25</v>
      </c>
      <c r="O423" s="42" t="s">
        <v>21</v>
      </c>
      <c r="P423" s="49"/>
    </row>
    <row r="424" spans="1:16" customFormat="1" x14ac:dyDescent="0.25">
      <c r="A424" t="str">
        <f t="shared" si="6"/>
        <v>FORTE_RALLENTAMENTO_DIR_SUD-Allarme forte rallentamento direzione Sud</v>
      </c>
      <c r="B424" t="str">
        <f>VLOOKUP(A424,'EXPORT IRIS PROD 13-11-2024'!A:A,1,0)</f>
        <v>FORTE_RALLENTAMENTO_DIR_SUD-Allarme forte rallentamento direzione Sud</v>
      </c>
      <c r="C424" t="str">
        <f>VLOOKUP(F424,'EXPORT IRIS PROD 13-11-2024'!F:F,1,0)</f>
        <v>FORTE_RALLENTAMENTO_DIR_SUD</v>
      </c>
      <c r="D424" t="str">
        <f>VLOOKUP(G424,'EXPORT IRIS PROD 13-11-2024'!D:D,1,0)</f>
        <v>Allarme forte rallentamento direzione Sud</v>
      </c>
      <c r="E424" s="37" t="s">
        <v>822</v>
      </c>
      <c r="F424" s="38" t="s">
        <v>834</v>
      </c>
      <c r="G424" s="45" t="s">
        <v>835</v>
      </c>
      <c r="H424" s="46" t="s">
        <v>201</v>
      </c>
      <c r="I424" s="46" t="s">
        <v>263</v>
      </c>
      <c r="J424" s="47" t="s">
        <v>31</v>
      </c>
      <c r="K424" s="48" t="s">
        <v>32</v>
      </c>
      <c r="L424" s="43">
        <v>1</v>
      </c>
      <c r="M424" s="43" t="s">
        <v>24</v>
      </c>
      <c r="N424" s="43" t="s">
        <v>25</v>
      </c>
      <c r="O424" s="42" t="s">
        <v>21</v>
      </c>
      <c r="P424" s="49"/>
    </row>
    <row r="425" spans="1:16" customFormat="1" x14ac:dyDescent="0.25">
      <c r="A425" t="str">
        <f t="shared" si="6"/>
        <v>FUMO-Allarme fumo</v>
      </c>
      <c r="B425" t="str">
        <f>VLOOKUP(A425,'EXPORT IRIS PROD 13-11-2024'!A:A,1,0)</f>
        <v>FUMO-Allarme fumo</v>
      </c>
      <c r="C425" t="str">
        <f>VLOOKUP(F425,'EXPORT IRIS PROD 13-11-2024'!F:F,1,0)</f>
        <v>FUMO</v>
      </c>
      <c r="D425" t="str">
        <f>VLOOKUP(G425,'EXPORT IRIS PROD 13-11-2024'!D:D,1,0)</f>
        <v>Allarme fumo</v>
      </c>
      <c r="E425" s="37" t="s">
        <v>836</v>
      </c>
      <c r="F425" s="38" t="s">
        <v>837</v>
      </c>
      <c r="G425" s="45" t="s">
        <v>838</v>
      </c>
      <c r="H425" s="46" t="s">
        <v>201</v>
      </c>
      <c r="I425" s="46" t="s">
        <v>380</v>
      </c>
      <c r="J425" s="47" t="s">
        <v>31</v>
      </c>
      <c r="K425" s="48" t="s">
        <v>32</v>
      </c>
      <c r="L425" s="43">
        <v>2</v>
      </c>
      <c r="M425" s="43" t="s">
        <v>45</v>
      </c>
      <c r="N425" s="43" t="s">
        <v>46</v>
      </c>
      <c r="O425" s="43" t="s">
        <v>31</v>
      </c>
      <c r="P425" s="49"/>
    </row>
    <row r="426" spans="1:16" customFormat="1" x14ac:dyDescent="0.25">
      <c r="A426" t="str">
        <f t="shared" si="6"/>
        <v>FUMO-Allarme fumo</v>
      </c>
      <c r="B426" t="str">
        <f>VLOOKUP(A426,'EXPORT IRIS PROD 13-11-2024'!A:A,1,0)</f>
        <v>FUMO-Allarme fumo</v>
      </c>
      <c r="C426" t="str">
        <f>VLOOKUP(F426,'EXPORT IRIS PROD 13-11-2024'!F:F,1,0)</f>
        <v>FUMO</v>
      </c>
      <c r="D426" t="str">
        <f>VLOOKUP(G426,'EXPORT IRIS PROD 13-11-2024'!D:D,1,0)</f>
        <v>Allarme fumo</v>
      </c>
      <c r="E426" s="37" t="s">
        <v>836</v>
      </c>
      <c r="F426" s="38" t="s">
        <v>837</v>
      </c>
      <c r="G426" s="45" t="s">
        <v>838</v>
      </c>
      <c r="H426" s="46" t="s">
        <v>201</v>
      </c>
      <c r="I426" s="46" t="s">
        <v>263</v>
      </c>
      <c r="J426" s="47" t="s">
        <v>31</v>
      </c>
      <c r="K426" s="48" t="s">
        <v>32</v>
      </c>
      <c r="L426" s="43">
        <v>2</v>
      </c>
      <c r="M426" s="43" t="s">
        <v>45</v>
      </c>
      <c r="N426" s="43" t="s">
        <v>46</v>
      </c>
      <c r="O426" s="43" t="s">
        <v>31</v>
      </c>
      <c r="P426" s="49"/>
    </row>
    <row r="427" spans="1:16" customFormat="1" x14ac:dyDescent="0.25">
      <c r="A427" t="str">
        <f t="shared" si="6"/>
        <v>FUMO_CORSIA_1-Allarme fumo corsia di emergenza</v>
      </c>
      <c r="B427" t="str">
        <f>VLOOKUP(A427,'EXPORT IRIS PROD 13-11-2024'!A:A,1,0)</f>
        <v>FUMO_CORSIA_1-Allarme fumo corsia di emergenza</v>
      </c>
      <c r="C427" t="str">
        <f>VLOOKUP(F427,'EXPORT IRIS PROD 13-11-2024'!F:F,1,0)</f>
        <v>FUMO_CORSIA_1</v>
      </c>
      <c r="D427" t="str">
        <f>VLOOKUP(G427,'EXPORT IRIS PROD 13-11-2024'!D:D,1,0)</f>
        <v>Allarme fumo corsia di emergenza</v>
      </c>
      <c r="E427" s="37" t="s">
        <v>836</v>
      </c>
      <c r="F427" s="38" t="s">
        <v>839</v>
      </c>
      <c r="G427" s="45" t="s">
        <v>840</v>
      </c>
      <c r="H427" s="46" t="s">
        <v>201</v>
      </c>
      <c r="I427" s="46" t="s">
        <v>380</v>
      </c>
      <c r="J427" s="47" t="s">
        <v>31</v>
      </c>
      <c r="K427" s="48" t="s">
        <v>32</v>
      </c>
      <c r="L427" s="43">
        <v>2</v>
      </c>
      <c r="M427" s="43" t="s">
        <v>45</v>
      </c>
      <c r="N427" s="43" t="s">
        <v>46</v>
      </c>
      <c r="O427" s="43" t="s">
        <v>31</v>
      </c>
      <c r="P427" s="49"/>
    </row>
    <row r="428" spans="1:16" customFormat="1" x14ac:dyDescent="0.25">
      <c r="A428" t="str">
        <f t="shared" si="6"/>
        <v>FUMO_CORSIA_1-Allarme fumo corsia di emergenza</v>
      </c>
      <c r="B428" t="str">
        <f>VLOOKUP(A428,'EXPORT IRIS PROD 13-11-2024'!A:A,1,0)</f>
        <v>FUMO_CORSIA_1-Allarme fumo corsia di emergenza</v>
      </c>
      <c r="C428" t="str">
        <f>VLOOKUP(F428,'EXPORT IRIS PROD 13-11-2024'!F:F,1,0)</f>
        <v>FUMO_CORSIA_1</v>
      </c>
      <c r="D428" t="str">
        <f>VLOOKUP(G428,'EXPORT IRIS PROD 13-11-2024'!D:D,1,0)</f>
        <v>Allarme fumo corsia di emergenza</v>
      </c>
      <c r="E428" s="37" t="s">
        <v>836</v>
      </c>
      <c r="F428" s="38" t="s">
        <v>839</v>
      </c>
      <c r="G428" s="45" t="s">
        <v>840</v>
      </c>
      <c r="H428" s="46" t="s">
        <v>201</v>
      </c>
      <c r="I428" s="46" t="s">
        <v>263</v>
      </c>
      <c r="J428" s="47" t="s">
        <v>31</v>
      </c>
      <c r="K428" s="48" t="s">
        <v>32</v>
      </c>
      <c r="L428" s="43">
        <v>2</v>
      </c>
      <c r="M428" s="43" t="s">
        <v>45</v>
      </c>
      <c r="N428" s="43" t="s">
        <v>46</v>
      </c>
      <c r="O428" s="43" t="s">
        <v>31</v>
      </c>
      <c r="P428" s="49"/>
    </row>
    <row r="429" spans="1:16" customFormat="1" x14ac:dyDescent="0.25">
      <c r="A429" t="str">
        <f t="shared" si="6"/>
        <v>FUMO_CORSIA_2-Allarme fumo corsia di marcia</v>
      </c>
      <c r="B429" t="str">
        <f>VLOOKUP(A429,'EXPORT IRIS PROD 13-11-2024'!A:A,1,0)</f>
        <v>FUMO_CORSIA_2-Allarme fumo corsia di marcia</v>
      </c>
      <c r="C429" t="str">
        <f>VLOOKUP(F429,'EXPORT IRIS PROD 13-11-2024'!F:F,1,0)</f>
        <v>FUMO_CORSIA_2</v>
      </c>
      <c r="D429" t="str">
        <f>VLOOKUP(G429,'EXPORT IRIS PROD 13-11-2024'!D:D,1,0)</f>
        <v>Allarme fumo corsia di marcia</v>
      </c>
      <c r="E429" s="37" t="s">
        <v>836</v>
      </c>
      <c r="F429" s="38" t="s">
        <v>841</v>
      </c>
      <c r="G429" s="45" t="s">
        <v>842</v>
      </c>
      <c r="H429" s="46" t="s">
        <v>201</v>
      </c>
      <c r="I429" s="46" t="s">
        <v>380</v>
      </c>
      <c r="J429" s="47" t="s">
        <v>31</v>
      </c>
      <c r="K429" s="48" t="s">
        <v>32</v>
      </c>
      <c r="L429" s="43">
        <v>2</v>
      </c>
      <c r="M429" s="43" t="s">
        <v>45</v>
      </c>
      <c r="N429" s="43" t="s">
        <v>46</v>
      </c>
      <c r="O429" s="43" t="s">
        <v>31</v>
      </c>
      <c r="P429" s="49"/>
    </row>
    <row r="430" spans="1:16" customFormat="1" x14ac:dyDescent="0.25">
      <c r="A430" t="str">
        <f t="shared" si="6"/>
        <v>FUMO_CORSIA_2-Allarme fumo corsia di marcia</v>
      </c>
      <c r="B430" t="str">
        <f>VLOOKUP(A430,'EXPORT IRIS PROD 13-11-2024'!A:A,1,0)</f>
        <v>FUMO_CORSIA_2-Allarme fumo corsia di marcia</v>
      </c>
      <c r="C430" t="str">
        <f>VLOOKUP(F430,'EXPORT IRIS PROD 13-11-2024'!F:F,1,0)</f>
        <v>FUMO_CORSIA_2</v>
      </c>
      <c r="D430" t="str">
        <f>VLOOKUP(G430,'EXPORT IRIS PROD 13-11-2024'!D:D,1,0)</f>
        <v>Allarme fumo corsia di marcia</v>
      </c>
      <c r="E430" s="37" t="s">
        <v>836</v>
      </c>
      <c r="F430" s="38" t="s">
        <v>841</v>
      </c>
      <c r="G430" s="45" t="s">
        <v>842</v>
      </c>
      <c r="H430" s="46" t="s">
        <v>201</v>
      </c>
      <c r="I430" s="46" t="s">
        <v>263</v>
      </c>
      <c r="J430" s="47" t="s">
        <v>31</v>
      </c>
      <c r="K430" s="48" t="s">
        <v>32</v>
      </c>
      <c r="L430" s="43">
        <v>2</v>
      </c>
      <c r="M430" s="43" t="s">
        <v>45</v>
      </c>
      <c r="N430" s="43" t="s">
        <v>46</v>
      </c>
      <c r="O430" s="43" t="s">
        <v>31</v>
      </c>
      <c r="P430" s="49"/>
    </row>
    <row r="431" spans="1:16" customFormat="1" x14ac:dyDescent="0.25">
      <c r="A431" t="str">
        <f t="shared" si="6"/>
        <v>FUMO_CORSIA_3-Allarme fumo corsia veloce</v>
      </c>
      <c r="B431" t="str">
        <f>VLOOKUP(A431,'EXPORT IRIS PROD 13-11-2024'!A:A,1,0)</f>
        <v>FUMO_CORSIA_3-Allarme fumo corsia veloce</v>
      </c>
      <c r="C431" t="str">
        <f>VLOOKUP(F431,'EXPORT IRIS PROD 13-11-2024'!F:F,1,0)</f>
        <v>FUMO_CORSIA_3</v>
      </c>
      <c r="D431" t="str">
        <f>VLOOKUP(G431,'EXPORT IRIS PROD 13-11-2024'!D:D,1,0)</f>
        <v>Allarme fumo corsia veloce</v>
      </c>
      <c r="E431" s="37" t="s">
        <v>836</v>
      </c>
      <c r="F431" s="38" t="s">
        <v>843</v>
      </c>
      <c r="G431" s="45" t="s">
        <v>844</v>
      </c>
      <c r="H431" s="46" t="s">
        <v>201</v>
      </c>
      <c r="I431" s="46" t="s">
        <v>380</v>
      </c>
      <c r="J431" s="47" t="s">
        <v>31</v>
      </c>
      <c r="K431" s="48" t="s">
        <v>32</v>
      </c>
      <c r="L431" s="43">
        <v>2</v>
      </c>
      <c r="M431" s="43" t="s">
        <v>45</v>
      </c>
      <c r="N431" s="43" t="s">
        <v>46</v>
      </c>
      <c r="O431" s="43" t="s">
        <v>31</v>
      </c>
      <c r="P431" s="49"/>
    </row>
    <row r="432" spans="1:16" customFormat="1" x14ac:dyDescent="0.25">
      <c r="A432" t="str">
        <f t="shared" si="6"/>
        <v>FUMO_CORSIA_3-Allarme fumo corsia veloce</v>
      </c>
      <c r="B432" t="str">
        <f>VLOOKUP(A432,'EXPORT IRIS PROD 13-11-2024'!A:A,1,0)</f>
        <v>FUMO_CORSIA_3-Allarme fumo corsia veloce</v>
      </c>
      <c r="C432" t="str">
        <f>VLOOKUP(F432,'EXPORT IRIS PROD 13-11-2024'!F:F,1,0)</f>
        <v>FUMO_CORSIA_3</v>
      </c>
      <c r="D432" t="str">
        <f>VLOOKUP(G432,'EXPORT IRIS PROD 13-11-2024'!D:D,1,0)</f>
        <v>Allarme fumo corsia veloce</v>
      </c>
      <c r="E432" s="37" t="s">
        <v>836</v>
      </c>
      <c r="F432" s="38" t="s">
        <v>843</v>
      </c>
      <c r="G432" s="45" t="s">
        <v>844</v>
      </c>
      <c r="H432" s="46" t="s">
        <v>201</v>
      </c>
      <c r="I432" s="46" t="s">
        <v>263</v>
      </c>
      <c r="J432" s="47" t="s">
        <v>31</v>
      </c>
      <c r="K432" s="48" t="s">
        <v>32</v>
      </c>
      <c r="L432" s="43">
        <v>2</v>
      </c>
      <c r="M432" s="43" t="s">
        <v>45</v>
      </c>
      <c r="N432" s="43" t="s">
        <v>46</v>
      </c>
      <c r="O432" s="43" t="s">
        <v>31</v>
      </c>
      <c r="P432" s="49"/>
    </row>
    <row r="433" spans="1:16" customFormat="1" x14ac:dyDescent="0.25">
      <c r="A433" t="str">
        <f t="shared" si="6"/>
        <v>FUSIBILE-Allarme fusibile</v>
      </c>
      <c r="B433" t="str">
        <f>VLOOKUP(A433,'EXPORT IRIS PROD 13-11-2024'!A:A,1,0)</f>
        <v>FUSIBILE-Allarme fusibile</v>
      </c>
      <c r="C433" t="str">
        <f>VLOOKUP(F433,'EXPORT IRIS PROD 13-11-2024'!F:F,1,0)</f>
        <v>FUSIBILE</v>
      </c>
      <c r="D433" t="str">
        <f>VLOOKUP(G433,'EXPORT IRIS PROD 13-11-2024'!D:D,1,0)</f>
        <v>Allarme fusibile</v>
      </c>
      <c r="E433" s="37" t="s">
        <v>53</v>
      </c>
      <c r="F433" s="38" t="s">
        <v>845</v>
      </c>
      <c r="G433" s="38" t="s">
        <v>846</v>
      </c>
      <c r="H433" s="39" t="s">
        <v>56</v>
      </c>
      <c r="I433" s="39" t="s">
        <v>114</v>
      </c>
      <c r="J433" s="40" t="s">
        <v>21</v>
      </c>
      <c r="K433" s="41" t="s">
        <v>22</v>
      </c>
      <c r="L433" s="42" t="s">
        <v>23</v>
      </c>
      <c r="M433" s="43" t="s">
        <v>24</v>
      </c>
      <c r="N433" s="42" t="s">
        <v>25</v>
      </c>
      <c r="O433" s="42" t="s">
        <v>21</v>
      </c>
      <c r="P433" s="44"/>
    </row>
    <row r="434" spans="1:16" customFormat="1" x14ac:dyDescent="0.25">
      <c r="A434" t="str">
        <f t="shared" si="6"/>
        <v>HYDROMETRIC_STATION_ALARM_HIGH-Stazione in Allarme High</v>
      </c>
      <c r="B434" t="str">
        <f>VLOOKUP(A434,'EXPORT IRIS PROD 13-11-2024'!A:A,1,0)</f>
        <v>HYDROMETRIC_STATION_ALARM_HIGH-Stazione in Allarme High</v>
      </c>
      <c r="C434" t="str">
        <f>VLOOKUP(F434,'EXPORT IRIS PROD 13-11-2024'!F:F,1,0)</f>
        <v>HYDROMETRIC_STATION_ALARM_HIGH</v>
      </c>
      <c r="D434" t="str">
        <f>VLOOKUP(G434,'EXPORT IRIS PROD 13-11-2024'!D:D,1,0)</f>
        <v>Stazione in Allarme High</v>
      </c>
      <c r="E434" s="37" t="s">
        <v>847</v>
      </c>
      <c r="F434" s="38" t="s">
        <v>848</v>
      </c>
      <c r="G434" s="38" t="s">
        <v>849</v>
      </c>
      <c r="H434" s="39" t="s">
        <v>847</v>
      </c>
      <c r="I434" s="57" t="s">
        <v>850</v>
      </c>
      <c r="J434" s="40" t="s">
        <v>31</v>
      </c>
      <c r="K434" s="41" t="s">
        <v>32</v>
      </c>
      <c r="L434" s="43">
        <v>2</v>
      </c>
      <c r="M434" s="43" t="s">
        <v>33</v>
      </c>
      <c r="N434" s="42" t="s">
        <v>34</v>
      </c>
      <c r="O434" s="42" t="s">
        <v>31</v>
      </c>
      <c r="P434" s="44"/>
    </row>
    <row r="435" spans="1:16" customFormat="1" x14ac:dyDescent="0.25">
      <c r="A435" t="str">
        <f t="shared" si="6"/>
        <v>HYDROMETRIC_STATION_ALARM_LOW-Stazione in Allarme Low</v>
      </c>
      <c r="B435" t="str">
        <f>VLOOKUP(A435,'EXPORT IRIS PROD 13-11-2024'!A:A,1,0)</f>
        <v>HYDROMETRIC_STATION_ALARM_LOW-Stazione in Allarme Low</v>
      </c>
      <c r="C435" t="str">
        <f>VLOOKUP(F435,'EXPORT IRIS PROD 13-11-2024'!F:F,1,0)</f>
        <v>HYDROMETRIC_STATION_ALARM_LOW</v>
      </c>
      <c r="D435" t="str">
        <f>VLOOKUP(G435,'EXPORT IRIS PROD 13-11-2024'!D:D,1,0)</f>
        <v>Stazione in Allarme Low</v>
      </c>
      <c r="E435" s="37" t="s">
        <v>847</v>
      </c>
      <c r="F435" s="38" t="s">
        <v>851</v>
      </c>
      <c r="G435" s="38" t="s">
        <v>852</v>
      </c>
      <c r="H435" s="39" t="s">
        <v>847</v>
      </c>
      <c r="I435" s="57" t="s">
        <v>850</v>
      </c>
      <c r="J435" s="40" t="s">
        <v>21</v>
      </c>
      <c r="K435" s="41" t="s">
        <v>22</v>
      </c>
      <c r="L435" s="42" t="s">
        <v>23</v>
      </c>
      <c r="M435" s="43" t="s">
        <v>24</v>
      </c>
      <c r="N435" s="42" t="s">
        <v>25</v>
      </c>
      <c r="O435" s="42" t="s">
        <v>21</v>
      </c>
      <c r="P435" s="44"/>
    </row>
    <row r="436" spans="1:16" customFormat="1" x14ac:dyDescent="0.25">
      <c r="A436" t="str">
        <f t="shared" si="6"/>
        <v>HYDROMETRIC_STATION_ALARM_MEDIUM-Stazione in Allarme Medium</v>
      </c>
      <c r="B436" t="str">
        <f>VLOOKUP(A436,'EXPORT IRIS PROD 13-11-2024'!A:A,1,0)</f>
        <v>HYDROMETRIC_STATION_ALARM_MEDIUM-Stazione in Allarme Medium</v>
      </c>
      <c r="C436" t="str">
        <f>VLOOKUP(F436,'EXPORT IRIS PROD 13-11-2024'!F:F,1,0)</f>
        <v>HYDROMETRIC_STATION_ALARM_MEDIUM</v>
      </c>
      <c r="D436" t="str">
        <f>VLOOKUP(G436,'EXPORT IRIS PROD 13-11-2024'!D:D,1,0)</f>
        <v>Stazione in Allarme Medium</v>
      </c>
      <c r="E436" s="37" t="s">
        <v>847</v>
      </c>
      <c r="F436" s="38" t="s">
        <v>853</v>
      </c>
      <c r="G436" s="38" t="s">
        <v>854</v>
      </c>
      <c r="H436" s="39" t="s">
        <v>847</v>
      </c>
      <c r="I436" s="57" t="s">
        <v>850</v>
      </c>
      <c r="J436" s="40" t="s">
        <v>31</v>
      </c>
      <c r="K436" s="41" t="s">
        <v>32</v>
      </c>
      <c r="L436" s="43">
        <v>2</v>
      </c>
      <c r="M436" s="43" t="s">
        <v>157</v>
      </c>
      <c r="N436" s="42" t="s">
        <v>158</v>
      </c>
      <c r="O436" s="42" t="s">
        <v>21</v>
      </c>
      <c r="P436" s="44"/>
    </row>
    <row r="437" spans="1:16" customFormat="1" x14ac:dyDescent="0.25">
      <c r="A437" t="str">
        <f t="shared" si="6"/>
        <v>INCENDIO_IN_GALLERIA-Allarme incendio in galleria</v>
      </c>
      <c r="B437" t="str">
        <f>VLOOKUP(A437,'EXPORT IRIS PROD 13-11-2024'!A:A,1,0)</f>
        <v>INCENDIO_IN_GALLERIA-Allarme incendio in galleria</v>
      </c>
      <c r="C437" t="str">
        <f>VLOOKUP(F437,'EXPORT IRIS PROD 13-11-2024'!F:F,1,0)</f>
        <v>INCENDIO_IN_GALLERIA</v>
      </c>
      <c r="D437" t="str">
        <f>VLOOKUP(G437,'EXPORT IRIS PROD 13-11-2024'!D:D,1,0)</f>
        <v>Allarme incendio in galleria</v>
      </c>
      <c r="E437" s="37" t="s">
        <v>298</v>
      </c>
      <c r="F437" s="38" t="s">
        <v>855</v>
      </c>
      <c r="G437" s="45" t="s">
        <v>420</v>
      </c>
      <c r="H437" s="46" t="s">
        <v>38</v>
      </c>
      <c r="I437" s="46" t="s">
        <v>856</v>
      </c>
      <c r="J437" s="47" t="s">
        <v>31</v>
      </c>
      <c r="K437" s="48" t="s">
        <v>32</v>
      </c>
      <c r="L437" s="43">
        <v>2</v>
      </c>
      <c r="M437" s="43" t="s">
        <v>45</v>
      </c>
      <c r="N437" s="43" t="s">
        <v>46</v>
      </c>
      <c r="O437" s="43" t="s">
        <v>31</v>
      </c>
      <c r="P437" s="49"/>
    </row>
    <row r="438" spans="1:16" customFormat="1" x14ac:dyDescent="0.25">
      <c r="A438" t="str">
        <f t="shared" si="6"/>
        <v>INCENDIO_IN_GALLERIA-Allarme incendio in galleria</v>
      </c>
      <c r="B438" t="str">
        <f>VLOOKUP(A438,'EXPORT IRIS PROD 13-11-2024'!A:A,1,0)</f>
        <v>INCENDIO_IN_GALLERIA-Allarme incendio in galleria</v>
      </c>
      <c r="C438" t="str">
        <f>VLOOKUP(F438,'EXPORT IRIS PROD 13-11-2024'!F:F,1,0)</f>
        <v>INCENDIO_IN_GALLERIA</v>
      </c>
      <c r="D438" t="str">
        <f>VLOOKUP(G438,'EXPORT IRIS PROD 13-11-2024'!D:D,1,0)</f>
        <v>Allarme incendio in galleria</v>
      </c>
      <c r="E438" s="37" t="s">
        <v>40</v>
      </c>
      <c r="F438" s="38" t="s">
        <v>855</v>
      </c>
      <c r="G438" s="45" t="s">
        <v>420</v>
      </c>
      <c r="H438" s="46" t="s">
        <v>43</v>
      </c>
      <c r="I438" s="46" t="s">
        <v>857</v>
      </c>
      <c r="J438" s="47" t="s">
        <v>31</v>
      </c>
      <c r="K438" s="48" t="s">
        <v>32</v>
      </c>
      <c r="L438" s="43">
        <v>2</v>
      </c>
      <c r="M438" s="43" t="s">
        <v>45</v>
      </c>
      <c r="N438" s="43" t="s">
        <v>46</v>
      </c>
      <c r="O438" s="43" t="s">
        <v>31</v>
      </c>
      <c r="P438" s="49"/>
    </row>
    <row r="439" spans="1:16" customFormat="1" x14ac:dyDescent="0.25">
      <c r="A439" t="str">
        <f t="shared" si="6"/>
        <v>INCENDIO_IN_GALLERIA-Allarme incendio in galleria</v>
      </c>
      <c r="B439" t="str">
        <f>VLOOKUP(A439,'EXPORT IRIS PROD 13-11-2024'!A:A,1,0)</f>
        <v>INCENDIO_IN_GALLERIA-Allarme incendio in galleria</v>
      </c>
      <c r="C439" t="str">
        <f>VLOOKUP(F439,'EXPORT IRIS PROD 13-11-2024'!F:F,1,0)</f>
        <v>INCENDIO_IN_GALLERIA</v>
      </c>
      <c r="D439" t="str">
        <f>VLOOKUP(G439,'EXPORT IRIS PROD 13-11-2024'!D:D,1,0)</f>
        <v>Allarme incendio in galleria</v>
      </c>
      <c r="E439" s="37" t="s">
        <v>40</v>
      </c>
      <c r="F439" s="38" t="s">
        <v>855</v>
      </c>
      <c r="G439" s="45" t="s">
        <v>420</v>
      </c>
      <c r="H439" s="46" t="s">
        <v>43</v>
      </c>
      <c r="I439" s="46" t="s">
        <v>108</v>
      </c>
      <c r="J439" s="47" t="s">
        <v>31</v>
      </c>
      <c r="K439" s="48" t="s">
        <v>32</v>
      </c>
      <c r="L439" s="43">
        <v>2</v>
      </c>
      <c r="M439" s="43" t="s">
        <v>45</v>
      </c>
      <c r="N439" s="43" t="s">
        <v>46</v>
      </c>
      <c r="O439" s="43" t="s">
        <v>31</v>
      </c>
      <c r="P439" s="49"/>
    </row>
    <row r="440" spans="1:16" customFormat="1" x14ac:dyDescent="0.25">
      <c r="A440" t="str">
        <f t="shared" si="6"/>
        <v>INCIDENTE-Allarme attivazione pannello incidente</v>
      </c>
      <c r="B440" t="str">
        <f>VLOOKUP(A440,'EXPORT IRIS PROD 13-11-2024'!A:A,1,0)</f>
        <v>INCIDENTE-Allarme attivazione pannello incidente</v>
      </c>
      <c r="C440" t="str">
        <f>VLOOKUP(F440,'EXPORT IRIS PROD 13-11-2024'!F:F,1,0)</f>
        <v>INCIDENTE</v>
      </c>
      <c r="D440" t="str">
        <f>VLOOKUP(G440,'EXPORT IRIS PROD 13-11-2024'!D:D,1,0)</f>
        <v>Allarme attivazione pannello incidente</v>
      </c>
      <c r="E440" s="37" t="s">
        <v>109</v>
      </c>
      <c r="F440" s="38" t="s">
        <v>858</v>
      </c>
      <c r="G440" s="38" t="s">
        <v>859</v>
      </c>
      <c r="H440" s="39" t="s">
        <v>111</v>
      </c>
      <c r="I440" s="39" t="s">
        <v>434</v>
      </c>
      <c r="J440" s="40" t="s">
        <v>21</v>
      </c>
      <c r="K440" s="41" t="s">
        <v>22</v>
      </c>
      <c r="L440" s="42" t="s">
        <v>23</v>
      </c>
      <c r="M440" s="43" t="s">
        <v>24</v>
      </c>
      <c r="N440" s="42" t="s">
        <v>25</v>
      </c>
      <c r="O440" s="42" t="s">
        <v>21</v>
      </c>
      <c r="P440" s="44"/>
    </row>
    <row r="441" spans="1:16" customFormat="1" x14ac:dyDescent="0.25">
      <c r="A441" t="str">
        <f t="shared" si="6"/>
        <v>INTERRUTTORE_GENERALE-Allarme interruttore generale</v>
      </c>
      <c r="B441" t="str">
        <f>VLOOKUP(A441,'EXPORT IRIS PROD 13-11-2024'!A:A,1,0)</f>
        <v>INTERRUTTORE_GENERALE-Allarme interruttore generale</v>
      </c>
      <c r="C441" t="str">
        <f>VLOOKUP(F441,'EXPORT IRIS PROD 13-11-2024'!F:F,1,0)</f>
        <v>INTERRUTTORE_GENERALE</v>
      </c>
      <c r="D441" t="str">
        <f>VLOOKUP(G441,'EXPORT IRIS PROD 13-11-2024'!D:D,1,0)</f>
        <v>Allarme interruttore generale</v>
      </c>
      <c r="E441" s="37" t="s">
        <v>454</v>
      </c>
      <c r="F441" s="38" t="s">
        <v>860</v>
      </c>
      <c r="G441" s="45" t="s">
        <v>861</v>
      </c>
      <c r="H441" s="46" t="s">
        <v>56</v>
      </c>
      <c r="I441" s="46" t="s">
        <v>862</v>
      </c>
      <c r="J441" s="47" t="s">
        <v>31</v>
      </c>
      <c r="K441" s="48" t="s">
        <v>32</v>
      </c>
      <c r="L441" s="43">
        <v>2</v>
      </c>
      <c r="M441" s="43" t="s">
        <v>33</v>
      </c>
      <c r="N441" s="43" t="s">
        <v>34</v>
      </c>
      <c r="O441" s="43" t="s">
        <v>31</v>
      </c>
      <c r="P441" s="49"/>
    </row>
    <row r="442" spans="1:16" customFormat="1" x14ac:dyDescent="0.25">
      <c r="A442" t="str">
        <f t="shared" si="6"/>
        <v>MANCATA_APERTURA-Allarme mancata apertura serranda</v>
      </c>
      <c r="B442" t="str">
        <f>VLOOKUP(A442,'EXPORT IRIS PROD 13-11-2024'!A:A,1,0)</f>
        <v>MANCATA_APERTURA-Allarme mancata apertura serranda</v>
      </c>
      <c r="C442" t="str">
        <f>VLOOKUP(F442,'EXPORT IRIS PROD 13-11-2024'!F:F,1,0)</f>
        <v>MANCATA_APERTURA</v>
      </c>
      <c r="D442" t="str">
        <f>VLOOKUP(G442,'EXPORT IRIS PROD 13-11-2024'!D:D,1,0)</f>
        <v>Allarme mancata apertura serranda</v>
      </c>
      <c r="E442" s="37" t="s">
        <v>863</v>
      </c>
      <c r="F442" s="38" t="s">
        <v>864</v>
      </c>
      <c r="G442" s="38" t="s">
        <v>865</v>
      </c>
      <c r="H442" s="39" t="s">
        <v>274</v>
      </c>
      <c r="I442" s="39" t="s">
        <v>275</v>
      </c>
      <c r="J442" s="40" t="s">
        <v>21</v>
      </c>
      <c r="K442" s="41" t="s">
        <v>22</v>
      </c>
      <c r="L442" s="42" t="s">
        <v>23</v>
      </c>
      <c r="M442" s="43" t="s">
        <v>24</v>
      </c>
      <c r="N442" s="42" t="s">
        <v>25</v>
      </c>
      <c r="O442" s="42" t="s">
        <v>21</v>
      </c>
      <c r="P442" s="44"/>
    </row>
    <row r="443" spans="1:16" customFormat="1" x14ac:dyDescent="0.25">
      <c r="A443" t="str">
        <f t="shared" si="6"/>
        <v>MANCATA_CHIUSURA-Allarme mancata chiusura serranda</v>
      </c>
      <c r="B443" t="str">
        <f>VLOOKUP(A443,'EXPORT IRIS PROD 13-11-2024'!A:A,1,0)</f>
        <v>MANCATA_CHIUSURA-Allarme mancata chiusura serranda</v>
      </c>
      <c r="C443" t="str">
        <f>VLOOKUP(F443,'EXPORT IRIS PROD 13-11-2024'!F:F,1,0)</f>
        <v>MANCATA_CHIUSURA</v>
      </c>
      <c r="D443" t="str">
        <f>VLOOKUP(G443,'EXPORT IRIS PROD 13-11-2024'!D:D,1,0)</f>
        <v>Allarme mancata chiusura serranda</v>
      </c>
      <c r="E443" s="37" t="s">
        <v>863</v>
      </c>
      <c r="F443" s="38" t="s">
        <v>866</v>
      </c>
      <c r="G443" s="38" t="s">
        <v>867</v>
      </c>
      <c r="H443" s="39" t="s">
        <v>274</v>
      </c>
      <c r="I443" s="39" t="s">
        <v>275</v>
      </c>
      <c r="J443" s="40" t="s">
        <v>21</v>
      </c>
      <c r="K443" s="41" t="s">
        <v>22</v>
      </c>
      <c r="L443" s="42" t="s">
        <v>23</v>
      </c>
      <c r="M443" s="43" t="s">
        <v>24</v>
      </c>
      <c r="N443" s="42" t="s">
        <v>25</v>
      </c>
      <c r="O443" s="42" t="s">
        <v>21</v>
      </c>
      <c r="P443" s="44"/>
    </row>
    <row r="444" spans="1:16" customFormat="1" x14ac:dyDescent="0.25">
      <c r="A444" t="str">
        <f t="shared" si="6"/>
        <v>MANCATO_AVVIO_ELETTROPOMPA-Allarme mancato avvio elettropompa</v>
      </c>
      <c r="B444" t="str">
        <f>VLOOKUP(A444,'EXPORT IRIS PROD 13-11-2024'!A:A,1,0)</f>
        <v>MANCATO_AVVIO_ELETTROPOMPA-Allarme mancato avvio elettropompa</v>
      </c>
      <c r="C444" t="str">
        <f>VLOOKUP(F444,'EXPORT IRIS PROD 13-11-2024'!F:F,1,0)</f>
        <v>MANCATO_AVVIO_ELETTROPOMPA</v>
      </c>
      <c r="D444" t="str">
        <f>VLOOKUP(G444,'EXPORT IRIS PROD 13-11-2024'!D:D,1,0)</f>
        <v>Allarme mancato avvio elettropompa</v>
      </c>
      <c r="E444" s="37" t="s">
        <v>35</v>
      </c>
      <c r="F444" s="38" t="s">
        <v>868</v>
      </c>
      <c r="G444" s="38" t="s">
        <v>869</v>
      </c>
      <c r="H444" s="39" t="s">
        <v>38</v>
      </c>
      <c r="I444" s="39" t="s">
        <v>301</v>
      </c>
      <c r="J444" s="40" t="s">
        <v>21</v>
      </c>
      <c r="K444" s="41" t="s">
        <v>22</v>
      </c>
      <c r="L444" s="42" t="s">
        <v>23</v>
      </c>
      <c r="M444" s="43" t="s">
        <v>24</v>
      </c>
      <c r="N444" s="42" t="s">
        <v>25</v>
      </c>
      <c r="O444" s="42" t="s">
        <v>21</v>
      </c>
      <c r="P444" s="44"/>
    </row>
    <row r="445" spans="1:16" customFormat="1" x14ac:dyDescent="0.25">
      <c r="A445" t="str">
        <f t="shared" si="6"/>
        <v>MANCATO_AVVIO_MOTOPOMPA-Allarme mancato avvio motopompa</v>
      </c>
      <c r="B445" t="str">
        <f>VLOOKUP(A445,'EXPORT IRIS PROD 13-11-2024'!A:A,1,0)</f>
        <v>MANCATO_AVVIO_MOTOPOMPA-Allarme mancato avvio motopompa</v>
      </c>
      <c r="C445" t="str">
        <f>VLOOKUP(F445,'EXPORT IRIS PROD 13-11-2024'!F:F,1,0)</f>
        <v>MANCATO_AVVIO_MOTOPOMPA</v>
      </c>
      <c r="D445" t="str">
        <f>VLOOKUP(G445,'EXPORT IRIS PROD 13-11-2024'!D:D,1,0)</f>
        <v>Allarme mancato avvio motopompa</v>
      </c>
      <c r="E445" s="37" t="s">
        <v>35</v>
      </c>
      <c r="F445" s="38" t="s">
        <v>870</v>
      </c>
      <c r="G445" s="38" t="s">
        <v>871</v>
      </c>
      <c r="H445" s="39" t="s">
        <v>38</v>
      </c>
      <c r="I445" s="39" t="s">
        <v>172</v>
      </c>
      <c r="J445" s="40" t="s">
        <v>21</v>
      </c>
      <c r="K445" s="41" t="s">
        <v>22</v>
      </c>
      <c r="L445" s="42" t="s">
        <v>23</v>
      </c>
      <c r="M445" s="43" t="s">
        <v>24</v>
      </c>
      <c r="N445" s="42" t="s">
        <v>25</v>
      </c>
      <c r="O445" s="42" t="s">
        <v>21</v>
      </c>
      <c r="P445" s="44"/>
    </row>
    <row r="446" spans="1:16" customFormat="1" x14ac:dyDescent="0.25">
      <c r="A446" t="str">
        <f t="shared" si="6"/>
        <v>MANOMISSIONE-Allarme manomissione</v>
      </c>
      <c r="B446" t="str">
        <f>VLOOKUP(A446,'EXPORT IRIS PROD 13-11-2024'!A:A,1,0)</f>
        <v>MANOMISSIONE-Allarme manomissione</v>
      </c>
      <c r="C446" t="str">
        <f>VLOOKUP(F446,'EXPORT IRIS PROD 13-11-2024'!F:F,1,0)</f>
        <v>MANOMISSIONE</v>
      </c>
      <c r="D446" t="str">
        <f>VLOOKUP(G446,'EXPORT IRIS PROD 13-11-2024'!D:D,1,0)</f>
        <v>Allarme manomissione</v>
      </c>
      <c r="E446" s="37" t="s">
        <v>198</v>
      </c>
      <c r="F446" s="38" t="s">
        <v>872</v>
      </c>
      <c r="G446" s="38" t="s">
        <v>873</v>
      </c>
      <c r="H446" s="39" t="s">
        <v>201</v>
      </c>
      <c r="I446" s="39" t="s">
        <v>380</v>
      </c>
      <c r="J446" s="40" t="s">
        <v>31</v>
      </c>
      <c r="K446" s="41" t="s">
        <v>32</v>
      </c>
      <c r="L446" s="43">
        <v>2</v>
      </c>
      <c r="M446" s="43" t="s">
        <v>24</v>
      </c>
      <c r="N446" s="42" t="s">
        <v>25</v>
      </c>
      <c r="O446" s="42" t="s">
        <v>21</v>
      </c>
      <c r="P446" s="44"/>
    </row>
    <row r="447" spans="1:16" customFormat="1" x14ac:dyDescent="0.25">
      <c r="A447" t="str">
        <f t="shared" si="6"/>
        <v>MANOMISSIONE-Allarme manomissione</v>
      </c>
      <c r="B447" t="str">
        <f>VLOOKUP(A447,'EXPORT IRIS PROD 13-11-2024'!A:A,1,0)</f>
        <v>MANOMISSIONE-Allarme manomissione</v>
      </c>
      <c r="C447" t="str">
        <f>VLOOKUP(F447,'EXPORT IRIS PROD 13-11-2024'!F:F,1,0)</f>
        <v>MANOMISSIONE</v>
      </c>
      <c r="D447" t="str">
        <f>VLOOKUP(G447,'EXPORT IRIS PROD 13-11-2024'!D:D,1,0)</f>
        <v>Allarme manomissione</v>
      </c>
      <c r="E447" s="37" t="s">
        <v>198</v>
      </c>
      <c r="F447" s="38" t="s">
        <v>872</v>
      </c>
      <c r="G447" s="38" t="s">
        <v>873</v>
      </c>
      <c r="H447" s="39" t="s">
        <v>201</v>
      </c>
      <c r="I447" s="39" t="s">
        <v>263</v>
      </c>
      <c r="J447" s="40" t="s">
        <v>31</v>
      </c>
      <c r="K447" s="41" t="s">
        <v>32</v>
      </c>
      <c r="L447" s="43">
        <v>2</v>
      </c>
      <c r="M447" s="43" t="s">
        <v>24</v>
      </c>
      <c r="N447" s="42" t="s">
        <v>25</v>
      </c>
      <c r="O447" s="42" t="s">
        <v>21</v>
      </c>
      <c r="P447" s="44"/>
    </row>
    <row r="448" spans="1:16" customFormat="1" x14ac:dyDescent="0.25">
      <c r="A448" t="str">
        <f t="shared" si="6"/>
        <v>MISURA_FAULT-Allarme misurazione fallita</v>
      </c>
      <c r="B448" t="str">
        <f>VLOOKUP(A448,'EXPORT IRIS PROD 13-11-2024'!A:A,1,0)</f>
        <v>MISURA_FAULT-Allarme misurazione fallita</v>
      </c>
      <c r="C448" t="str">
        <f>VLOOKUP(F448,'EXPORT IRIS PROD 13-11-2024'!F:F,1,0)</f>
        <v>MISURA_FAULT</v>
      </c>
      <c r="D448" t="str">
        <f>VLOOKUP(G448,'EXPORT IRIS PROD 13-11-2024'!D:D,1,0)</f>
        <v>Allarme misurazione fallita</v>
      </c>
      <c r="E448" s="37" t="s">
        <v>85</v>
      </c>
      <c r="F448" s="38" t="s">
        <v>874</v>
      </c>
      <c r="G448" s="38" t="s">
        <v>875</v>
      </c>
      <c r="H448" s="39" t="s">
        <v>50</v>
      </c>
      <c r="I448" s="39" t="s">
        <v>88</v>
      </c>
      <c r="J448" s="40" t="s">
        <v>21</v>
      </c>
      <c r="K448" s="41" t="s">
        <v>22</v>
      </c>
      <c r="L448" s="42" t="s">
        <v>23</v>
      </c>
      <c r="M448" s="43" t="s">
        <v>24</v>
      </c>
      <c r="N448" s="42" t="s">
        <v>25</v>
      </c>
      <c r="O448" s="42" t="s">
        <v>21</v>
      </c>
      <c r="P448" s="44"/>
    </row>
    <row r="449" spans="1:16" customFormat="1" x14ac:dyDescent="0.25">
      <c r="A449" t="str">
        <f t="shared" si="6"/>
        <v>MISURA_FAULT-Allarme misurazione fallita</v>
      </c>
      <c r="B449" t="str">
        <f>VLOOKUP(A449,'EXPORT IRIS PROD 13-11-2024'!A:A,1,0)</f>
        <v>MISURA_FAULT-Allarme misurazione fallita</v>
      </c>
      <c r="C449" t="str">
        <f>VLOOKUP(F449,'EXPORT IRIS PROD 13-11-2024'!F:F,1,0)</f>
        <v>MISURA_FAULT</v>
      </c>
      <c r="D449" t="str">
        <f>VLOOKUP(G449,'EXPORT IRIS PROD 13-11-2024'!D:D,1,0)</f>
        <v>Allarme misurazione fallita</v>
      </c>
      <c r="E449" s="37" t="s">
        <v>85</v>
      </c>
      <c r="F449" s="38" t="s">
        <v>874</v>
      </c>
      <c r="G449" s="38" t="s">
        <v>875</v>
      </c>
      <c r="H449" s="39" t="s">
        <v>50</v>
      </c>
      <c r="I449" s="39" t="s">
        <v>51</v>
      </c>
      <c r="J449" s="40" t="s">
        <v>21</v>
      </c>
      <c r="K449" s="41" t="s">
        <v>22</v>
      </c>
      <c r="L449" s="42" t="s">
        <v>23</v>
      </c>
      <c r="M449" s="43" t="s">
        <v>24</v>
      </c>
      <c r="N449" s="42" t="s">
        <v>25</v>
      </c>
      <c r="O449" s="42" t="s">
        <v>21</v>
      </c>
      <c r="P449" s="44"/>
    </row>
    <row r="450" spans="1:16" customFormat="1" x14ac:dyDescent="0.25">
      <c r="A450" t="str">
        <f t="shared" si="6"/>
        <v>MISURA_FAULT-Allarme misurazione fallita</v>
      </c>
      <c r="B450" t="str">
        <f>VLOOKUP(A450,'EXPORT IRIS PROD 13-11-2024'!A:A,1,0)</f>
        <v>MISURA_FAULT-Allarme misurazione fallita</v>
      </c>
      <c r="C450" t="str">
        <f>VLOOKUP(F450,'EXPORT IRIS PROD 13-11-2024'!F:F,1,0)</f>
        <v>MISURA_FAULT</v>
      </c>
      <c r="D450" t="str">
        <f>VLOOKUP(G450,'EXPORT IRIS PROD 13-11-2024'!D:D,1,0)</f>
        <v>Allarme misurazione fallita</v>
      </c>
      <c r="E450" s="37" t="s">
        <v>85</v>
      </c>
      <c r="F450" s="38" t="s">
        <v>874</v>
      </c>
      <c r="G450" s="38" t="s">
        <v>875</v>
      </c>
      <c r="H450" s="39" t="s">
        <v>50</v>
      </c>
      <c r="I450" s="39" t="s">
        <v>52</v>
      </c>
      <c r="J450" s="40" t="s">
        <v>21</v>
      </c>
      <c r="K450" s="41" t="s">
        <v>22</v>
      </c>
      <c r="L450" s="42" t="s">
        <v>23</v>
      </c>
      <c r="M450" s="43" t="s">
        <v>24</v>
      </c>
      <c r="N450" s="42" t="s">
        <v>25</v>
      </c>
      <c r="O450" s="42" t="s">
        <v>21</v>
      </c>
      <c r="P450" s="44"/>
    </row>
    <row r="451" spans="1:16" customFormat="1" x14ac:dyDescent="0.25">
      <c r="A451" t="str">
        <f t="shared" ref="A451:A514" si="7">CONCATENATE(F451,"-",G451)</f>
        <v>MISURA_FAULT-Allarme misurazione fallita</v>
      </c>
      <c r="B451" t="str">
        <f>VLOOKUP(A451,'EXPORT IRIS PROD 13-11-2024'!A:A,1,0)</f>
        <v>MISURA_FAULT-Allarme misurazione fallita</v>
      </c>
      <c r="C451" t="str">
        <f>VLOOKUP(F451,'EXPORT IRIS PROD 13-11-2024'!F:F,1,0)</f>
        <v>MISURA_FAULT</v>
      </c>
      <c r="D451" t="str">
        <f>VLOOKUP(G451,'EXPORT IRIS PROD 13-11-2024'!D:D,1,0)</f>
        <v>Allarme misurazione fallita</v>
      </c>
      <c r="E451" s="37" t="s">
        <v>85</v>
      </c>
      <c r="F451" s="38" t="s">
        <v>874</v>
      </c>
      <c r="G451" s="38" t="s">
        <v>875</v>
      </c>
      <c r="H451" s="39" t="s">
        <v>50</v>
      </c>
      <c r="I451" s="39" t="s">
        <v>124</v>
      </c>
      <c r="J451" s="40" t="s">
        <v>21</v>
      </c>
      <c r="K451" s="41" t="s">
        <v>22</v>
      </c>
      <c r="L451" s="42" t="s">
        <v>23</v>
      </c>
      <c r="M451" s="43" t="s">
        <v>24</v>
      </c>
      <c r="N451" s="42" t="s">
        <v>25</v>
      </c>
      <c r="O451" s="42" t="s">
        <v>21</v>
      </c>
      <c r="P451" s="44"/>
    </row>
    <row r="452" spans="1:16" customFormat="1" x14ac:dyDescent="0.25">
      <c r="A452" t="str">
        <f t="shared" si="7"/>
        <v>MISURA_FUORI_SOGLIA-Misura fuori soglia</v>
      </c>
      <c r="B452" t="str">
        <f>VLOOKUP(A452,'EXPORT IRIS PROD 13-11-2024'!A:A,1,0)</f>
        <v>MISURA_FUORI_SOGLIA-Misura fuori soglia</v>
      </c>
      <c r="C452" t="str">
        <f>VLOOKUP(F452,'EXPORT IRIS PROD 13-11-2024'!F:F,1,0)</f>
        <v>MISURA_FUORI_SOGLIA</v>
      </c>
      <c r="D452" t="str">
        <f>VLOOKUP(G452,'EXPORT IRIS PROD 13-11-2024'!D:D,1,0)</f>
        <v>Misura fuori soglia</v>
      </c>
      <c r="E452" s="37" t="s">
        <v>53</v>
      </c>
      <c r="F452" s="38" t="s">
        <v>876</v>
      </c>
      <c r="G452" s="38" t="s">
        <v>877</v>
      </c>
      <c r="H452" s="39" t="s">
        <v>56</v>
      </c>
      <c r="I452" s="39" t="s">
        <v>57</v>
      </c>
      <c r="J452" s="40" t="s">
        <v>21</v>
      </c>
      <c r="K452" s="41" t="s">
        <v>22</v>
      </c>
      <c r="L452" s="42" t="s">
        <v>23</v>
      </c>
      <c r="M452" s="43" t="s">
        <v>24</v>
      </c>
      <c r="N452" s="42" t="s">
        <v>25</v>
      </c>
      <c r="O452" s="42" t="s">
        <v>21</v>
      </c>
      <c r="P452" s="44"/>
    </row>
    <row r="453" spans="1:16" customFormat="1" x14ac:dyDescent="0.25">
      <c r="A453" t="str">
        <f t="shared" si="7"/>
        <v>MISURA_FUORI_SOGLIA_AN_INFERIORE_SUPERATA-Misura fuori soglia AN inferiore superata</v>
      </c>
      <c r="B453" t="str">
        <f>VLOOKUP(A453,'EXPORT IRIS PROD 13-11-2024'!A:A,1,0)</f>
        <v>MISURA_FUORI_SOGLIA_AN_INFERIORE_SUPERATA-Misura fuori soglia AN inferiore superata</v>
      </c>
      <c r="C453" t="str">
        <f>VLOOKUP(F453,'EXPORT IRIS PROD 13-11-2024'!F:F,1,0)</f>
        <v>MISURA_FUORI_SOGLIA_AN_INFERIORE_SUPERATA</v>
      </c>
      <c r="D453" t="str">
        <f>VLOOKUP(G453,'EXPORT IRIS PROD 13-11-2024'!D:D,1,0)</f>
        <v>Misura fuori soglia AN inferiore superata</v>
      </c>
      <c r="E453" s="37" t="s">
        <v>878</v>
      </c>
      <c r="F453" s="38" t="s">
        <v>879</v>
      </c>
      <c r="G453" s="38" t="s">
        <v>880</v>
      </c>
      <c r="H453" s="39" t="s">
        <v>50</v>
      </c>
      <c r="I453" s="39" t="s">
        <v>88</v>
      </c>
      <c r="J453" s="40" t="s">
        <v>21</v>
      </c>
      <c r="K453" s="41" t="s">
        <v>22</v>
      </c>
      <c r="L453" s="42" t="s">
        <v>23</v>
      </c>
      <c r="M453" s="43" t="s">
        <v>24</v>
      </c>
      <c r="N453" s="42" t="s">
        <v>25</v>
      </c>
      <c r="O453" s="42" t="s">
        <v>21</v>
      </c>
      <c r="P453" s="44"/>
    </row>
    <row r="454" spans="1:16" customFormat="1" x14ac:dyDescent="0.25">
      <c r="A454" t="str">
        <f t="shared" si="7"/>
        <v>MISURA_FUORI_SOGLIA_AN_SUPERIORE_SUPERATA-Misura fuori soglia AN superiore superata</v>
      </c>
      <c r="B454" t="str">
        <f>VLOOKUP(A454,'EXPORT IRIS PROD 13-11-2024'!A:A,1,0)</f>
        <v>MISURA_FUORI_SOGLIA_AN_SUPERIORE_SUPERATA-Misura fuori soglia AN superiore superata</v>
      </c>
      <c r="C454" t="str">
        <f>VLOOKUP(F454,'EXPORT IRIS PROD 13-11-2024'!F:F,1,0)</f>
        <v>MISURA_FUORI_SOGLIA_AN_SUPERIORE_SUPERATA</v>
      </c>
      <c r="D454" t="str">
        <f>VLOOKUP(G454,'EXPORT IRIS PROD 13-11-2024'!D:D,1,0)</f>
        <v>Misura fuori soglia AN superiore superata</v>
      </c>
      <c r="E454" s="37" t="s">
        <v>878</v>
      </c>
      <c r="F454" s="38" t="s">
        <v>881</v>
      </c>
      <c r="G454" s="38" t="s">
        <v>882</v>
      </c>
      <c r="H454" s="39" t="s">
        <v>50</v>
      </c>
      <c r="I454" s="39" t="s">
        <v>88</v>
      </c>
      <c r="J454" s="40" t="s">
        <v>21</v>
      </c>
      <c r="K454" s="41" t="s">
        <v>22</v>
      </c>
      <c r="L454" s="42" t="s">
        <v>23</v>
      </c>
      <c r="M454" s="43" t="s">
        <v>24</v>
      </c>
      <c r="N454" s="42" t="s">
        <v>25</v>
      </c>
      <c r="O454" s="42" t="s">
        <v>21</v>
      </c>
      <c r="P454" s="44"/>
    </row>
    <row r="455" spans="1:16" customFormat="1" x14ac:dyDescent="0.25">
      <c r="A455" t="str">
        <f t="shared" si="7"/>
        <v>MISURA_FUORI_SOGLIA_CO_INFERIORE_SUPERATA-Misura fuori soglia CO inferiore superata</v>
      </c>
      <c r="B455" t="str">
        <f>VLOOKUP(A455,'EXPORT IRIS PROD 13-11-2024'!A:A,1,0)</f>
        <v>MISURA_FUORI_SOGLIA_CO_INFERIORE_SUPERATA-Misura fuori soglia CO inferiore superata</v>
      </c>
      <c r="C455" t="str">
        <f>VLOOKUP(F455,'EXPORT IRIS PROD 13-11-2024'!F:F,1,0)</f>
        <v>MISURA_FUORI_SOGLIA_CO_INFERIORE_SUPERATA</v>
      </c>
      <c r="D455" t="str">
        <f>VLOOKUP(G455,'EXPORT IRIS PROD 13-11-2024'!D:D,1,0)</f>
        <v>Misura fuori soglia CO inferiore superata</v>
      </c>
      <c r="E455" s="37" t="s">
        <v>878</v>
      </c>
      <c r="F455" s="38" t="s">
        <v>883</v>
      </c>
      <c r="G455" s="38" t="s">
        <v>884</v>
      </c>
      <c r="H455" s="39" t="s">
        <v>50</v>
      </c>
      <c r="I455" s="39" t="s">
        <v>51</v>
      </c>
      <c r="J455" s="40" t="s">
        <v>21</v>
      </c>
      <c r="K455" s="41" t="s">
        <v>22</v>
      </c>
      <c r="L455" s="42" t="s">
        <v>23</v>
      </c>
      <c r="M455" s="43" t="s">
        <v>24</v>
      </c>
      <c r="N455" s="42" t="s">
        <v>25</v>
      </c>
      <c r="O455" s="42" t="s">
        <v>21</v>
      </c>
      <c r="P455" s="44"/>
    </row>
    <row r="456" spans="1:16" customFormat="1" x14ac:dyDescent="0.25">
      <c r="A456" t="str">
        <f t="shared" si="7"/>
        <v>MISURA_FUORI_SOGLIA_CO_SUPERIORE_SUPERATA-Misura fuori soglia CO superiore superata</v>
      </c>
      <c r="B456" t="str">
        <f>VLOOKUP(A456,'EXPORT IRIS PROD 13-11-2024'!A:A,1,0)</f>
        <v>MISURA_FUORI_SOGLIA_CO_SUPERIORE_SUPERATA-Misura fuori soglia CO superiore superata</v>
      </c>
      <c r="C456" t="str">
        <f>VLOOKUP(F456,'EXPORT IRIS PROD 13-11-2024'!F:F,1,0)</f>
        <v>MISURA_FUORI_SOGLIA_CO_SUPERIORE_SUPERATA</v>
      </c>
      <c r="D456" t="str">
        <f>VLOOKUP(G456,'EXPORT IRIS PROD 13-11-2024'!D:D,1,0)</f>
        <v>Misura fuori soglia CO superiore superata</v>
      </c>
      <c r="E456" s="37" t="s">
        <v>878</v>
      </c>
      <c r="F456" s="38" t="s">
        <v>885</v>
      </c>
      <c r="G456" s="38" t="s">
        <v>886</v>
      </c>
      <c r="H456" s="39" t="s">
        <v>50</v>
      </c>
      <c r="I456" s="39" t="s">
        <v>51</v>
      </c>
      <c r="J456" s="40" t="s">
        <v>21</v>
      </c>
      <c r="K456" s="41" t="s">
        <v>22</v>
      </c>
      <c r="L456" s="42" t="s">
        <v>23</v>
      </c>
      <c r="M456" s="43" t="s">
        <v>24</v>
      </c>
      <c r="N456" s="42" t="s">
        <v>25</v>
      </c>
      <c r="O456" s="42" t="s">
        <v>21</v>
      </c>
      <c r="P456" s="44"/>
    </row>
    <row r="457" spans="1:16" customFormat="1" x14ac:dyDescent="0.25">
      <c r="A457" t="str">
        <f t="shared" si="7"/>
        <v>MISURA_FUORI_SOGLIA_CORRENTE_INFERIORE_SUPERATA-Misura fuori soglia corrente inferiore superata</v>
      </c>
      <c r="B457" t="str">
        <f>VLOOKUP(A457,'EXPORT IRIS PROD 13-11-2024'!A:A,1,0)</f>
        <v>MISURA_FUORI_SOGLIA_CORRENTE_INFERIORE_SUPERATA-Misura fuori soglia corrente inferiore superata</v>
      </c>
      <c r="C457" t="str">
        <f>VLOOKUP(F457,'EXPORT IRIS PROD 13-11-2024'!F:F,1,0)</f>
        <v>MISURA_FUORI_SOGLIA_CORRENTE_INFERIORE_SUPERATA</v>
      </c>
      <c r="D457" t="str">
        <f>VLOOKUP(G457,'EXPORT IRIS PROD 13-11-2024'!D:D,1,0)</f>
        <v>Misura fuori soglia corrente inferiore superata</v>
      </c>
      <c r="E457" s="37" t="s">
        <v>85</v>
      </c>
      <c r="F457" s="38" t="s">
        <v>887</v>
      </c>
      <c r="G457" s="38" t="s">
        <v>888</v>
      </c>
      <c r="H457" s="39" t="s">
        <v>50</v>
      </c>
      <c r="I457" s="39" t="s">
        <v>124</v>
      </c>
      <c r="J457" s="40" t="s">
        <v>21</v>
      </c>
      <c r="K457" s="41" t="s">
        <v>22</v>
      </c>
      <c r="L457" s="42" t="s">
        <v>23</v>
      </c>
      <c r="M457" s="43" t="s">
        <v>24</v>
      </c>
      <c r="N457" s="42" t="s">
        <v>25</v>
      </c>
      <c r="O457" s="42" t="s">
        <v>21</v>
      </c>
      <c r="P457" s="44"/>
    </row>
    <row r="458" spans="1:16" x14ac:dyDescent="0.25">
      <c r="A458" t="str">
        <f t="shared" si="7"/>
        <v>MISURA_FUORI_SOGLIA_CORRENTE_SUPERIORE_SUPERATA-Misura fuori soglia corrente superiore superata</v>
      </c>
      <c r="B458" t="str">
        <f>VLOOKUP(A458,'EXPORT IRIS PROD 13-11-2024'!A:A,1,0)</f>
        <v>MISURA_FUORI_SOGLIA_CORRENTE_SUPERIORE_SUPERATA-Misura fuori soglia corrente superiore superata</v>
      </c>
      <c r="C458" t="str">
        <f>VLOOKUP(F458,'EXPORT IRIS PROD 13-11-2024'!F:F,1,0)</f>
        <v>MISURA_FUORI_SOGLIA_CORRENTE_SUPERIORE_SUPERATA</v>
      </c>
      <c r="D458" t="str">
        <f>VLOOKUP(G458,'EXPORT IRIS PROD 13-11-2024'!D:D,1,0)</f>
        <v>Misura fuori soglia corrente superiore superata</v>
      </c>
      <c r="E458" s="37" t="s">
        <v>85</v>
      </c>
      <c r="F458" s="38" t="s">
        <v>889</v>
      </c>
      <c r="G458" s="38" t="s">
        <v>890</v>
      </c>
      <c r="H458" s="39" t="s">
        <v>50</v>
      </c>
      <c r="I458" s="39" t="s">
        <v>124</v>
      </c>
      <c r="J458" s="40" t="s">
        <v>21</v>
      </c>
      <c r="K458" s="41" t="s">
        <v>22</v>
      </c>
      <c r="L458" s="42" t="s">
        <v>23</v>
      </c>
      <c r="M458" s="43" t="s">
        <v>24</v>
      </c>
      <c r="N458" s="42" t="s">
        <v>25</v>
      </c>
      <c r="O458" s="42" t="s">
        <v>21</v>
      </c>
      <c r="P458" s="44"/>
    </row>
    <row r="459" spans="1:16" x14ac:dyDescent="0.25">
      <c r="A459" t="str">
        <f t="shared" si="7"/>
        <v>MISURA_FUORI_SOGLIA_INFERIORE-Misura fuori soglia inferiore</v>
      </c>
      <c r="B459" t="str">
        <f>VLOOKUP(A459,'EXPORT IRIS PROD 13-11-2024'!A:A,1,0)</f>
        <v>MISURA_FUORI_SOGLIA_INFERIORE-Misura fuori soglia inferiore</v>
      </c>
      <c r="C459" t="str">
        <f>VLOOKUP(F459,'EXPORT IRIS PROD 13-11-2024'!F:F,1,0)</f>
        <v>MISURA_FUORI_SOGLIA_INFERIORE</v>
      </c>
      <c r="D459" t="str">
        <f>VLOOKUP(G459,'EXPORT IRIS PROD 13-11-2024'!D:D,1,0)</f>
        <v>Misura fuori soglia inferiore</v>
      </c>
      <c r="E459" s="37" t="s">
        <v>53</v>
      </c>
      <c r="F459" s="38" t="s">
        <v>891</v>
      </c>
      <c r="G459" s="38" t="s">
        <v>892</v>
      </c>
      <c r="H459" s="39" t="s">
        <v>56</v>
      </c>
      <c r="I459" s="50" t="s">
        <v>57</v>
      </c>
      <c r="J459" s="40" t="s">
        <v>21</v>
      </c>
      <c r="K459" s="41" t="s">
        <v>22</v>
      </c>
      <c r="L459" s="42" t="s">
        <v>23</v>
      </c>
      <c r="M459" s="43" t="s">
        <v>24</v>
      </c>
      <c r="N459" s="42" t="s">
        <v>25</v>
      </c>
      <c r="O459" s="42" t="s">
        <v>21</v>
      </c>
      <c r="P459" s="44"/>
    </row>
    <row r="460" spans="1:16" x14ac:dyDescent="0.25">
      <c r="A460" t="str">
        <f t="shared" si="7"/>
        <v>MISURA_FUORI_SOGLIA_INFERIORE_SUPERATA-Misura fuori soglia inferiore</v>
      </c>
      <c r="B460" t="str">
        <f>VLOOKUP(A460,'EXPORT IRIS PROD 13-11-2024'!A:A,1,0)</f>
        <v>MISURA_FUORI_SOGLIA_INFERIORE_SUPERATA-Misura fuori soglia inferiore</v>
      </c>
      <c r="C460" t="str">
        <f>VLOOKUP(F460,'EXPORT IRIS PROD 13-11-2024'!F:F,1,0)</f>
        <v>MISURA_FUORI_SOGLIA_INFERIORE_SUPERATA</v>
      </c>
      <c r="D460" t="str">
        <f>VLOOKUP(G460,'EXPORT IRIS PROD 13-11-2024'!D:D,1,0)</f>
        <v>Misura fuori soglia inferiore</v>
      </c>
      <c r="E460" s="37" t="s">
        <v>53</v>
      </c>
      <c r="F460" s="38" t="s">
        <v>893</v>
      </c>
      <c r="G460" s="38" t="s">
        <v>892</v>
      </c>
      <c r="H460" s="39" t="s">
        <v>56</v>
      </c>
      <c r="I460" s="39" t="s">
        <v>57</v>
      </c>
      <c r="J460" s="40" t="s">
        <v>21</v>
      </c>
      <c r="K460" s="41" t="s">
        <v>22</v>
      </c>
      <c r="L460" s="42" t="s">
        <v>23</v>
      </c>
      <c r="M460" s="43" t="s">
        <v>24</v>
      </c>
      <c r="N460" s="42" t="s">
        <v>25</v>
      </c>
      <c r="O460" s="42" t="s">
        <v>21</v>
      </c>
      <c r="P460" s="44"/>
    </row>
    <row r="461" spans="1:16" x14ac:dyDescent="0.25">
      <c r="A461" t="str">
        <f t="shared" si="7"/>
        <v>MISURA_FUORI_SOGLIA_METRICA_SUPERIORE_NORD-Misura soglia metrica superiore superata nord</v>
      </c>
      <c r="B461" t="str">
        <f>VLOOKUP(A461,'EXPORT IRIS PROD 13-11-2024'!A:A,1,0)</f>
        <v>MISURA_FUORI_SOGLIA_METRICA_SUPERIORE_NORD-Misura soglia metrica superiore superata nord</v>
      </c>
      <c r="C461" t="str">
        <f>VLOOKUP(F461,'EXPORT IRIS PROD 13-11-2024'!F:F,1,0)</f>
        <v>MISURA_FUORI_SOGLIA_METRICA_SUPERIORE_NORD</v>
      </c>
      <c r="D461" t="str">
        <f>VLOOKUP(G461,'EXPORT IRIS PROD 13-11-2024'!D:D,1,0)</f>
        <v>Misura soglia metrica superiore superata nord</v>
      </c>
      <c r="E461" s="37" t="s">
        <v>105</v>
      </c>
      <c r="F461" s="38" t="s">
        <v>894</v>
      </c>
      <c r="G461" s="38" t="s">
        <v>895</v>
      </c>
      <c r="H461" s="39" t="s">
        <v>43</v>
      </c>
      <c r="I461" s="39" t="s">
        <v>108</v>
      </c>
      <c r="J461" s="40" t="s">
        <v>21</v>
      </c>
      <c r="K461" s="41" t="s">
        <v>22</v>
      </c>
      <c r="L461" s="42" t="s">
        <v>23</v>
      </c>
      <c r="M461" s="43" t="s">
        <v>24</v>
      </c>
      <c r="N461" s="42" t="s">
        <v>25</v>
      </c>
      <c r="O461" s="42" t="s">
        <v>21</v>
      </c>
      <c r="P461" s="44"/>
    </row>
    <row r="462" spans="1:16" x14ac:dyDescent="0.25">
      <c r="A462" t="str">
        <f t="shared" si="7"/>
        <v>MISURA_FUORI_SOGLIA_METRICA_SUPERIORE_SUD-Misura soglia metrica superiore superata sud</v>
      </c>
      <c r="B462" t="str">
        <f>VLOOKUP(A462,'EXPORT IRIS PROD 13-11-2024'!A:A,1,0)</f>
        <v>MISURA_FUORI_SOGLIA_METRICA_SUPERIORE_SUD-Misura soglia metrica superiore superata sud</v>
      </c>
      <c r="C462" t="str">
        <f>VLOOKUP(F462,'EXPORT IRIS PROD 13-11-2024'!F:F,1,0)</f>
        <v>MISURA_FUORI_SOGLIA_METRICA_SUPERIORE_SUD</v>
      </c>
      <c r="D462" t="str">
        <f>VLOOKUP(G462,'EXPORT IRIS PROD 13-11-2024'!D:D,1,0)</f>
        <v>Misura soglia metrica superiore superata sud</v>
      </c>
      <c r="E462" s="37" t="s">
        <v>105</v>
      </c>
      <c r="F462" s="38" t="s">
        <v>896</v>
      </c>
      <c r="G462" s="38" t="s">
        <v>897</v>
      </c>
      <c r="H462" s="39" t="s">
        <v>43</v>
      </c>
      <c r="I462" s="39" t="s">
        <v>108</v>
      </c>
      <c r="J462" s="40" t="s">
        <v>21</v>
      </c>
      <c r="K462" s="41" t="s">
        <v>22</v>
      </c>
      <c r="L462" s="42" t="s">
        <v>23</v>
      </c>
      <c r="M462" s="43" t="s">
        <v>24</v>
      </c>
      <c r="N462" s="42" t="s">
        <v>25</v>
      </c>
      <c r="O462" s="42" t="s">
        <v>21</v>
      </c>
      <c r="P462" s="44"/>
    </row>
    <row r="463" spans="1:16" x14ac:dyDescent="0.25">
      <c r="A463" t="str">
        <f t="shared" si="7"/>
        <v>MISURA_FUORI_SOGLIA_NO_INFERIORE_SUPERATA-Misura fuori soglia NO inferiore superata</v>
      </c>
      <c r="B463" t="str">
        <f>VLOOKUP(A463,'EXPORT IRIS PROD 13-11-2024'!A:A,1,0)</f>
        <v>MISURA_FUORI_SOGLIA_NO_INFERIORE_SUPERATA-Misura fuori soglia NO inferiore superata</v>
      </c>
      <c r="C463" t="str">
        <f>VLOOKUP(F463,'EXPORT IRIS PROD 13-11-2024'!F:F,1,0)</f>
        <v>MISURA_FUORI_SOGLIA_NO_INFERIORE_SUPERATA</v>
      </c>
      <c r="D463" t="str">
        <f>VLOOKUP(G463,'EXPORT IRIS PROD 13-11-2024'!D:D,1,0)</f>
        <v>Misura fuori soglia NO inferiore superata</v>
      </c>
      <c r="E463" s="37" t="s">
        <v>878</v>
      </c>
      <c r="F463" s="38" t="s">
        <v>898</v>
      </c>
      <c r="G463" s="38" t="s">
        <v>899</v>
      </c>
      <c r="H463" s="39" t="s">
        <v>50</v>
      </c>
      <c r="I463" s="39" t="s">
        <v>21</v>
      </c>
      <c r="J463" s="40" t="s">
        <v>21</v>
      </c>
      <c r="K463" s="41" t="s">
        <v>22</v>
      </c>
      <c r="L463" s="42" t="s">
        <v>23</v>
      </c>
      <c r="M463" s="43" t="s">
        <v>24</v>
      </c>
      <c r="N463" s="42" t="s">
        <v>25</v>
      </c>
      <c r="O463" s="42" t="s">
        <v>21</v>
      </c>
      <c r="P463" s="44"/>
    </row>
    <row r="464" spans="1:16" x14ac:dyDescent="0.25">
      <c r="A464" t="str">
        <f t="shared" si="7"/>
        <v>MISURA_FUORI_SOGLIA_NO_SUPERIORE_SUPERATA-Misura fuori soglia NO superiore superata</v>
      </c>
      <c r="B464" t="str">
        <f>VLOOKUP(A464,'EXPORT IRIS PROD 13-11-2024'!A:A,1,0)</f>
        <v>MISURA_FUORI_SOGLIA_NO_SUPERIORE_SUPERATA-Misura fuori soglia NO superiore superata</v>
      </c>
      <c r="C464" t="str">
        <f>VLOOKUP(F464,'EXPORT IRIS PROD 13-11-2024'!F:F,1,0)</f>
        <v>MISURA_FUORI_SOGLIA_NO_SUPERIORE_SUPERATA</v>
      </c>
      <c r="D464" t="str">
        <f>VLOOKUP(G464,'EXPORT IRIS PROD 13-11-2024'!D:D,1,0)</f>
        <v>Misura fuori soglia NO superiore superata</v>
      </c>
      <c r="E464" s="37" t="s">
        <v>878</v>
      </c>
      <c r="F464" s="38" t="s">
        <v>900</v>
      </c>
      <c r="G464" s="38" t="s">
        <v>901</v>
      </c>
      <c r="H464" s="39" t="s">
        <v>50</v>
      </c>
      <c r="I464" s="39" t="s">
        <v>21</v>
      </c>
      <c r="J464" s="40" t="s">
        <v>21</v>
      </c>
      <c r="K464" s="41" t="s">
        <v>22</v>
      </c>
      <c r="L464" s="42" t="s">
        <v>23</v>
      </c>
      <c r="M464" s="43" t="s">
        <v>24</v>
      </c>
      <c r="N464" s="42" t="s">
        <v>25</v>
      </c>
      <c r="O464" s="42" t="s">
        <v>21</v>
      </c>
      <c r="P464" s="44"/>
    </row>
    <row r="465" spans="1:16" x14ac:dyDescent="0.25">
      <c r="A465" t="str">
        <f t="shared" si="7"/>
        <v>MISURA_FUORI_SOGLIA_OP_INFERIORE_SUPERATA-Misura fuori soglia OP inferiore superata</v>
      </c>
      <c r="B465" t="str">
        <f>VLOOKUP(A465,'EXPORT IRIS PROD 13-11-2024'!A:A,1,0)</f>
        <v>MISURA_FUORI_SOGLIA_OP_INFERIORE_SUPERATA-Misura fuori soglia OP inferiore superata</v>
      </c>
      <c r="C465" t="str">
        <f>VLOOKUP(F465,'EXPORT IRIS PROD 13-11-2024'!F:F,1,0)</f>
        <v>MISURA_FUORI_SOGLIA_OP_INFERIORE_SUPERATA</v>
      </c>
      <c r="D465" t="str">
        <f>VLOOKUP(G465,'EXPORT IRIS PROD 13-11-2024'!D:D,1,0)</f>
        <v>Misura fuori soglia OP inferiore superata</v>
      </c>
      <c r="E465" s="37" t="s">
        <v>878</v>
      </c>
      <c r="F465" s="38" t="s">
        <v>902</v>
      </c>
      <c r="G465" s="38" t="s">
        <v>903</v>
      </c>
      <c r="H465" s="39" t="s">
        <v>50</v>
      </c>
      <c r="I465" s="39" t="s">
        <v>52</v>
      </c>
      <c r="J465" s="40" t="s">
        <v>21</v>
      </c>
      <c r="K465" s="41" t="s">
        <v>22</v>
      </c>
      <c r="L465" s="42" t="s">
        <v>23</v>
      </c>
      <c r="M465" s="43" t="s">
        <v>24</v>
      </c>
      <c r="N465" s="42" t="s">
        <v>25</v>
      </c>
      <c r="O465" s="42" t="s">
        <v>21</v>
      </c>
      <c r="P465" s="44"/>
    </row>
    <row r="466" spans="1:16" customFormat="1" x14ac:dyDescent="0.25">
      <c r="A466" t="str">
        <f t="shared" si="7"/>
        <v>MISURA_FUORI_SOGLIA_OP_SUPERIORE_SUPERATA-Misura fuori soglia OP superiore superata</v>
      </c>
      <c r="B466" t="str">
        <f>VLOOKUP(A466,'EXPORT IRIS PROD 13-11-2024'!A:A,1,0)</f>
        <v>MISURA_FUORI_SOGLIA_OP_SUPERIORE_SUPERATA-Misura fuori soglia OP superiore superata</v>
      </c>
      <c r="C466" t="str">
        <f>VLOOKUP(F466,'EXPORT IRIS PROD 13-11-2024'!F:F,1,0)</f>
        <v>MISURA_FUORI_SOGLIA_OP_SUPERIORE_SUPERATA</v>
      </c>
      <c r="D466" t="str">
        <f>VLOOKUP(G466,'EXPORT IRIS PROD 13-11-2024'!D:D,1,0)</f>
        <v>Misura fuori soglia OP superiore superata</v>
      </c>
      <c r="E466" s="37" t="s">
        <v>878</v>
      </c>
      <c r="F466" s="38" t="s">
        <v>904</v>
      </c>
      <c r="G466" s="38" t="s">
        <v>905</v>
      </c>
      <c r="H466" s="39" t="s">
        <v>50</v>
      </c>
      <c r="I466" s="39" t="s">
        <v>52</v>
      </c>
      <c r="J466" s="40" t="s">
        <v>21</v>
      </c>
      <c r="K466" s="41" t="s">
        <v>22</v>
      </c>
      <c r="L466" s="42" t="s">
        <v>23</v>
      </c>
      <c r="M466" s="43" t="s">
        <v>24</v>
      </c>
      <c r="N466" s="42" t="s">
        <v>25</v>
      </c>
      <c r="O466" s="42" t="s">
        <v>21</v>
      </c>
      <c r="P466" s="44"/>
    </row>
    <row r="467" spans="1:16" customFormat="1" x14ac:dyDescent="0.25">
      <c r="A467" t="str">
        <f t="shared" si="7"/>
        <v>MISURA_FUORI_SOGLIA_PRESSIONE_INFERIORE_SUPERATA-Misura fuori soglia pressione inferiore superata</v>
      </c>
      <c r="B467" t="str">
        <f>VLOOKUP(A467,'EXPORT IRIS PROD 13-11-2024'!A:A,1,0)</f>
        <v>MISURA_FUORI_SOGLIA_PRESSIONE_INFERIORE_SUPERATA-Misura fuori soglia pressione inferiore superata</v>
      </c>
      <c r="C467" t="str">
        <f>VLOOKUP(F467,'EXPORT IRIS PROD 13-11-2024'!F:F,1,0)</f>
        <v>MISURA_FUORI_SOGLIA_PRESSIONE_INFERIORE_SUPERATA</v>
      </c>
      <c r="D467" t="str">
        <f>VLOOKUP(G467,'EXPORT IRIS PROD 13-11-2024'!D:D,1,0)</f>
        <v>Misura fuori soglia pressione inferiore superata</v>
      </c>
      <c r="E467" s="37" t="s">
        <v>105</v>
      </c>
      <c r="F467" s="38" t="s">
        <v>906</v>
      </c>
      <c r="G467" s="38" t="s">
        <v>907</v>
      </c>
      <c r="H467" s="39" t="s">
        <v>43</v>
      </c>
      <c r="I467" s="39" t="s">
        <v>130</v>
      </c>
      <c r="J467" s="40" t="s">
        <v>21</v>
      </c>
      <c r="K467" s="41" t="s">
        <v>22</v>
      </c>
      <c r="L467" s="42" t="s">
        <v>23</v>
      </c>
      <c r="M467" s="43" t="s">
        <v>24</v>
      </c>
      <c r="N467" s="42" t="s">
        <v>25</v>
      </c>
      <c r="O467" s="42" t="s">
        <v>21</v>
      </c>
      <c r="P467" s="44"/>
    </row>
    <row r="468" spans="1:16" customFormat="1" x14ac:dyDescent="0.25">
      <c r="A468" t="str">
        <f t="shared" si="7"/>
        <v>MISURA_FUORI_SOGLIA_PRESSIONE_SUPERIORE_SUPERATA-Misura fuori soglia pressione superiore superata</v>
      </c>
      <c r="B468" t="str">
        <f>VLOOKUP(A468,'EXPORT IRIS PROD 13-11-2024'!A:A,1,0)</f>
        <v>MISURA_FUORI_SOGLIA_PRESSIONE_SUPERIORE_SUPERATA-Misura fuori soglia pressione superiore superata</v>
      </c>
      <c r="C468" t="str">
        <f>VLOOKUP(F468,'EXPORT IRIS PROD 13-11-2024'!F:F,1,0)</f>
        <v>MISURA_FUORI_SOGLIA_PRESSIONE_SUPERIORE_SUPERATA</v>
      </c>
      <c r="D468" t="str">
        <f>VLOOKUP(G468,'EXPORT IRIS PROD 13-11-2024'!D:D,1,0)</f>
        <v>Misura fuori soglia pressione superiore superata</v>
      </c>
      <c r="E468" s="37" t="s">
        <v>105</v>
      </c>
      <c r="F468" s="38" t="s">
        <v>908</v>
      </c>
      <c r="G468" s="38" t="s">
        <v>909</v>
      </c>
      <c r="H468" s="39" t="s">
        <v>43</v>
      </c>
      <c r="I468" s="39" t="s">
        <v>130</v>
      </c>
      <c r="J468" s="40" t="s">
        <v>21</v>
      </c>
      <c r="K468" s="41" t="s">
        <v>22</v>
      </c>
      <c r="L468" s="42" t="s">
        <v>23</v>
      </c>
      <c r="M468" s="43" t="s">
        <v>24</v>
      </c>
      <c r="N468" s="42" t="s">
        <v>25</v>
      </c>
      <c r="O468" s="42" t="s">
        <v>21</v>
      </c>
      <c r="P468" s="44"/>
    </row>
    <row r="469" spans="1:16" customFormat="1" x14ac:dyDescent="0.25">
      <c r="A469" t="str">
        <f t="shared" si="7"/>
        <v>MISURA_FUORI_SOGLIA_SERBATOIO_ACQUA_INFERIORE_SUPERATA-Misura fuori soglia serbatoio acqua inferiore superata</v>
      </c>
      <c r="B469" t="str">
        <f>VLOOKUP(A469,'EXPORT IRIS PROD 13-11-2024'!A:A,1,0)</f>
        <v>MISURA_FUORI_SOGLIA_SERBATOIO_ACQUA_INFERIORE_SUPERATA-Misura fuori soglia serbatoio acqua inferiore superata</v>
      </c>
      <c r="C469" t="str">
        <f>VLOOKUP(F469,'EXPORT IRIS PROD 13-11-2024'!F:F,1,0)</f>
        <v>MISURA_FUORI_SOGLIA_SERBATOIO_ACQUA_INFERIORE_SUPERATA</v>
      </c>
      <c r="D469" t="str">
        <f>VLOOKUP(G469,'EXPORT IRIS PROD 13-11-2024'!D:D,1,0)</f>
        <v>Misura fuori soglia serbatoio acqua inferiore superata</v>
      </c>
      <c r="E469" s="37" t="s">
        <v>35</v>
      </c>
      <c r="F469" s="38" t="s">
        <v>910</v>
      </c>
      <c r="G469" s="38" t="s">
        <v>911</v>
      </c>
      <c r="H469" s="39" t="s">
        <v>38</v>
      </c>
      <c r="I469" s="39" t="s">
        <v>480</v>
      </c>
      <c r="J469" s="40" t="s">
        <v>21</v>
      </c>
      <c r="K469" s="41" t="s">
        <v>22</v>
      </c>
      <c r="L469" s="42" t="s">
        <v>23</v>
      </c>
      <c r="M469" s="43" t="s">
        <v>24</v>
      </c>
      <c r="N469" s="42" t="s">
        <v>25</v>
      </c>
      <c r="O469" s="42" t="s">
        <v>21</v>
      </c>
      <c r="P469" s="44"/>
    </row>
    <row r="470" spans="1:16" x14ac:dyDescent="0.25">
      <c r="A470" t="str">
        <f t="shared" si="7"/>
        <v>MISURA_FUORI_SOGLIA_SERBATOIO_ACQUA_SUPERIORE_SUPERATA-Misura fuori soglia serbatoio acqua superiore superata</v>
      </c>
      <c r="B470" t="str">
        <f>VLOOKUP(A470,'EXPORT IRIS PROD 13-11-2024'!A:A,1,0)</f>
        <v>MISURA_FUORI_SOGLIA_SERBATOIO_ACQUA_SUPERIORE_SUPERATA-Misura fuori soglia serbatoio acqua superiore superata</v>
      </c>
      <c r="C470" t="str">
        <f>VLOOKUP(F470,'EXPORT IRIS PROD 13-11-2024'!F:F,1,0)</f>
        <v>MISURA_FUORI_SOGLIA_SERBATOIO_ACQUA_SUPERIORE_SUPERATA</v>
      </c>
      <c r="D470" t="str">
        <f>VLOOKUP(G470,'EXPORT IRIS PROD 13-11-2024'!D:D,1,0)</f>
        <v>Misura fuori soglia serbatoio acqua superiore superata</v>
      </c>
      <c r="E470" s="37" t="s">
        <v>35</v>
      </c>
      <c r="F470" s="38" t="s">
        <v>912</v>
      </c>
      <c r="G470" s="38" t="s">
        <v>913</v>
      </c>
      <c r="H470" s="39" t="s">
        <v>38</v>
      </c>
      <c r="I470" s="39" t="s">
        <v>480</v>
      </c>
      <c r="J470" s="40" t="s">
        <v>21</v>
      </c>
      <c r="K470" s="41" t="s">
        <v>22</v>
      </c>
      <c r="L470" s="42" t="s">
        <v>23</v>
      </c>
      <c r="M470" s="43" t="s">
        <v>24</v>
      </c>
      <c r="N470" s="42" t="s">
        <v>25</v>
      </c>
      <c r="O470" s="42" t="s">
        <v>21</v>
      </c>
      <c r="P470" s="44"/>
    </row>
    <row r="471" spans="1:16" x14ac:dyDescent="0.25">
      <c r="A471" t="str">
        <f t="shared" si="7"/>
        <v>MISURA_FUORI_SOGLIA_SUPERIORE-Misura fuori soglia superiore</v>
      </c>
      <c r="B471" t="str">
        <f>VLOOKUP(A471,'EXPORT IRIS PROD 13-11-2024'!A:A,1,0)</f>
        <v>MISURA_FUORI_SOGLIA_SUPERIORE-Misura fuori soglia superiore</v>
      </c>
      <c r="C471" t="str">
        <f>VLOOKUP(F471,'EXPORT IRIS PROD 13-11-2024'!F:F,1,0)</f>
        <v>MISURA_FUORI_SOGLIA_SUPERIORE</v>
      </c>
      <c r="D471" t="str">
        <f>VLOOKUP(G471,'EXPORT IRIS PROD 13-11-2024'!D:D,1,0)</f>
        <v>Misura fuori soglia superiore</v>
      </c>
      <c r="E471" s="37" t="s">
        <v>53</v>
      </c>
      <c r="F471" s="38" t="s">
        <v>914</v>
      </c>
      <c r="G471" s="38" t="s">
        <v>915</v>
      </c>
      <c r="H471" s="39" t="s">
        <v>56</v>
      </c>
      <c r="I471" s="39" t="s">
        <v>57</v>
      </c>
      <c r="J471" s="40" t="s">
        <v>21</v>
      </c>
      <c r="K471" s="41" t="s">
        <v>22</v>
      </c>
      <c r="L471" s="42" t="s">
        <v>23</v>
      </c>
      <c r="M471" s="43" t="s">
        <v>24</v>
      </c>
      <c r="N471" s="42" t="s">
        <v>25</v>
      </c>
      <c r="O471" s="42" t="s">
        <v>21</v>
      </c>
      <c r="P471" s="44"/>
    </row>
    <row r="472" spans="1:16" x14ac:dyDescent="0.25">
      <c r="A472" t="str">
        <f t="shared" si="7"/>
        <v>MISURA_FUORI_SOGLIA_T_INFERIORE_SUPERATA-Misura fuori soglia T inferiore superata</v>
      </c>
      <c r="B472" t="str">
        <f>VLOOKUP(A472,'EXPORT IRIS PROD 13-11-2024'!A:A,1,0)</f>
        <v>MISURA_FUORI_SOGLIA_T_INFERIORE_SUPERATA-Misura fuori soglia T inferiore superata</v>
      </c>
      <c r="C472" t="str">
        <f>VLOOKUP(F472,'EXPORT IRIS PROD 13-11-2024'!F:F,1,0)</f>
        <v>MISURA_FUORI_SOGLIA_T_INFERIORE_SUPERATA</v>
      </c>
      <c r="D472" t="str">
        <f>VLOOKUP(G472,'EXPORT IRIS PROD 13-11-2024'!D:D,1,0)</f>
        <v>Misura fuori soglia T inferiore superata</v>
      </c>
      <c r="E472" s="37" t="s">
        <v>85</v>
      </c>
      <c r="F472" s="38" t="s">
        <v>916</v>
      </c>
      <c r="G472" s="38" t="s">
        <v>917</v>
      </c>
      <c r="H472" s="39" t="s">
        <v>50</v>
      </c>
      <c r="I472" s="39" t="s">
        <v>918</v>
      </c>
      <c r="J472" s="40" t="s">
        <v>21</v>
      </c>
      <c r="K472" s="41" t="s">
        <v>22</v>
      </c>
      <c r="L472" s="42" t="s">
        <v>23</v>
      </c>
      <c r="M472" s="43" t="s">
        <v>24</v>
      </c>
      <c r="N472" s="42" t="s">
        <v>25</v>
      </c>
      <c r="O472" s="42" t="s">
        <v>21</v>
      </c>
      <c r="P472" s="44"/>
    </row>
    <row r="473" spans="1:16" customFormat="1" x14ac:dyDescent="0.25">
      <c r="A473" t="str">
        <f t="shared" si="7"/>
        <v>MISURA_FUORI_SOGLIA_T_SUPERIORE_SUPERATA-Misura fuori soglia T superiore superata</v>
      </c>
      <c r="B473" t="str">
        <f>VLOOKUP(A473,'EXPORT IRIS PROD 13-11-2024'!A:A,1,0)</f>
        <v>MISURA_FUORI_SOGLIA_T_SUPERIORE_SUPERATA-Misura fuori soglia T superiore superata</v>
      </c>
      <c r="C473" t="str">
        <f>VLOOKUP(F473,'EXPORT IRIS PROD 13-11-2024'!F:F,1,0)</f>
        <v>MISURA_FUORI_SOGLIA_T_SUPERIORE_SUPERATA</v>
      </c>
      <c r="D473" t="str">
        <f>VLOOKUP(G473,'EXPORT IRIS PROD 13-11-2024'!D:D,1,0)</f>
        <v>Misura fuori soglia T superiore superata</v>
      </c>
      <c r="E473" s="37" t="s">
        <v>85</v>
      </c>
      <c r="F473" s="38" t="s">
        <v>919</v>
      </c>
      <c r="G473" s="38" t="s">
        <v>920</v>
      </c>
      <c r="H473" s="39" t="s">
        <v>50</v>
      </c>
      <c r="I473" s="39" t="s">
        <v>918</v>
      </c>
      <c r="J473" s="40" t="s">
        <v>21</v>
      </c>
      <c r="K473" s="41" t="s">
        <v>22</v>
      </c>
      <c r="L473" s="42" t="s">
        <v>23</v>
      </c>
      <c r="M473" s="43" t="s">
        <v>24</v>
      </c>
      <c r="N473" s="42" t="s">
        <v>25</v>
      </c>
      <c r="O473" s="42" t="s">
        <v>21</v>
      </c>
      <c r="P473" s="44"/>
    </row>
    <row r="474" spans="1:16" customFormat="1" x14ac:dyDescent="0.25">
      <c r="A474" t="str">
        <f t="shared" si="7"/>
        <v>MISURA_FUORI_SOGLIA_VIBRAZIONE_INFERIORE_SUPERATA-Misura fuori soglia vibrazione inferiore superata</v>
      </c>
      <c r="B474" t="str">
        <f>VLOOKUP(A474,'EXPORT IRIS PROD 13-11-2024'!A:A,1,0)</f>
        <v>MISURA_FUORI_SOGLIA_VIBRAZIONE_INFERIORE_SUPERATA-Misura fuori soglia vibrazione inferiore superata</v>
      </c>
      <c r="C474" t="str">
        <f>VLOOKUP(F474,'EXPORT IRIS PROD 13-11-2024'!F:F,1,0)</f>
        <v>MISURA_FUORI_SOGLIA_VIBRAZIONE_INFERIORE_SUPERATA</v>
      </c>
      <c r="D474" t="str">
        <f>VLOOKUP(G474,'EXPORT IRIS PROD 13-11-2024'!D:D,1,0)</f>
        <v>Misura fuori soglia vibrazione inferiore superata</v>
      </c>
      <c r="E474" s="37" t="s">
        <v>85</v>
      </c>
      <c r="F474" s="38" t="s">
        <v>921</v>
      </c>
      <c r="G474" s="38" t="s">
        <v>922</v>
      </c>
      <c r="H474" s="39" t="s">
        <v>50</v>
      </c>
      <c r="I474" s="39" t="s">
        <v>124</v>
      </c>
      <c r="J474" s="40" t="s">
        <v>21</v>
      </c>
      <c r="K474" s="41" t="s">
        <v>22</v>
      </c>
      <c r="L474" s="42" t="s">
        <v>23</v>
      </c>
      <c r="M474" s="43" t="s">
        <v>24</v>
      </c>
      <c r="N474" s="42" t="s">
        <v>25</v>
      </c>
      <c r="O474" s="42" t="s">
        <v>21</v>
      </c>
      <c r="P474" s="44"/>
    </row>
    <row r="475" spans="1:16" customFormat="1" x14ac:dyDescent="0.25">
      <c r="A475" t="str">
        <f t="shared" si="7"/>
        <v>MISURA_FUORI_SOGLIA_VIBRAZIONE_SUPERIORE_SUPERATA-Misura fuori soglia vibrazione superiore superata</v>
      </c>
      <c r="B475" t="str">
        <f>VLOOKUP(A475,'EXPORT IRIS PROD 13-11-2024'!A:A,1,0)</f>
        <v>MISURA_FUORI_SOGLIA_VIBRAZIONE_SUPERIORE_SUPERATA-Misura fuori soglia vibrazione superiore superata</v>
      </c>
      <c r="C475" t="str">
        <f>VLOOKUP(F475,'EXPORT IRIS PROD 13-11-2024'!F:F,1,0)</f>
        <v>MISURA_FUORI_SOGLIA_VIBRAZIONE_SUPERIORE_SUPERATA</v>
      </c>
      <c r="D475" t="str">
        <f>VLOOKUP(G475,'EXPORT IRIS PROD 13-11-2024'!D:D,1,0)</f>
        <v>Misura fuori soglia vibrazione superiore superata</v>
      </c>
      <c r="E475" s="37" t="s">
        <v>85</v>
      </c>
      <c r="F475" s="38" t="s">
        <v>923</v>
      </c>
      <c r="G475" s="38" t="s">
        <v>924</v>
      </c>
      <c r="H475" s="39" t="s">
        <v>50</v>
      </c>
      <c r="I475" s="39" t="s">
        <v>124</v>
      </c>
      <c r="J475" s="40" t="s">
        <v>21</v>
      </c>
      <c r="K475" s="41" t="s">
        <v>22</v>
      </c>
      <c r="L475" s="42" t="s">
        <v>23</v>
      </c>
      <c r="M475" s="43" t="s">
        <v>24</v>
      </c>
      <c r="N475" s="42" t="s">
        <v>25</v>
      </c>
      <c r="O475" s="42" t="s">
        <v>21</v>
      </c>
      <c r="P475" s="44"/>
    </row>
    <row r="476" spans="1:16" customFormat="1" x14ac:dyDescent="0.25">
      <c r="A476" t="str">
        <f t="shared" si="7"/>
        <v>OP_GUASTO-Allarme guasto sensore OP</v>
      </c>
      <c r="B476" t="str">
        <f>VLOOKUP(A476,'EXPORT IRIS PROD 13-11-2024'!A:A,1,0)</f>
        <v>OP_GUASTO-Allarme guasto sensore OP</v>
      </c>
      <c r="C476" t="str">
        <f>VLOOKUP(F476,'EXPORT IRIS PROD 13-11-2024'!F:F,1,0)</f>
        <v>OP_GUASTO</v>
      </c>
      <c r="D476" t="str">
        <f>VLOOKUP(G476,'EXPORT IRIS PROD 13-11-2024'!D:D,1,0)</f>
        <v>Allarme guasto sensore OP</v>
      </c>
      <c r="E476" s="37" t="s">
        <v>85</v>
      </c>
      <c r="F476" s="38" t="s">
        <v>925</v>
      </c>
      <c r="G476" s="38" t="s">
        <v>549</v>
      </c>
      <c r="H476" s="39" t="s">
        <v>50</v>
      </c>
      <c r="I476" s="50" t="s">
        <v>52</v>
      </c>
      <c r="J476" s="40" t="s">
        <v>21</v>
      </c>
      <c r="K476" s="41" t="s">
        <v>22</v>
      </c>
      <c r="L476" s="42" t="s">
        <v>23</v>
      </c>
      <c r="M476" s="43" t="s">
        <v>24</v>
      </c>
      <c r="N476" s="42" t="s">
        <v>25</v>
      </c>
      <c r="O476" s="42" t="s">
        <v>21</v>
      </c>
      <c r="P476" s="44"/>
    </row>
    <row r="477" spans="1:16" customFormat="1" x14ac:dyDescent="0.25">
      <c r="A477" t="str">
        <f t="shared" si="7"/>
        <v>PEDONE-Allarme pedone</v>
      </c>
      <c r="B477" t="str">
        <f>VLOOKUP(A477,'EXPORT IRIS PROD 13-11-2024'!A:A,1,0)</f>
        <v>PEDONE-Allarme pedone</v>
      </c>
      <c r="C477" t="str">
        <f>VLOOKUP(F477,'EXPORT IRIS PROD 13-11-2024'!F:F,1,0)</f>
        <v>PEDONE</v>
      </c>
      <c r="D477" t="str">
        <f>VLOOKUP(G477,'EXPORT IRIS PROD 13-11-2024'!D:D,1,0)</f>
        <v>Allarme pedone</v>
      </c>
      <c r="E477" s="37" t="s">
        <v>471</v>
      </c>
      <c r="F477" s="38" t="s">
        <v>926</v>
      </c>
      <c r="G477" s="45" t="s">
        <v>927</v>
      </c>
      <c r="H477" s="46" t="s">
        <v>201</v>
      </c>
      <c r="I477" s="46" t="s">
        <v>380</v>
      </c>
      <c r="J477" s="47" t="s">
        <v>31</v>
      </c>
      <c r="K477" s="48" t="s">
        <v>32</v>
      </c>
      <c r="L477" s="43">
        <v>1</v>
      </c>
      <c r="M477" s="43" t="s">
        <v>33</v>
      </c>
      <c r="N477" s="43" t="s">
        <v>34</v>
      </c>
      <c r="O477" s="43" t="s">
        <v>31</v>
      </c>
      <c r="P477" s="49"/>
    </row>
    <row r="478" spans="1:16" customFormat="1" x14ac:dyDescent="0.25">
      <c r="A478" t="str">
        <f t="shared" si="7"/>
        <v>PEDONE-Allarme pedone</v>
      </c>
      <c r="B478" t="str">
        <f>VLOOKUP(A478,'EXPORT IRIS PROD 13-11-2024'!A:A,1,0)</f>
        <v>PEDONE-Allarme pedone</v>
      </c>
      <c r="C478" t="str">
        <f>VLOOKUP(F478,'EXPORT IRIS PROD 13-11-2024'!F:F,1,0)</f>
        <v>PEDONE</v>
      </c>
      <c r="D478" t="str">
        <f>VLOOKUP(G478,'EXPORT IRIS PROD 13-11-2024'!D:D,1,0)</f>
        <v>Allarme pedone</v>
      </c>
      <c r="E478" s="37" t="s">
        <v>471</v>
      </c>
      <c r="F478" s="38" t="s">
        <v>926</v>
      </c>
      <c r="G478" s="45" t="s">
        <v>927</v>
      </c>
      <c r="H478" s="46" t="s">
        <v>201</v>
      </c>
      <c r="I478" s="46" t="s">
        <v>263</v>
      </c>
      <c r="J478" s="47" t="s">
        <v>31</v>
      </c>
      <c r="K478" s="48" t="s">
        <v>32</v>
      </c>
      <c r="L478" s="43">
        <v>1</v>
      </c>
      <c r="M478" s="43" t="s">
        <v>33</v>
      </c>
      <c r="N478" s="43" t="s">
        <v>34</v>
      </c>
      <c r="O478" s="43" t="s">
        <v>31</v>
      </c>
      <c r="P478" s="49"/>
    </row>
    <row r="479" spans="1:16" customFormat="1" x14ac:dyDescent="0.25">
      <c r="A479" t="str">
        <f t="shared" si="7"/>
        <v>PEDONE_CORSIA_1-Allarme pedone corsia di emergenza</v>
      </c>
      <c r="B479" t="str">
        <f>VLOOKUP(A479,'EXPORT IRIS PROD 13-11-2024'!A:A,1,0)</f>
        <v>PEDONE_CORSIA_1-Allarme pedone corsia di emergenza</v>
      </c>
      <c r="C479" t="str">
        <f>VLOOKUP(F479,'EXPORT IRIS PROD 13-11-2024'!F:F,1,0)</f>
        <v>PEDONE_CORSIA_1</v>
      </c>
      <c r="D479" t="str">
        <f>VLOOKUP(G479,'EXPORT IRIS PROD 13-11-2024'!D:D,1,0)</f>
        <v>Allarme pedone corsia di emergenza</v>
      </c>
      <c r="E479" s="37" t="s">
        <v>471</v>
      </c>
      <c r="F479" s="38" t="s">
        <v>928</v>
      </c>
      <c r="G479" s="45" t="s">
        <v>929</v>
      </c>
      <c r="H479" s="46" t="s">
        <v>201</v>
      </c>
      <c r="I479" s="46" t="s">
        <v>380</v>
      </c>
      <c r="J479" s="47" t="s">
        <v>31</v>
      </c>
      <c r="K479" s="48" t="s">
        <v>32</v>
      </c>
      <c r="L479" s="43">
        <v>1</v>
      </c>
      <c r="M479" s="43" t="s">
        <v>33</v>
      </c>
      <c r="N479" s="43" t="s">
        <v>34</v>
      </c>
      <c r="O479" s="43" t="s">
        <v>31</v>
      </c>
      <c r="P479" s="49"/>
    </row>
    <row r="480" spans="1:16" customFormat="1" x14ac:dyDescent="0.25">
      <c r="A480" t="str">
        <f t="shared" si="7"/>
        <v>PEDONE_CORSIA_1-Allarme pedone corsia di emergenza</v>
      </c>
      <c r="B480" t="str">
        <f>VLOOKUP(A480,'EXPORT IRIS PROD 13-11-2024'!A:A,1,0)</f>
        <v>PEDONE_CORSIA_1-Allarme pedone corsia di emergenza</v>
      </c>
      <c r="C480" t="str">
        <f>VLOOKUP(F480,'EXPORT IRIS PROD 13-11-2024'!F:F,1,0)</f>
        <v>PEDONE_CORSIA_1</v>
      </c>
      <c r="D480" t="str">
        <f>VLOOKUP(G480,'EXPORT IRIS PROD 13-11-2024'!D:D,1,0)</f>
        <v>Allarme pedone corsia di emergenza</v>
      </c>
      <c r="E480" s="37" t="s">
        <v>471</v>
      </c>
      <c r="F480" s="38" t="s">
        <v>928</v>
      </c>
      <c r="G480" s="45" t="s">
        <v>929</v>
      </c>
      <c r="H480" s="46" t="s">
        <v>201</v>
      </c>
      <c r="I480" s="46" t="s">
        <v>263</v>
      </c>
      <c r="J480" s="47" t="s">
        <v>31</v>
      </c>
      <c r="K480" s="48" t="s">
        <v>32</v>
      </c>
      <c r="L480" s="43">
        <v>1</v>
      </c>
      <c r="M480" s="43" t="s">
        <v>33</v>
      </c>
      <c r="N480" s="43" t="s">
        <v>34</v>
      </c>
      <c r="O480" s="43" t="s">
        <v>31</v>
      </c>
      <c r="P480" s="49"/>
    </row>
    <row r="481" spans="1:16" customFormat="1" x14ac:dyDescent="0.25">
      <c r="A481" t="str">
        <f t="shared" si="7"/>
        <v>PEDONE_CORSIA_2-Allarme pedone corsia di marcia</v>
      </c>
      <c r="B481" t="str">
        <f>VLOOKUP(A481,'EXPORT IRIS PROD 13-11-2024'!A:A,1,0)</f>
        <v>PEDONE_CORSIA_2-Allarme pedone corsia di marcia</v>
      </c>
      <c r="C481" t="str">
        <f>VLOOKUP(F481,'EXPORT IRIS PROD 13-11-2024'!F:F,1,0)</f>
        <v>PEDONE_CORSIA_2</v>
      </c>
      <c r="D481" t="str">
        <f>VLOOKUP(G481,'EXPORT IRIS PROD 13-11-2024'!D:D,1,0)</f>
        <v>Allarme pedone corsia di marcia</v>
      </c>
      <c r="E481" s="37" t="s">
        <v>471</v>
      </c>
      <c r="F481" s="38" t="s">
        <v>930</v>
      </c>
      <c r="G481" s="45" t="s">
        <v>931</v>
      </c>
      <c r="H481" s="46" t="s">
        <v>201</v>
      </c>
      <c r="I481" s="46" t="s">
        <v>380</v>
      </c>
      <c r="J481" s="47" t="s">
        <v>31</v>
      </c>
      <c r="K481" s="48" t="s">
        <v>32</v>
      </c>
      <c r="L481" s="43">
        <v>1</v>
      </c>
      <c r="M481" s="43" t="s">
        <v>33</v>
      </c>
      <c r="N481" s="43" t="s">
        <v>34</v>
      </c>
      <c r="O481" s="43" t="s">
        <v>31</v>
      </c>
      <c r="P481" s="49"/>
    </row>
    <row r="482" spans="1:16" customFormat="1" x14ac:dyDescent="0.25">
      <c r="A482" t="str">
        <f t="shared" si="7"/>
        <v>PEDONE_CORSIA_2-Allarme pedone corsia di marcia</v>
      </c>
      <c r="B482" t="str">
        <f>VLOOKUP(A482,'EXPORT IRIS PROD 13-11-2024'!A:A,1,0)</f>
        <v>PEDONE_CORSIA_2-Allarme pedone corsia di marcia</v>
      </c>
      <c r="C482" t="str">
        <f>VLOOKUP(F482,'EXPORT IRIS PROD 13-11-2024'!F:F,1,0)</f>
        <v>PEDONE_CORSIA_2</v>
      </c>
      <c r="D482" t="str">
        <f>VLOOKUP(G482,'EXPORT IRIS PROD 13-11-2024'!D:D,1,0)</f>
        <v>Allarme pedone corsia di marcia</v>
      </c>
      <c r="E482" s="37" t="s">
        <v>471</v>
      </c>
      <c r="F482" s="38" t="s">
        <v>930</v>
      </c>
      <c r="G482" s="45" t="s">
        <v>931</v>
      </c>
      <c r="H482" s="46" t="s">
        <v>201</v>
      </c>
      <c r="I482" s="46" t="s">
        <v>263</v>
      </c>
      <c r="J482" s="47" t="s">
        <v>31</v>
      </c>
      <c r="K482" s="48" t="s">
        <v>32</v>
      </c>
      <c r="L482" s="43">
        <v>1</v>
      </c>
      <c r="M482" s="43" t="s">
        <v>33</v>
      </c>
      <c r="N482" s="43" t="s">
        <v>34</v>
      </c>
      <c r="O482" s="43" t="s">
        <v>31</v>
      </c>
      <c r="P482" s="49"/>
    </row>
    <row r="483" spans="1:16" customFormat="1" x14ac:dyDescent="0.25">
      <c r="A483" t="str">
        <f t="shared" si="7"/>
        <v>PEDONE_CORSIA_3-Allarme pedone corsia veloce</v>
      </c>
      <c r="B483" t="str">
        <f>VLOOKUP(A483,'EXPORT IRIS PROD 13-11-2024'!A:A,1,0)</f>
        <v>PEDONE_CORSIA_3-Allarme pedone corsia veloce</v>
      </c>
      <c r="C483" t="str">
        <f>VLOOKUP(F483,'EXPORT IRIS PROD 13-11-2024'!F:F,1,0)</f>
        <v>PEDONE_CORSIA_3</v>
      </c>
      <c r="D483" t="str">
        <f>VLOOKUP(G483,'EXPORT IRIS PROD 13-11-2024'!D:D,1,0)</f>
        <v>Allarme pedone corsia veloce</v>
      </c>
      <c r="E483" s="37" t="s">
        <v>471</v>
      </c>
      <c r="F483" s="38" t="s">
        <v>932</v>
      </c>
      <c r="G483" s="45" t="s">
        <v>933</v>
      </c>
      <c r="H483" s="46" t="s">
        <v>201</v>
      </c>
      <c r="I483" s="46" t="s">
        <v>380</v>
      </c>
      <c r="J483" s="47" t="s">
        <v>31</v>
      </c>
      <c r="K483" s="48" t="s">
        <v>32</v>
      </c>
      <c r="L483" s="43">
        <v>1</v>
      </c>
      <c r="M483" s="43" t="s">
        <v>33</v>
      </c>
      <c r="N483" s="43" t="s">
        <v>34</v>
      </c>
      <c r="O483" s="43" t="s">
        <v>31</v>
      </c>
      <c r="P483" s="49"/>
    </row>
    <row r="484" spans="1:16" customFormat="1" x14ac:dyDescent="0.25">
      <c r="A484" t="str">
        <f t="shared" si="7"/>
        <v>PEDONE_CORSIA_3-Allarme pedone corsia veloce</v>
      </c>
      <c r="B484" t="str">
        <f>VLOOKUP(A484,'EXPORT IRIS PROD 13-11-2024'!A:A,1,0)</f>
        <v>PEDONE_CORSIA_3-Allarme pedone corsia veloce</v>
      </c>
      <c r="C484" t="str">
        <f>VLOOKUP(F484,'EXPORT IRIS PROD 13-11-2024'!F:F,1,0)</f>
        <v>PEDONE_CORSIA_3</v>
      </c>
      <c r="D484" t="str">
        <f>VLOOKUP(G484,'EXPORT IRIS PROD 13-11-2024'!D:D,1,0)</f>
        <v>Allarme pedone corsia veloce</v>
      </c>
      <c r="E484" s="37" t="s">
        <v>471</v>
      </c>
      <c r="F484" s="38" t="s">
        <v>932</v>
      </c>
      <c r="G484" s="45" t="s">
        <v>933</v>
      </c>
      <c r="H484" s="46" t="s">
        <v>201</v>
      </c>
      <c r="I484" s="46" t="s">
        <v>263</v>
      </c>
      <c r="J484" s="47" t="s">
        <v>31</v>
      </c>
      <c r="K484" s="48" t="s">
        <v>32</v>
      </c>
      <c r="L484" s="43">
        <v>1</v>
      </c>
      <c r="M484" s="43" t="s">
        <v>33</v>
      </c>
      <c r="N484" s="43" t="s">
        <v>34</v>
      </c>
      <c r="O484" s="43" t="s">
        <v>31</v>
      </c>
      <c r="P484" s="49"/>
    </row>
    <row r="485" spans="1:16" x14ac:dyDescent="0.25">
      <c r="A485" t="str">
        <f t="shared" si="7"/>
        <v>PORTA_QUADRO_ALIMENTAZIONE-Allarme porta quadro alimentazione</v>
      </c>
      <c r="B485" t="str">
        <f>VLOOKUP(A485,'EXPORT IRIS PROD 13-11-2024'!A:A,1,0)</f>
        <v>PORTA_QUADRO_ALIMENTAZIONE-Allarme porta quadro alimentazione</v>
      </c>
      <c r="C485" t="str">
        <f>VLOOKUP(F485,'EXPORT IRIS PROD 13-11-2024'!F:F,1,0)</f>
        <v>PORTA_QUADRO_ALIMENTAZIONE</v>
      </c>
      <c r="D485" t="str">
        <f>VLOOKUP(G485,'EXPORT IRIS PROD 13-11-2024'!D:D,1,0)</f>
        <v>Allarme porta quadro alimentazione</v>
      </c>
      <c r="E485" s="37" t="s">
        <v>53</v>
      </c>
      <c r="F485" s="38" t="s">
        <v>934</v>
      </c>
      <c r="G485" s="38" t="s">
        <v>935</v>
      </c>
      <c r="H485" s="39" t="s">
        <v>56</v>
      </c>
      <c r="I485" s="39" t="s">
        <v>114</v>
      </c>
      <c r="J485" s="40" t="s">
        <v>21</v>
      </c>
      <c r="K485" s="41" t="s">
        <v>22</v>
      </c>
      <c r="L485" s="42" t="s">
        <v>23</v>
      </c>
      <c r="M485" s="43" t="s">
        <v>24</v>
      </c>
      <c r="N485" s="42" t="s">
        <v>25</v>
      </c>
      <c r="O485" s="42" t="s">
        <v>21</v>
      </c>
      <c r="P485" s="44"/>
    </row>
    <row r="486" spans="1:16" x14ac:dyDescent="0.25">
      <c r="A486" t="str">
        <f t="shared" si="7"/>
        <v>PORTA_QUADRO_ALIMENTAZIONE-Allarme porta quadro alimentazione</v>
      </c>
      <c r="B486" t="str">
        <f>VLOOKUP(A486,'EXPORT IRIS PROD 13-11-2024'!A:A,1,0)</f>
        <v>PORTA_QUADRO_ALIMENTAZIONE-Allarme porta quadro alimentazione</v>
      </c>
      <c r="C486" t="str">
        <f>VLOOKUP(F486,'EXPORT IRIS PROD 13-11-2024'!F:F,1,0)</f>
        <v>PORTA_QUADRO_ALIMENTAZIONE</v>
      </c>
      <c r="D486" t="str">
        <f>VLOOKUP(G486,'EXPORT IRIS PROD 13-11-2024'!D:D,1,0)</f>
        <v>Allarme porta quadro alimentazione</v>
      </c>
      <c r="E486" s="37" t="s">
        <v>89</v>
      </c>
      <c r="F486" s="38" t="s">
        <v>934</v>
      </c>
      <c r="G486" s="38" t="s">
        <v>935</v>
      </c>
      <c r="H486" s="39" t="s">
        <v>29</v>
      </c>
      <c r="I486" s="39" t="s">
        <v>360</v>
      </c>
      <c r="J486" s="40" t="s">
        <v>21</v>
      </c>
      <c r="K486" s="41" t="s">
        <v>22</v>
      </c>
      <c r="L486" s="42" t="s">
        <v>23</v>
      </c>
      <c r="M486" s="43" t="s">
        <v>24</v>
      </c>
      <c r="N486" s="42" t="s">
        <v>25</v>
      </c>
      <c r="O486" s="42" t="s">
        <v>21</v>
      </c>
      <c r="P486" s="44"/>
    </row>
    <row r="487" spans="1:16" x14ac:dyDescent="0.25">
      <c r="A487" t="str">
        <f t="shared" si="7"/>
        <v>PRE_ALLARME-Preallarme</v>
      </c>
      <c r="B487" t="str">
        <f>VLOOKUP(A487,'EXPORT IRIS PROD 13-11-2024'!A:A,1,0)</f>
        <v>PRE_ALLARME-Preallarme</v>
      </c>
      <c r="C487" t="str">
        <f>VLOOKUP(F487,'EXPORT IRIS PROD 13-11-2024'!F:F,1,0)</f>
        <v>PRE_ALLARME</v>
      </c>
      <c r="D487" t="str">
        <f>VLOOKUP(G487,'EXPORT IRIS PROD 13-11-2024'!D:D,1,0)</f>
        <v>Preallarme</v>
      </c>
      <c r="E487" s="37" t="s">
        <v>53</v>
      </c>
      <c r="F487" s="38" t="s">
        <v>936</v>
      </c>
      <c r="G487" s="38" t="s">
        <v>937</v>
      </c>
      <c r="H487" s="39" t="s">
        <v>56</v>
      </c>
      <c r="I487" s="39" t="s">
        <v>208</v>
      </c>
      <c r="J487" s="40" t="s">
        <v>21</v>
      </c>
      <c r="K487" s="41" t="s">
        <v>22</v>
      </c>
      <c r="L487" s="42" t="s">
        <v>23</v>
      </c>
      <c r="M487" s="43" t="s">
        <v>24</v>
      </c>
      <c r="N487" s="42" t="s">
        <v>25</v>
      </c>
      <c r="O487" s="42" t="s">
        <v>21</v>
      </c>
      <c r="P487" s="44"/>
    </row>
    <row r="488" spans="1:16" x14ac:dyDescent="0.25">
      <c r="A488" t="str">
        <f t="shared" si="7"/>
        <v>PRE_ALLARME-Preallarme</v>
      </c>
      <c r="B488" t="str">
        <f>VLOOKUP(A488,'EXPORT IRIS PROD 13-11-2024'!A:A,1,0)</f>
        <v>PRE_ALLARME-Preallarme</v>
      </c>
      <c r="C488" t="str">
        <f>VLOOKUP(F488,'EXPORT IRIS PROD 13-11-2024'!F:F,1,0)</f>
        <v>PRE_ALLARME</v>
      </c>
      <c r="D488" t="str">
        <f>VLOOKUP(G488,'EXPORT IRIS PROD 13-11-2024'!D:D,1,0)</f>
        <v>Preallarme</v>
      </c>
      <c r="E488" s="37" t="s">
        <v>85</v>
      </c>
      <c r="F488" s="38" t="s">
        <v>936</v>
      </c>
      <c r="G488" s="38" t="s">
        <v>937</v>
      </c>
      <c r="H488" s="39" t="s">
        <v>50</v>
      </c>
      <c r="I488" s="39" t="s">
        <v>124</v>
      </c>
      <c r="J488" s="40" t="s">
        <v>21</v>
      </c>
      <c r="K488" s="41" t="s">
        <v>22</v>
      </c>
      <c r="L488" s="42" t="s">
        <v>23</v>
      </c>
      <c r="M488" s="43" t="s">
        <v>24</v>
      </c>
      <c r="N488" s="42" t="s">
        <v>25</v>
      </c>
      <c r="O488" s="42" t="s">
        <v>21</v>
      </c>
      <c r="P488" s="44"/>
    </row>
    <row r="489" spans="1:16" x14ac:dyDescent="0.25">
      <c r="A489" t="str">
        <f t="shared" si="7"/>
        <v>PRE_ALLARME_GRADIENTE-Preallarme gradiente termico</v>
      </c>
      <c r="B489" t="str">
        <f>VLOOKUP(A489,'EXPORT IRIS PROD 13-11-2024'!A:A,1,0)</f>
        <v>PRE_ALLARME_GRADIENTE-Preallarme gradiente termico</v>
      </c>
      <c r="C489" t="str">
        <f>VLOOKUP(F489,'EXPORT IRIS PROD 13-11-2024'!F:F,1,0)</f>
        <v>PRE_ALLARME_GRADIENTE</v>
      </c>
      <c r="D489" t="str">
        <f>VLOOKUP(G489,'EXPORT IRIS PROD 13-11-2024'!D:D,1,0)</f>
        <v>Preallarme gradiente termico</v>
      </c>
      <c r="E489" s="37" t="s">
        <v>47</v>
      </c>
      <c r="F489" s="38" t="s">
        <v>938</v>
      </c>
      <c r="G489" s="45" t="s">
        <v>939</v>
      </c>
      <c r="H489" s="46" t="s">
        <v>43</v>
      </c>
      <c r="I489" s="46" t="s">
        <v>856</v>
      </c>
      <c r="J489" s="47" t="s">
        <v>31</v>
      </c>
      <c r="K489" s="48" t="s">
        <v>32</v>
      </c>
      <c r="L489" s="43">
        <v>2</v>
      </c>
      <c r="M489" s="43" t="s">
        <v>157</v>
      </c>
      <c r="N489" s="43" t="s">
        <v>158</v>
      </c>
      <c r="O489" s="42" t="s">
        <v>21</v>
      </c>
      <c r="P489" s="49"/>
    </row>
    <row r="490" spans="1:16" x14ac:dyDescent="0.25">
      <c r="A490" t="str">
        <f t="shared" si="7"/>
        <v>PRESSOSTATO-Allarme pressostato</v>
      </c>
      <c r="B490" t="str">
        <f>VLOOKUP(A490,'EXPORT IRIS PROD 13-11-2024'!A:A,1,0)</f>
        <v>PRESSOSTATO-Allarme pressostato</v>
      </c>
      <c r="C490" t="str">
        <f>VLOOKUP(F490,'EXPORT IRIS PROD 13-11-2024'!F:F,1,0)</f>
        <v>PRESSOSTATO</v>
      </c>
      <c r="D490" t="str">
        <f>VLOOKUP(G490,'EXPORT IRIS PROD 13-11-2024'!D:D,1,0)</f>
        <v>Allarme pressostato</v>
      </c>
      <c r="E490" s="37" t="s">
        <v>53</v>
      </c>
      <c r="F490" s="38" t="s">
        <v>940</v>
      </c>
      <c r="G490" s="38" t="s">
        <v>941</v>
      </c>
      <c r="H490" s="39" t="s">
        <v>56</v>
      </c>
      <c r="I490" s="39" t="s">
        <v>942</v>
      </c>
      <c r="J490" s="40" t="s">
        <v>21</v>
      </c>
      <c r="K490" s="41" t="s">
        <v>22</v>
      </c>
      <c r="L490" s="42" t="s">
        <v>23</v>
      </c>
      <c r="M490" s="43" t="s">
        <v>24</v>
      </c>
      <c r="N490" s="42" t="s">
        <v>25</v>
      </c>
      <c r="O490" s="42" t="s">
        <v>21</v>
      </c>
      <c r="P490" s="44"/>
    </row>
    <row r="491" spans="1:16" x14ac:dyDescent="0.25">
      <c r="A491" t="str">
        <f t="shared" si="7"/>
        <v>RELE_MINIMA_TENSIONE-Allarme rele minima tensione</v>
      </c>
      <c r="B491" t="str">
        <f>VLOOKUP(A491,'EXPORT IRIS PROD 13-11-2024'!A:A,1,0)</f>
        <v>RELE_MINIMA_TENSIONE-Allarme rele minima tensione</v>
      </c>
      <c r="C491" t="str">
        <f>VLOOKUP(F491,'EXPORT IRIS PROD 13-11-2024'!F:F,1,0)</f>
        <v>RELE_MINIMA_TENSIONE</v>
      </c>
      <c r="D491" t="str">
        <f>VLOOKUP(G491,'EXPORT IRIS PROD 13-11-2024'!D:D,1,0)</f>
        <v>Allarme rele minima tensione</v>
      </c>
      <c r="E491" s="37" t="s">
        <v>53</v>
      </c>
      <c r="F491" s="38" t="s">
        <v>943</v>
      </c>
      <c r="G491" s="38" t="s">
        <v>944</v>
      </c>
      <c r="H491" s="39" t="s">
        <v>56</v>
      </c>
      <c r="I491" s="39" t="s">
        <v>402</v>
      </c>
      <c r="J491" s="40" t="s">
        <v>21</v>
      </c>
      <c r="K491" s="41" t="s">
        <v>22</v>
      </c>
      <c r="L491" s="42" t="s">
        <v>23</v>
      </c>
      <c r="M491" s="43" t="s">
        <v>24</v>
      </c>
      <c r="N491" s="42" t="s">
        <v>25</v>
      </c>
      <c r="O491" s="42" t="s">
        <v>21</v>
      </c>
      <c r="P491" s="44"/>
    </row>
    <row r="492" spans="1:16" x14ac:dyDescent="0.25">
      <c r="A492" t="str">
        <f t="shared" si="7"/>
        <v>SCATTO_PROTEZIONE-Allarme scatto protezione magnetotermica</v>
      </c>
      <c r="B492" t="str">
        <f>VLOOKUP(A492,'EXPORT IRIS PROD 13-11-2024'!A:A,1,0)</f>
        <v>SCATTO_PROTEZIONE-Allarme scatto protezione magnetotermica</v>
      </c>
      <c r="C492" t="str">
        <f>VLOOKUP(F492,'EXPORT IRIS PROD 13-11-2024'!F:F,1,0)</f>
        <v>SCATTO_PROTEZIONE</v>
      </c>
      <c r="D492" t="str">
        <f>VLOOKUP(G492,'EXPORT IRIS PROD 13-11-2024'!D:D,1,0)</f>
        <v>Allarme scatto protezione magnetotermica</v>
      </c>
      <c r="E492" s="37" t="s">
        <v>85</v>
      </c>
      <c r="F492" s="38" t="s">
        <v>945</v>
      </c>
      <c r="G492" s="38" t="s">
        <v>467</v>
      </c>
      <c r="H492" s="39" t="s">
        <v>50</v>
      </c>
      <c r="I492" s="39" t="s">
        <v>124</v>
      </c>
      <c r="J492" s="40" t="s">
        <v>21</v>
      </c>
      <c r="K492" s="41" t="s">
        <v>22</v>
      </c>
      <c r="L492" s="42" t="s">
        <v>23</v>
      </c>
      <c r="M492" s="43" t="s">
        <v>24</v>
      </c>
      <c r="N492" s="42" t="s">
        <v>25</v>
      </c>
      <c r="O492" s="42" t="s">
        <v>21</v>
      </c>
      <c r="P492" s="44"/>
    </row>
    <row r="493" spans="1:16" x14ac:dyDescent="0.25">
      <c r="A493" t="str">
        <f t="shared" si="7"/>
        <v>SCATTO_TERMICO_SCT_SALVA_MOTORE-Allarme scatto termico salva motore</v>
      </c>
      <c r="B493" t="str">
        <f>VLOOKUP(A493,'EXPORT IRIS PROD 13-11-2024'!A:A,1,0)</f>
        <v>SCATTO_TERMICO_SCT_SALVA_MOTORE-Allarme scatto termico salva motore</v>
      </c>
      <c r="C493" t="str">
        <f>VLOOKUP(F493,'EXPORT IRIS PROD 13-11-2024'!F:F,1,0)</f>
        <v>SCATTO_TERMICO_SCT_SALVA_MOTORE</v>
      </c>
      <c r="D493" t="str">
        <f>VLOOKUP(G493,'EXPORT IRIS PROD 13-11-2024'!D:D,1,0)</f>
        <v>Allarme scatto termico salva motore</v>
      </c>
      <c r="E493" s="37" t="s">
        <v>85</v>
      </c>
      <c r="F493" s="38" t="s">
        <v>946</v>
      </c>
      <c r="G493" s="38" t="s">
        <v>947</v>
      </c>
      <c r="H493" s="39" t="s">
        <v>50</v>
      </c>
      <c r="I493" s="39" t="s">
        <v>124</v>
      </c>
      <c r="J493" s="40" t="s">
        <v>21</v>
      </c>
      <c r="K493" s="41" t="s">
        <v>22</v>
      </c>
      <c r="L493" s="42" t="s">
        <v>23</v>
      </c>
      <c r="M493" s="43" t="s">
        <v>24</v>
      </c>
      <c r="N493" s="42" t="s">
        <v>25</v>
      </c>
      <c r="O493" s="42" t="s">
        <v>21</v>
      </c>
      <c r="P493" s="44"/>
    </row>
    <row r="494" spans="1:16" customFormat="1" x14ac:dyDescent="0.25">
      <c r="A494" t="str">
        <f t="shared" si="7"/>
        <v>SERRANDA_IN_APERTURA-Allarme serranda in apertura</v>
      </c>
      <c r="B494" t="str">
        <f>VLOOKUP(A494,'EXPORT IRIS PROD 13-11-2024'!A:A,1,0)</f>
        <v>SERRANDA_IN_APERTURA-Allarme serranda in apertura</v>
      </c>
      <c r="C494" t="str">
        <f>VLOOKUP(F494,'EXPORT IRIS PROD 13-11-2024'!F:F,1,0)</f>
        <v>SERRANDA_IN_APERTURA</v>
      </c>
      <c r="D494" t="str">
        <f>VLOOKUP(G494,'EXPORT IRIS PROD 13-11-2024'!D:D,1,0)</f>
        <v>Allarme serranda in apertura</v>
      </c>
      <c r="E494" s="37" t="s">
        <v>576</v>
      </c>
      <c r="F494" s="38" t="s">
        <v>948</v>
      </c>
      <c r="G494" s="38" t="s">
        <v>949</v>
      </c>
      <c r="H494" s="39" t="s">
        <v>274</v>
      </c>
      <c r="I494" s="39" t="s">
        <v>275</v>
      </c>
      <c r="J494" s="40" t="s">
        <v>21</v>
      </c>
      <c r="K494" s="41" t="s">
        <v>22</v>
      </c>
      <c r="L494" s="42" t="s">
        <v>23</v>
      </c>
      <c r="M494" s="43" t="s">
        <v>24</v>
      </c>
      <c r="N494" s="42" t="s">
        <v>25</v>
      </c>
      <c r="O494" s="42" t="s">
        <v>21</v>
      </c>
      <c r="P494" s="52"/>
    </row>
    <row r="495" spans="1:16" customFormat="1" x14ac:dyDescent="0.25">
      <c r="A495" t="str">
        <f t="shared" si="7"/>
        <v>SERRANDA_IN_CHIUSURA-Allarme serranda in chiusura</v>
      </c>
      <c r="B495" t="str">
        <f>VLOOKUP(A495,'EXPORT IRIS PROD 13-11-2024'!A:A,1,0)</f>
        <v>SERRANDA_IN_CHIUSURA-Allarme serranda in chiusura</v>
      </c>
      <c r="C495" t="str">
        <f>VLOOKUP(F495,'EXPORT IRIS PROD 13-11-2024'!F:F,1,0)</f>
        <v>SERRANDA_IN_CHIUSURA</v>
      </c>
      <c r="D495" t="str">
        <f>VLOOKUP(G495,'EXPORT IRIS PROD 13-11-2024'!D:D,1,0)</f>
        <v>Allarme serranda in chiusura</v>
      </c>
      <c r="E495" s="37" t="s">
        <v>576</v>
      </c>
      <c r="F495" s="38" t="s">
        <v>950</v>
      </c>
      <c r="G495" s="38" t="s">
        <v>951</v>
      </c>
      <c r="H495" s="39" t="s">
        <v>274</v>
      </c>
      <c r="I495" s="39" t="s">
        <v>275</v>
      </c>
      <c r="J495" s="40" t="s">
        <v>21</v>
      </c>
      <c r="K495" s="41" t="s">
        <v>22</v>
      </c>
      <c r="L495" s="42" t="s">
        <v>23</v>
      </c>
      <c r="M495" s="43" t="s">
        <v>24</v>
      </c>
      <c r="N495" s="42" t="s">
        <v>25</v>
      </c>
      <c r="O495" s="42" t="s">
        <v>21</v>
      </c>
      <c r="P495" s="44"/>
    </row>
    <row r="496" spans="1:16" customFormat="1" x14ac:dyDescent="0.25">
      <c r="A496" t="str">
        <f t="shared" si="7"/>
        <v>SEZIONATORE-Allarme sezionatore</v>
      </c>
      <c r="B496" t="str">
        <f>VLOOKUP(A496,'EXPORT IRIS PROD 13-11-2024'!A:A,1,0)</f>
        <v>SEZIONATORE-Allarme sezionatore</v>
      </c>
      <c r="C496" t="str">
        <f>VLOOKUP(F496,'EXPORT IRIS PROD 13-11-2024'!F:F,1,0)</f>
        <v>SEZIONATORE</v>
      </c>
      <c r="D496" t="str">
        <f>VLOOKUP(G496,'EXPORT IRIS PROD 13-11-2024'!D:D,1,0)</f>
        <v>Allarme sezionatore</v>
      </c>
      <c r="E496" s="37" t="s">
        <v>85</v>
      </c>
      <c r="F496" s="38" t="s">
        <v>952</v>
      </c>
      <c r="G496" s="38" t="s">
        <v>953</v>
      </c>
      <c r="H496" s="39" t="s">
        <v>50</v>
      </c>
      <c r="I496" s="39" t="s">
        <v>124</v>
      </c>
      <c r="J496" s="40" t="s">
        <v>21</v>
      </c>
      <c r="K496" s="41" t="s">
        <v>22</v>
      </c>
      <c r="L496" s="42" t="s">
        <v>23</v>
      </c>
      <c r="M496" s="43" t="s">
        <v>24</v>
      </c>
      <c r="N496" s="42" t="s">
        <v>25</v>
      </c>
      <c r="O496" s="42" t="s">
        <v>21</v>
      </c>
      <c r="P496" s="44"/>
    </row>
    <row r="497" spans="1:16" customFormat="1" x14ac:dyDescent="0.25">
      <c r="A497" t="str">
        <f t="shared" si="7"/>
        <v>SGANCIO-Allarme pulsante di sgancio</v>
      </c>
      <c r="B497" t="str">
        <f>VLOOKUP(A497,'EXPORT IRIS PROD 13-11-2024'!A:A,1,0)</f>
        <v>SGANCIO-Allarme pulsante di sgancio</v>
      </c>
      <c r="C497" t="str">
        <f>VLOOKUP(F497,'EXPORT IRIS PROD 13-11-2024'!F:F,1,0)</f>
        <v>SGANCIO</v>
      </c>
      <c r="D497" t="str">
        <f>VLOOKUP(G497,'EXPORT IRIS PROD 13-11-2024'!D:D,1,0)</f>
        <v>Allarme pulsante di sgancio</v>
      </c>
      <c r="E497" s="37" t="s">
        <v>954</v>
      </c>
      <c r="F497" s="38" t="s">
        <v>955</v>
      </c>
      <c r="G497" s="38" t="s">
        <v>956</v>
      </c>
      <c r="H497" s="39" t="s">
        <v>73</v>
      </c>
      <c r="I497" s="39" t="s">
        <v>957</v>
      </c>
      <c r="J497" s="40" t="s">
        <v>21</v>
      </c>
      <c r="K497" s="41" t="s">
        <v>22</v>
      </c>
      <c r="L497" s="42" t="s">
        <v>23</v>
      </c>
      <c r="M497" s="43" t="s">
        <v>24</v>
      </c>
      <c r="N497" s="42" t="s">
        <v>25</v>
      </c>
      <c r="O497" s="42" t="s">
        <v>21</v>
      </c>
      <c r="P497" s="44"/>
    </row>
    <row r="498" spans="1:16" x14ac:dyDescent="0.25">
      <c r="A498" t="str">
        <f t="shared" si="7"/>
        <v>SGANCIO-Allarme pulsante di sgancio</v>
      </c>
      <c r="B498" t="str">
        <f>VLOOKUP(A498,'EXPORT IRIS PROD 13-11-2024'!A:A,1,0)</f>
        <v>SGANCIO-Allarme pulsante di sgancio</v>
      </c>
      <c r="C498" t="str">
        <f>VLOOKUP(F498,'EXPORT IRIS PROD 13-11-2024'!F:F,1,0)</f>
        <v>SGANCIO</v>
      </c>
      <c r="D498" t="str">
        <f>VLOOKUP(G498,'EXPORT IRIS PROD 13-11-2024'!D:D,1,0)</f>
        <v>Allarme pulsante di sgancio</v>
      </c>
      <c r="E498" s="37" t="s">
        <v>53</v>
      </c>
      <c r="F498" s="38" t="s">
        <v>955</v>
      </c>
      <c r="G498" s="38" t="s">
        <v>956</v>
      </c>
      <c r="H498" s="39" t="s">
        <v>56</v>
      </c>
      <c r="I498" s="39" t="s">
        <v>57</v>
      </c>
      <c r="J498" s="40" t="s">
        <v>21</v>
      </c>
      <c r="K498" s="41" t="s">
        <v>22</v>
      </c>
      <c r="L498" s="42" t="s">
        <v>23</v>
      </c>
      <c r="M498" s="43" t="s">
        <v>24</v>
      </c>
      <c r="N498" s="42" t="s">
        <v>25</v>
      </c>
      <c r="O498" s="42" t="s">
        <v>21</v>
      </c>
      <c r="P498" s="44"/>
    </row>
    <row r="499" spans="1:16" customFormat="1" x14ac:dyDescent="0.25">
      <c r="A499" t="str">
        <f t="shared" si="7"/>
        <v>SGANCIO-Allarme pulsante di sgancio</v>
      </c>
      <c r="B499" t="str">
        <f>VLOOKUP(A499,'EXPORT IRIS PROD 13-11-2024'!A:A,1,0)</f>
        <v>SGANCIO-Allarme pulsante di sgancio</v>
      </c>
      <c r="C499" t="str">
        <f>VLOOKUP(F499,'EXPORT IRIS PROD 13-11-2024'!F:F,1,0)</f>
        <v>SGANCIO</v>
      </c>
      <c r="D499" t="str">
        <f>VLOOKUP(G499,'EXPORT IRIS PROD 13-11-2024'!D:D,1,0)</f>
        <v>Allarme pulsante di sgancio</v>
      </c>
      <c r="E499" s="37" t="s">
        <v>53</v>
      </c>
      <c r="F499" s="38" t="s">
        <v>955</v>
      </c>
      <c r="G499" s="38" t="s">
        <v>956</v>
      </c>
      <c r="H499" s="39" t="s">
        <v>56</v>
      </c>
      <c r="I499" s="39" t="s">
        <v>355</v>
      </c>
      <c r="J499" s="40" t="s">
        <v>21</v>
      </c>
      <c r="K499" s="41" t="s">
        <v>22</v>
      </c>
      <c r="L499" s="42" t="s">
        <v>23</v>
      </c>
      <c r="M499" s="43" t="s">
        <v>24</v>
      </c>
      <c r="N499" s="42" t="s">
        <v>25</v>
      </c>
      <c r="O499" s="42" t="s">
        <v>21</v>
      </c>
      <c r="P499" s="44"/>
    </row>
    <row r="500" spans="1:16" x14ac:dyDescent="0.25">
      <c r="A500" t="str">
        <f t="shared" si="7"/>
        <v>SGANCIO-Allarme pulsante di sgancio</v>
      </c>
      <c r="B500" t="str">
        <f>VLOOKUP(A500,'EXPORT IRIS PROD 13-11-2024'!A:A,1,0)</f>
        <v>SGANCIO-Allarme pulsante di sgancio</v>
      </c>
      <c r="C500" t="str">
        <f>VLOOKUP(F500,'EXPORT IRIS PROD 13-11-2024'!F:F,1,0)</f>
        <v>SGANCIO</v>
      </c>
      <c r="D500" t="str">
        <f>VLOOKUP(G500,'EXPORT IRIS PROD 13-11-2024'!D:D,1,0)</f>
        <v>Allarme pulsante di sgancio</v>
      </c>
      <c r="E500" s="37" t="s">
        <v>53</v>
      </c>
      <c r="F500" s="38" t="s">
        <v>955</v>
      </c>
      <c r="G500" s="38" t="s">
        <v>956</v>
      </c>
      <c r="H500" s="39" t="s">
        <v>56</v>
      </c>
      <c r="I500" s="39" t="s">
        <v>958</v>
      </c>
      <c r="J500" s="40" t="s">
        <v>21</v>
      </c>
      <c r="K500" s="41" t="s">
        <v>22</v>
      </c>
      <c r="L500" s="42" t="s">
        <v>23</v>
      </c>
      <c r="M500" s="43" t="s">
        <v>24</v>
      </c>
      <c r="N500" s="42" t="s">
        <v>25</v>
      </c>
      <c r="O500" s="42" t="s">
        <v>21</v>
      </c>
      <c r="P500" s="44"/>
    </row>
    <row r="501" spans="1:16" x14ac:dyDescent="0.25">
      <c r="A501" t="str">
        <f t="shared" si="7"/>
        <v>SGANCIO_PREMUTO-Allarme pulsante di sgancio premuto</v>
      </c>
      <c r="B501" t="str">
        <f>VLOOKUP(A501,'EXPORT IRIS PROD 13-11-2024'!A:A,1,0)</f>
        <v>SGANCIO_PREMUTO-Allarme pulsante di sgancio premuto</v>
      </c>
      <c r="C501" t="str">
        <f>VLOOKUP(F501,'EXPORT IRIS PROD 13-11-2024'!F:F,1,0)</f>
        <v>SGANCIO_PREMUTO</v>
      </c>
      <c r="D501" t="str">
        <f>VLOOKUP(G501,'EXPORT IRIS PROD 13-11-2024'!D:D,1,0)</f>
        <v>Allarme pulsante di sgancio premuto</v>
      </c>
      <c r="E501" s="37" t="s">
        <v>53</v>
      </c>
      <c r="F501" s="38" t="s">
        <v>959</v>
      </c>
      <c r="G501" s="38" t="s">
        <v>960</v>
      </c>
      <c r="H501" s="39" t="s">
        <v>56</v>
      </c>
      <c r="I501" s="39" t="s">
        <v>961</v>
      </c>
      <c r="J501" s="40" t="s">
        <v>21</v>
      </c>
      <c r="K501" s="41" t="s">
        <v>22</v>
      </c>
      <c r="L501" s="42" t="s">
        <v>23</v>
      </c>
      <c r="M501" s="43" t="s">
        <v>24</v>
      </c>
      <c r="N501" s="42" t="s">
        <v>25</v>
      </c>
      <c r="O501" s="42" t="s">
        <v>21</v>
      </c>
      <c r="P501" s="44"/>
    </row>
    <row r="502" spans="1:16" x14ac:dyDescent="0.25">
      <c r="A502" t="str">
        <f t="shared" si="7"/>
        <v>SMARTROAD_AID_FAST_VEHICLE-Veicolo veloce</v>
      </c>
      <c r="B502" t="str">
        <f>VLOOKUP(A502,'EXPORT IRIS PROD 13-11-2024'!A:A,1,0)</f>
        <v>SMARTROAD_AID_FAST_VEHICLE-Veicolo veloce</v>
      </c>
      <c r="C502" t="str">
        <f>VLOOKUP(F502,'EXPORT IRIS PROD 13-11-2024'!F:F,1,0)</f>
        <v>SMARTROAD_AID_FAST_VEHICLE</v>
      </c>
      <c r="D502" t="str">
        <f>VLOOKUP(G502,'EXPORT IRIS PROD 13-11-2024'!D:D,1,0)</f>
        <v>Veicolo veloce</v>
      </c>
      <c r="E502" s="37" t="s">
        <v>962</v>
      </c>
      <c r="F502" s="38" t="s">
        <v>963</v>
      </c>
      <c r="G502" s="38" t="s">
        <v>964</v>
      </c>
      <c r="H502" s="39" t="s">
        <v>965</v>
      </c>
      <c r="I502" s="39" t="s">
        <v>966</v>
      </c>
      <c r="J502" s="40" t="s">
        <v>31</v>
      </c>
      <c r="K502" s="48" t="s">
        <v>32</v>
      </c>
      <c r="L502" s="43">
        <v>1</v>
      </c>
      <c r="M502" s="43" t="s">
        <v>24</v>
      </c>
      <c r="N502" s="42" t="s">
        <v>25</v>
      </c>
      <c r="O502" s="42" t="s">
        <v>21</v>
      </c>
      <c r="P502" s="44" t="s">
        <v>967</v>
      </c>
    </row>
    <row r="503" spans="1:16" x14ac:dyDescent="0.25">
      <c r="A503" t="str">
        <f t="shared" si="7"/>
        <v>SMARTROAD_AID_LANE_CHANGE-Cambio di corsia</v>
      </c>
      <c r="B503" t="str">
        <f>VLOOKUP(A503,'EXPORT IRIS PROD 13-11-2024'!A:A,1,0)</f>
        <v>SMARTROAD_AID_LANE_CHANGE-Cambio di corsia</v>
      </c>
      <c r="C503" t="str">
        <f>VLOOKUP(F503,'EXPORT IRIS PROD 13-11-2024'!F:F,1,0)</f>
        <v>SMARTROAD_AID_LANE_CHANGE</v>
      </c>
      <c r="D503" t="str">
        <f>VLOOKUP(G503,'EXPORT IRIS PROD 13-11-2024'!D:D,1,0)</f>
        <v>Cambio di corsia</v>
      </c>
      <c r="E503" s="37" t="s">
        <v>968</v>
      </c>
      <c r="F503" s="38" t="s">
        <v>969</v>
      </c>
      <c r="G503" s="38" t="s">
        <v>970</v>
      </c>
      <c r="H503" s="39" t="s">
        <v>965</v>
      </c>
      <c r="I503" s="39" t="s">
        <v>966</v>
      </c>
      <c r="J503" s="40" t="s">
        <v>31</v>
      </c>
      <c r="K503" s="48" t="s">
        <v>32</v>
      </c>
      <c r="L503" s="43">
        <v>1</v>
      </c>
      <c r="M503" s="43" t="s">
        <v>24</v>
      </c>
      <c r="N503" s="42" t="s">
        <v>25</v>
      </c>
      <c r="O503" s="42" t="s">
        <v>21</v>
      </c>
      <c r="P503" s="44" t="s">
        <v>967</v>
      </c>
    </row>
    <row r="504" spans="1:16" x14ac:dyDescent="0.25">
      <c r="A504" t="str">
        <f t="shared" si="7"/>
        <v>SMARTROAD_AID_LOST_OBJECT-Perdita carico</v>
      </c>
      <c r="B504" t="str">
        <f>VLOOKUP(A504,'EXPORT IRIS PROD 13-11-2024'!A:A,1,0)</f>
        <v>SMARTROAD_AID_LOST_OBJECT-Perdita carico</v>
      </c>
      <c r="C504" t="str">
        <f>VLOOKUP(F504,'EXPORT IRIS PROD 13-11-2024'!F:F,1,0)</f>
        <v>SMARTROAD_AID_LOST_OBJECT</v>
      </c>
      <c r="D504" t="str">
        <f>VLOOKUP(G504,'EXPORT IRIS PROD 13-11-2024'!D:D,1,0)</f>
        <v>Perdita carico</v>
      </c>
      <c r="E504" s="37" t="s">
        <v>971</v>
      </c>
      <c r="F504" s="38" t="s">
        <v>972</v>
      </c>
      <c r="G504" s="45" t="s">
        <v>973</v>
      </c>
      <c r="H504" s="46" t="s">
        <v>965</v>
      </c>
      <c r="I504" s="46" t="s">
        <v>966</v>
      </c>
      <c r="J504" s="47" t="s">
        <v>31</v>
      </c>
      <c r="K504" s="48" t="s">
        <v>32</v>
      </c>
      <c r="L504" s="43">
        <v>1</v>
      </c>
      <c r="M504" s="43" t="s">
        <v>33</v>
      </c>
      <c r="N504" s="43" t="s">
        <v>34</v>
      </c>
      <c r="O504" s="43" t="s">
        <v>31</v>
      </c>
      <c r="P504" s="49"/>
    </row>
    <row r="505" spans="1:16" customFormat="1" x14ac:dyDescent="0.25">
      <c r="A505" t="str">
        <f t="shared" si="7"/>
        <v>SMARTROAD_AID_LOW_VISIBILITY-Nebbia o fumo</v>
      </c>
      <c r="B505" t="str">
        <f>VLOOKUP(A505,'EXPORT IRIS PROD 13-11-2024'!A:A,1,0)</f>
        <v>SMARTROAD_AID_LOW_VISIBILITY-Nebbia o fumo</v>
      </c>
      <c r="C505" t="str">
        <f>VLOOKUP(F505,'EXPORT IRIS PROD 13-11-2024'!F:F,1,0)</f>
        <v>SMARTROAD_AID_LOW_VISIBILITY</v>
      </c>
      <c r="D505" t="str">
        <f>VLOOKUP(G505,'EXPORT IRIS PROD 13-11-2024'!D:D,1,0)</f>
        <v>Nebbia o fumo</v>
      </c>
      <c r="E505" s="37" t="s">
        <v>836</v>
      </c>
      <c r="F505" s="38" t="s">
        <v>974</v>
      </c>
      <c r="G505" s="45" t="s">
        <v>975</v>
      </c>
      <c r="H505" s="46" t="s">
        <v>965</v>
      </c>
      <c r="I505" s="46" t="s">
        <v>966</v>
      </c>
      <c r="J505" s="47" t="s">
        <v>31</v>
      </c>
      <c r="K505" s="48" t="s">
        <v>32</v>
      </c>
      <c r="L505" s="43">
        <v>5</v>
      </c>
      <c r="M505" s="43" t="s">
        <v>33</v>
      </c>
      <c r="N505" s="43" t="s">
        <v>34</v>
      </c>
      <c r="O505" s="43" t="s">
        <v>31</v>
      </c>
      <c r="P505" s="56"/>
    </row>
    <row r="506" spans="1:16" customFormat="1" x14ac:dyDescent="0.25">
      <c r="A506" t="str">
        <f t="shared" si="7"/>
        <v>SMARTROAD_AID_PEDESTRIAN-Presenza pedone</v>
      </c>
      <c r="B506" t="str">
        <f>VLOOKUP(A506,'EXPORT IRIS PROD 13-11-2024'!A:A,1,0)</f>
        <v>SMARTROAD_AID_PEDESTRIAN-Presenza pedone</v>
      </c>
      <c r="C506" t="str">
        <f>VLOOKUP(F506,'EXPORT IRIS PROD 13-11-2024'!F:F,1,0)</f>
        <v>SMARTROAD_AID_PEDESTRIAN</v>
      </c>
      <c r="D506" t="str">
        <f>VLOOKUP(G506,'EXPORT IRIS PROD 13-11-2024'!D:D,1,0)</f>
        <v>Presenza pedone</v>
      </c>
      <c r="E506" s="37" t="s">
        <v>471</v>
      </c>
      <c r="F506" s="38" t="s">
        <v>976</v>
      </c>
      <c r="G506" s="45" t="s">
        <v>977</v>
      </c>
      <c r="H506" s="46" t="s">
        <v>965</v>
      </c>
      <c r="I506" s="46" t="s">
        <v>966</v>
      </c>
      <c r="J506" s="47" t="s">
        <v>31</v>
      </c>
      <c r="K506" s="48" t="s">
        <v>32</v>
      </c>
      <c r="L506" s="43">
        <v>1</v>
      </c>
      <c r="M506" s="43" t="s">
        <v>33</v>
      </c>
      <c r="N506" s="43" t="s">
        <v>34</v>
      </c>
      <c r="O506" s="43" t="s">
        <v>31</v>
      </c>
      <c r="P506" s="49"/>
    </row>
    <row r="507" spans="1:16" customFormat="1" x14ac:dyDescent="0.25">
      <c r="A507" t="str">
        <f t="shared" si="7"/>
        <v>SMARTROAD_AID_QUEUE-Coda</v>
      </c>
      <c r="B507" t="str">
        <f>VLOOKUP(A507,'EXPORT IRIS PROD 13-11-2024'!A:A,1,0)</f>
        <v>SMARTROAD_AID_QUEUE-Coda</v>
      </c>
      <c r="C507" t="str">
        <f>VLOOKUP(F507,'EXPORT IRIS PROD 13-11-2024'!F:F,1,0)</f>
        <v>SMARTROAD_AID_QUEUE</v>
      </c>
      <c r="D507" t="str">
        <f>VLOOKUP(G507,'EXPORT IRIS PROD 13-11-2024'!D:D,1,0)</f>
        <v>Coda</v>
      </c>
      <c r="E507" s="37" t="s">
        <v>807</v>
      </c>
      <c r="F507" s="38" t="s">
        <v>978</v>
      </c>
      <c r="G507" s="45" t="s">
        <v>807</v>
      </c>
      <c r="H507" s="46" t="s">
        <v>965</v>
      </c>
      <c r="I507" s="46" t="s">
        <v>966</v>
      </c>
      <c r="J507" s="47" t="s">
        <v>31</v>
      </c>
      <c r="K507" s="48" t="s">
        <v>32</v>
      </c>
      <c r="L507" s="43">
        <v>1</v>
      </c>
      <c r="M507" s="43" t="s">
        <v>24</v>
      </c>
      <c r="N507" s="43" t="s">
        <v>25</v>
      </c>
      <c r="O507" s="42" t="s">
        <v>21</v>
      </c>
      <c r="P507" s="56"/>
    </row>
    <row r="508" spans="1:16" customFormat="1" x14ac:dyDescent="0.25">
      <c r="A508" t="str">
        <f t="shared" si="7"/>
        <v>SMARTROAD_AID_SLOW_VEHICLE-Veicolo lento</v>
      </c>
      <c r="B508" t="str">
        <f>VLOOKUP(A508,'EXPORT IRIS PROD 13-11-2024'!A:A,1,0)</f>
        <v>SMARTROAD_AID_SLOW_VEHICLE-Veicolo lento</v>
      </c>
      <c r="C508" t="str">
        <f>VLOOKUP(F508,'EXPORT IRIS PROD 13-11-2024'!F:F,1,0)</f>
        <v>SMARTROAD_AID_SLOW_VEHICLE</v>
      </c>
      <c r="D508" t="str">
        <f>VLOOKUP(G508,'EXPORT IRIS PROD 13-11-2024'!D:D,1,0)</f>
        <v>Veicolo lento</v>
      </c>
      <c r="E508" s="37" t="s">
        <v>979</v>
      </c>
      <c r="F508" s="38" t="s">
        <v>980</v>
      </c>
      <c r="G508" s="45" t="s">
        <v>981</v>
      </c>
      <c r="H508" s="46" t="s">
        <v>965</v>
      </c>
      <c r="I508" s="46" t="s">
        <v>966</v>
      </c>
      <c r="J508" s="47" t="s">
        <v>31</v>
      </c>
      <c r="K508" s="48" t="s">
        <v>32</v>
      </c>
      <c r="L508" s="43">
        <v>1</v>
      </c>
      <c r="M508" s="43" t="s">
        <v>24</v>
      </c>
      <c r="N508" s="43" t="s">
        <v>25</v>
      </c>
      <c r="O508" s="42" t="s">
        <v>21</v>
      </c>
      <c r="P508" s="49"/>
    </row>
    <row r="509" spans="1:16" x14ac:dyDescent="0.25">
      <c r="A509" t="str">
        <f t="shared" si="7"/>
        <v>SMARTROAD_AID_SLOWDOWN-Rallentamento</v>
      </c>
      <c r="B509" t="str">
        <f>VLOOKUP(A509,'EXPORT IRIS PROD 13-11-2024'!A:A,1,0)</f>
        <v>SMARTROAD_AID_SLOWDOWN-Rallentamento</v>
      </c>
      <c r="C509" t="str">
        <f>VLOOKUP(F509,'EXPORT IRIS PROD 13-11-2024'!F:F,1,0)</f>
        <v>SMARTROAD_AID_SLOWDOWN</v>
      </c>
      <c r="D509" t="str">
        <f>VLOOKUP(G509,'EXPORT IRIS PROD 13-11-2024'!D:D,1,0)</f>
        <v>Rallentamento</v>
      </c>
      <c r="E509" s="37" t="s">
        <v>822</v>
      </c>
      <c r="F509" s="38" t="s">
        <v>982</v>
      </c>
      <c r="G509" s="45" t="s">
        <v>822</v>
      </c>
      <c r="H509" s="46" t="s">
        <v>965</v>
      </c>
      <c r="I509" s="46" t="s">
        <v>966</v>
      </c>
      <c r="J509" s="47" t="s">
        <v>31</v>
      </c>
      <c r="K509" s="48" t="s">
        <v>32</v>
      </c>
      <c r="L509" s="43">
        <v>1</v>
      </c>
      <c r="M509" s="43" t="s">
        <v>24</v>
      </c>
      <c r="N509" s="43" t="s">
        <v>25</v>
      </c>
      <c r="O509" s="42" t="s">
        <v>21</v>
      </c>
      <c r="P509" s="49"/>
    </row>
    <row r="510" spans="1:16" x14ac:dyDescent="0.25">
      <c r="A510" t="str">
        <f t="shared" si="7"/>
        <v>SMARTROAD_AID_STATIONARY_VEHICLE-Veicolo fermo</v>
      </c>
      <c r="B510" t="str">
        <f>VLOOKUP(A510,'EXPORT IRIS PROD 13-11-2024'!A:A,1,0)</f>
        <v>SMARTROAD_AID_STATIONARY_VEHICLE-Veicolo fermo</v>
      </c>
      <c r="C510" t="str">
        <f>VLOOKUP(F510,'EXPORT IRIS PROD 13-11-2024'!F:F,1,0)</f>
        <v>SMARTROAD_AID_STATIONARY_VEHICLE</v>
      </c>
      <c r="D510" t="str">
        <f>VLOOKUP(G510,'EXPORT IRIS PROD 13-11-2024'!D:D,1,0)</f>
        <v>Veicolo fermo</v>
      </c>
      <c r="E510" s="37" t="s">
        <v>983</v>
      </c>
      <c r="F510" s="38" t="s">
        <v>984</v>
      </c>
      <c r="G510" s="45" t="s">
        <v>985</v>
      </c>
      <c r="H510" s="46" t="s">
        <v>965</v>
      </c>
      <c r="I510" s="46" t="s">
        <v>966</v>
      </c>
      <c r="J510" s="47" t="s">
        <v>31</v>
      </c>
      <c r="K510" s="48" t="s">
        <v>32</v>
      </c>
      <c r="L510" s="43">
        <v>1</v>
      </c>
      <c r="M510" s="43" t="s">
        <v>33</v>
      </c>
      <c r="N510" s="43" t="s">
        <v>34</v>
      </c>
      <c r="O510" s="43" t="s">
        <v>31</v>
      </c>
      <c r="P510" s="49"/>
    </row>
    <row r="511" spans="1:16" x14ac:dyDescent="0.25">
      <c r="A511" t="str">
        <f t="shared" si="7"/>
        <v>SMARTROAD_AID_SUDDEN_SLOWDOWN-Rallentamento improvviso</v>
      </c>
      <c r="B511" t="str">
        <f>VLOOKUP(A511,'EXPORT IRIS PROD 13-11-2024'!A:A,1,0)</f>
        <v>SMARTROAD_AID_SUDDEN_SLOWDOWN-Rallentamento improvviso</v>
      </c>
      <c r="C511" t="str">
        <f>VLOOKUP(F511,'EXPORT IRIS PROD 13-11-2024'!F:F,1,0)</f>
        <v>SMARTROAD_AID_SUDDEN_SLOWDOWN</v>
      </c>
      <c r="D511" t="str">
        <f>VLOOKUP(G511,'EXPORT IRIS PROD 13-11-2024'!D:D,1,0)</f>
        <v>Rallentamento improvviso</v>
      </c>
      <c r="E511" s="37" t="s">
        <v>822</v>
      </c>
      <c r="F511" s="38" t="s">
        <v>986</v>
      </c>
      <c r="G511" s="45" t="s">
        <v>987</v>
      </c>
      <c r="H511" s="46" t="s">
        <v>965</v>
      </c>
      <c r="I511" s="46" t="s">
        <v>966</v>
      </c>
      <c r="J511" s="47" t="s">
        <v>31</v>
      </c>
      <c r="K511" s="48" t="s">
        <v>32</v>
      </c>
      <c r="L511" s="43">
        <v>1</v>
      </c>
      <c r="M511" s="43" t="s">
        <v>24</v>
      </c>
      <c r="N511" s="43" t="s">
        <v>25</v>
      </c>
      <c r="O511" s="42" t="s">
        <v>21</v>
      </c>
      <c r="P511" s="49"/>
    </row>
    <row r="512" spans="1:16" x14ac:dyDescent="0.25">
      <c r="A512" t="str">
        <f t="shared" si="7"/>
        <v>SMARTROAD_AID_WRONG_DIRECTION-Contromano</v>
      </c>
      <c r="B512" t="str">
        <f>VLOOKUP(A512,'EXPORT IRIS PROD 13-11-2024'!A:A,1,0)</f>
        <v>SMARTROAD_AID_WRONG_DIRECTION-Contromano</v>
      </c>
      <c r="C512" t="str">
        <f>VLOOKUP(F512,'EXPORT IRIS PROD 13-11-2024'!F:F,1,0)</f>
        <v>SMARTROAD_AID_WRONG_DIRECTION</v>
      </c>
      <c r="D512" t="str">
        <f>VLOOKUP(G512,'EXPORT IRIS PROD 13-11-2024'!D:D,1,0)</f>
        <v>Contromano</v>
      </c>
      <c r="E512" s="37" t="s">
        <v>988</v>
      </c>
      <c r="F512" s="38" t="s">
        <v>989</v>
      </c>
      <c r="G512" s="45" t="s">
        <v>990</v>
      </c>
      <c r="H512" s="46" t="s">
        <v>965</v>
      </c>
      <c r="I512" s="46" t="s">
        <v>966</v>
      </c>
      <c r="J512" s="47" t="s">
        <v>31</v>
      </c>
      <c r="K512" s="48" t="s">
        <v>32</v>
      </c>
      <c r="L512" s="43">
        <v>1</v>
      </c>
      <c r="M512" s="43" t="s">
        <v>33</v>
      </c>
      <c r="N512" s="43" t="s">
        <v>34</v>
      </c>
      <c r="O512" s="43" t="s">
        <v>31</v>
      </c>
      <c r="P512" s="49"/>
    </row>
    <row r="513" spans="1:16" x14ac:dyDescent="0.25">
      <c r="A513" t="str">
        <f t="shared" si="7"/>
        <v>SMARTROAD_BUILDING_BATTERY_PERCENTAGE-Batteria del dispositivo sotto il 30%</v>
      </c>
      <c r="B513" t="str">
        <f>VLOOKUP(A513,'EXPORT IRIS PROD 13-11-2024'!A:A,1,0)</f>
        <v>SMARTROAD_BUILDING_BATTERY_PERCENTAGE-Batteria del dispositivo sotto il 30%</v>
      </c>
      <c r="C513" t="str">
        <f>VLOOKUP(F513,'EXPORT IRIS PROD 13-11-2024'!F:F,1,0)</f>
        <v>SMARTROAD_BUILDING_BATTERY_PERCENTAGE</v>
      </c>
      <c r="D513" t="str">
        <f>VLOOKUP(G513,'EXPORT IRIS PROD 13-11-2024'!D:D,1,0)</f>
        <v>Batteria del dispositivo sotto il 30%</v>
      </c>
      <c r="E513" s="37" t="s">
        <v>991</v>
      </c>
      <c r="F513" s="38" t="s">
        <v>992</v>
      </c>
      <c r="G513" s="38" t="s">
        <v>993</v>
      </c>
      <c r="H513" s="39" t="s">
        <v>994</v>
      </c>
      <c r="I513" s="39" t="s">
        <v>995</v>
      </c>
      <c r="J513" s="40" t="s">
        <v>21</v>
      </c>
      <c r="K513" s="41" t="s">
        <v>22</v>
      </c>
      <c r="L513" s="42" t="s">
        <v>23</v>
      </c>
      <c r="M513" s="43" t="s">
        <v>24</v>
      </c>
      <c r="N513" s="42" t="s">
        <v>25</v>
      </c>
      <c r="O513" s="42" t="s">
        <v>21</v>
      </c>
      <c r="P513" s="44"/>
    </row>
    <row r="514" spans="1:16" x14ac:dyDescent="0.25">
      <c r="A514" t="str">
        <f t="shared" si="7"/>
        <v>SMARTROAD_BUILDING_OVERTURN-Dispositivo ribaltato</v>
      </c>
      <c r="B514" t="str">
        <f>VLOOKUP(A514,'EXPORT IRIS PROD 13-11-2024'!A:A,1,0)</f>
        <v>SMARTROAD_BUILDING_OVERTURN-Dispositivo ribaltato</v>
      </c>
      <c r="C514" t="str">
        <f>VLOOKUP(F514,'EXPORT IRIS PROD 13-11-2024'!F:F,1,0)</f>
        <v>SMARTROAD_BUILDING_OVERTURN</v>
      </c>
      <c r="D514" t="str">
        <f>VLOOKUP(G514,'EXPORT IRIS PROD 13-11-2024'!D:D,1,0)</f>
        <v>Dispositivo ribaltato</v>
      </c>
      <c r="E514" s="37" t="s">
        <v>991</v>
      </c>
      <c r="F514" s="38" t="s">
        <v>996</v>
      </c>
      <c r="G514" s="38" t="s">
        <v>997</v>
      </c>
      <c r="H514" s="39" t="s">
        <v>994</v>
      </c>
      <c r="I514" s="39" t="s">
        <v>995</v>
      </c>
      <c r="J514" s="40" t="s">
        <v>21</v>
      </c>
      <c r="K514" s="41" t="s">
        <v>22</v>
      </c>
      <c r="L514" s="42" t="s">
        <v>23</v>
      </c>
      <c r="M514" s="43" t="s">
        <v>24</v>
      </c>
      <c r="N514" s="42" t="s">
        <v>25</v>
      </c>
      <c r="O514" s="42" t="s">
        <v>21</v>
      </c>
      <c r="P514" s="44"/>
    </row>
    <row r="515" spans="1:16" x14ac:dyDescent="0.25">
      <c r="A515" t="str">
        <f t="shared" ref="A515:A578" si="8">CONCATENATE(F515,"-",G515)</f>
        <v>SMARTROAD_BUILDING_SHIFT-Dispositivo spostato</v>
      </c>
      <c r="B515" t="str">
        <f>VLOOKUP(A515,'EXPORT IRIS PROD 13-11-2024'!A:A,1,0)</f>
        <v>SMARTROAD_BUILDING_SHIFT-Dispositivo spostato</v>
      </c>
      <c r="C515" t="str">
        <f>VLOOKUP(F515,'EXPORT IRIS PROD 13-11-2024'!F:F,1,0)</f>
        <v>SMARTROAD_BUILDING_SHIFT</v>
      </c>
      <c r="D515" t="str">
        <f>VLOOKUP(G515,'EXPORT IRIS PROD 13-11-2024'!D:D,1,0)</f>
        <v>Dispositivo spostato</v>
      </c>
      <c r="E515" s="37" t="s">
        <v>991</v>
      </c>
      <c r="F515" s="38" t="s">
        <v>998</v>
      </c>
      <c r="G515" s="38" t="s">
        <v>999</v>
      </c>
      <c r="H515" s="39" t="s">
        <v>994</v>
      </c>
      <c r="I515" s="39" t="s">
        <v>995</v>
      </c>
      <c r="J515" s="40" t="s">
        <v>21</v>
      </c>
      <c r="K515" s="41" t="s">
        <v>22</v>
      </c>
      <c r="L515" s="42" t="s">
        <v>23</v>
      </c>
      <c r="M515" s="43" t="s">
        <v>24</v>
      </c>
      <c r="N515" s="42" t="s">
        <v>25</v>
      </c>
      <c r="O515" s="42" t="s">
        <v>21</v>
      </c>
      <c r="P515" s="44"/>
    </row>
    <row r="516" spans="1:16" x14ac:dyDescent="0.25">
      <c r="A516" t="str">
        <f t="shared" si="8"/>
        <v>SMARTROAD_BUILDING_SHOCK-Dispositivo urtato</v>
      </c>
      <c r="B516" t="str">
        <f>VLOOKUP(A516,'EXPORT IRIS PROD 13-11-2024'!A:A,1,0)</f>
        <v>SMARTROAD_BUILDING_SHOCK-Dispositivo urtato</v>
      </c>
      <c r="C516" t="str">
        <f>VLOOKUP(F516,'EXPORT IRIS PROD 13-11-2024'!F:F,1,0)</f>
        <v>SMARTROAD_BUILDING_SHOCK</v>
      </c>
      <c r="D516" t="str">
        <f>VLOOKUP(G516,'EXPORT IRIS PROD 13-11-2024'!D:D,1,0)</f>
        <v>Dispositivo urtato</v>
      </c>
      <c r="E516" s="37" t="s">
        <v>991</v>
      </c>
      <c r="F516" s="38" t="s">
        <v>1000</v>
      </c>
      <c r="G516" s="38" t="s">
        <v>1001</v>
      </c>
      <c r="H516" s="39" t="s">
        <v>994</v>
      </c>
      <c r="I516" s="39" t="s">
        <v>995</v>
      </c>
      <c r="J516" s="40" t="s">
        <v>21</v>
      </c>
      <c r="K516" s="41" t="s">
        <v>22</v>
      </c>
      <c r="L516" s="42" t="s">
        <v>23</v>
      </c>
      <c r="M516" s="43" t="s">
        <v>24</v>
      </c>
      <c r="N516" s="42" t="s">
        <v>25</v>
      </c>
      <c r="O516" s="42" t="s">
        <v>21</v>
      </c>
      <c r="P516" s="44"/>
    </row>
    <row r="517" spans="1:16" x14ac:dyDescent="0.25">
      <c r="A517" t="str">
        <f t="shared" si="8"/>
        <v>SMARTROAD_WEATHER_FALLINGSNOW-Neve</v>
      </c>
      <c r="B517" t="str">
        <f>VLOOKUP(A517,'EXPORT IRIS PROD 13-11-2024'!A:A,1,0)</f>
        <v>SMARTROAD_WEATHER_FALLINGSNOW-Neve</v>
      </c>
      <c r="C517" t="str">
        <f>VLOOKUP(F517,'EXPORT IRIS PROD 13-11-2024'!F:F,1,0)</f>
        <v>SMARTROAD_WEATHER_FALLINGSNOW</v>
      </c>
      <c r="D517" t="str">
        <f>VLOOKUP(G517,'EXPORT IRIS PROD 13-11-2024'!D:D,1,0)</f>
        <v>Neve</v>
      </c>
      <c r="E517" s="37" t="s">
        <v>1002</v>
      </c>
      <c r="F517" s="38" t="s">
        <v>1003</v>
      </c>
      <c r="G517" s="45" t="s">
        <v>1004</v>
      </c>
      <c r="H517" s="46" t="s">
        <v>965</v>
      </c>
      <c r="I517" s="46" t="s">
        <v>966</v>
      </c>
      <c r="J517" s="47" t="s">
        <v>31</v>
      </c>
      <c r="K517" s="48" t="s">
        <v>32</v>
      </c>
      <c r="L517" s="43">
        <v>5</v>
      </c>
      <c r="M517" s="43" t="s">
        <v>157</v>
      </c>
      <c r="N517" s="43" t="s">
        <v>158</v>
      </c>
      <c r="O517" s="42" t="s">
        <v>21</v>
      </c>
      <c r="P517" s="56"/>
    </row>
    <row r="518" spans="1:16" x14ac:dyDescent="0.25">
      <c r="A518" t="str">
        <f t="shared" si="8"/>
        <v>SMARTROAD_WEATHER_LAST_DATA-Connessione perduta</v>
      </c>
      <c r="B518" t="str">
        <f>VLOOKUP(A518,'EXPORT IRIS PROD 13-11-2024'!A:A,1,0)</f>
        <v>SMARTROAD_WEATHER_LAST_DATA-Connessione perduta</v>
      </c>
      <c r="C518" t="str">
        <f>VLOOKUP(F518,'EXPORT IRIS PROD 13-11-2024'!F:F,1,0)</f>
        <v>SMARTROAD_WEATHER_LAST_DATA</v>
      </c>
      <c r="D518" t="str">
        <f>VLOOKUP(G518,'EXPORT IRIS PROD 13-11-2024'!D:D,1,0)</f>
        <v>Connessione perduta</v>
      </c>
      <c r="E518" s="37" t="s">
        <v>198</v>
      </c>
      <c r="F518" s="38" t="s">
        <v>1005</v>
      </c>
      <c r="G518" s="38" t="s">
        <v>1006</v>
      </c>
      <c r="H518" s="39" t="s">
        <v>965</v>
      </c>
      <c r="I518" s="39" t="s">
        <v>966</v>
      </c>
      <c r="J518" s="40" t="s">
        <v>21</v>
      </c>
      <c r="K518" s="41" t="s">
        <v>22</v>
      </c>
      <c r="L518" s="42" t="s">
        <v>23</v>
      </c>
      <c r="M518" s="43" t="s">
        <v>24</v>
      </c>
      <c r="N518" s="42" t="s">
        <v>25</v>
      </c>
      <c r="O518" s="42" t="s">
        <v>21</v>
      </c>
      <c r="P518" s="44"/>
    </row>
    <row r="519" spans="1:16" x14ac:dyDescent="0.25">
      <c r="A519" t="str">
        <f t="shared" si="8"/>
        <v>SMARTROAD_WEATHER_RAIN-Pioggia</v>
      </c>
      <c r="B519" t="str">
        <f>VLOOKUP(A519,'EXPORT IRIS PROD 13-11-2024'!A:A,1,0)</f>
        <v>SMARTROAD_WEATHER_RAIN-Pioggia</v>
      </c>
      <c r="C519" t="str">
        <f>VLOOKUP(F519,'EXPORT IRIS PROD 13-11-2024'!F:F,1,0)</f>
        <v>SMARTROAD_WEATHER_RAIN</v>
      </c>
      <c r="D519" t="str">
        <f>VLOOKUP(G519,'EXPORT IRIS PROD 13-11-2024'!D:D,1,0)</f>
        <v>Pioggia</v>
      </c>
      <c r="E519" s="37" t="s">
        <v>1002</v>
      </c>
      <c r="F519" s="38" t="s">
        <v>1007</v>
      </c>
      <c r="G519" s="45" t="s">
        <v>1008</v>
      </c>
      <c r="H519" s="46" t="s">
        <v>965</v>
      </c>
      <c r="I519" s="46" t="s">
        <v>966</v>
      </c>
      <c r="J519" s="47" t="s">
        <v>31</v>
      </c>
      <c r="K519" s="58" t="s">
        <v>32</v>
      </c>
      <c r="L519" s="43">
        <v>5</v>
      </c>
      <c r="M519" s="43" t="s">
        <v>157</v>
      </c>
      <c r="N519" s="43" t="s">
        <v>158</v>
      </c>
      <c r="O519" s="42" t="s">
        <v>21</v>
      </c>
      <c r="P519" s="49"/>
    </row>
    <row r="520" spans="1:16" x14ac:dyDescent="0.25">
      <c r="A520" t="str">
        <f t="shared" si="8"/>
        <v>SMARTROAD_WEATHER_SNOWY_ROAD-Presenza di neve sulla strada</v>
      </c>
      <c r="B520" t="str">
        <f>VLOOKUP(A520,'EXPORT IRIS PROD 13-11-2024'!A:A,1,0)</f>
        <v>SMARTROAD_WEATHER_SNOWY_ROAD-Presenza di neve sulla strada</v>
      </c>
      <c r="C520" t="str">
        <f>VLOOKUP(F520,'EXPORT IRIS PROD 13-11-2024'!F:F,1,0)</f>
        <v>SMARTROAD_WEATHER_SNOWY_ROAD</v>
      </c>
      <c r="D520" t="str">
        <f>VLOOKUP(G520,'EXPORT IRIS PROD 13-11-2024'!D:D,1,0)</f>
        <v>Presenza di neve sulla strada</v>
      </c>
      <c r="E520" s="37" t="s">
        <v>1002</v>
      </c>
      <c r="F520" s="38" t="s">
        <v>1009</v>
      </c>
      <c r="G520" s="45" t="s">
        <v>1010</v>
      </c>
      <c r="H520" s="46" t="s">
        <v>965</v>
      </c>
      <c r="I520" s="46" t="s">
        <v>966</v>
      </c>
      <c r="J520" s="47" t="s">
        <v>31</v>
      </c>
      <c r="K520" s="48" t="s">
        <v>32</v>
      </c>
      <c r="L520" s="43">
        <v>5</v>
      </c>
      <c r="M520" s="43" t="s">
        <v>157</v>
      </c>
      <c r="N520" s="43" t="s">
        <v>158</v>
      </c>
      <c r="O520" s="42" t="s">
        <v>21</v>
      </c>
      <c r="P520" s="49"/>
    </row>
    <row r="521" spans="1:16" x14ac:dyDescent="0.25">
      <c r="A521" t="str">
        <f t="shared" si="8"/>
        <v>SMARTROAD_WEATHER_TEMPERATURE-Bassa temperatura</v>
      </c>
      <c r="B521" t="str">
        <f>VLOOKUP(A521,'EXPORT IRIS PROD 13-11-2024'!A:A,1,0)</f>
        <v>SMARTROAD_WEATHER_TEMPERATURE-Bassa temperatura</v>
      </c>
      <c r="C521" t="str">
        <f>VLOOKUP(F521,'EXPORT IRIS PROD 13-11-2024'!F:F,1,0)</f>
        <v>SMARTROAD_WEATHER_TEMPERATURE</v>
      </c>
      <c r="D521" t="str">
        <f>VLOOKUP(G521,'EXPORT IRIS PROD 13-11-2024'!D:D,1,0)</f>
        <v>Bassa temperatura</v>
      </c>
      <c r="E521" s="37" t="s">
        <v>1002</v>
      </c>
      <c r="F521" s="38" t="s">
        <v>1011</v>
      </c>
      <c r="G521" s="45" t="s">
        <v>1012</v>
      </c>
      <c r="H521" s="46" t="s">
        <v>965</v>
      </c>
      <c r="I521" s="46" t="s">
        <v>966</v>
      </c>
      <c r="J521" s="47" t="s">
        <v>31</v>
      </c>
      <c r="K521" s="48" t="s">
        <v>32</v>
      </c>
      <c r="L521" s="43">
        <v>5</v>
      </c>
      <c r="M521" s="43" t="s">
        <v>157</v>
      </c>
      <c r="N521" s="43" t="s">
        <v>158</v>
      </c>
      <c r="O521" s="42" t="s">
        <v>21</v>
      </c>
      <c r="P521" s="49"/>
    </row>
    <row r="522" spans="1:16" x14ac:dyDescent="0.25">
      <c r="A522" t="str">
        <f t="shared" si="8"/>
        <v>SMARTROAD_WEATHER_TOTAL_RAIN-Precipitazioni intense [mm]</v>
      </c>
      <c r="B522" t="str">
        <f>VLOOKUP(A522,'EXPORT IRIS PROD 13-11-2024'!A:A,1,0)</f>
        <v>SMARTROAD_WEATHER_TOTAL_RAIN-Precipitazioni intense [mm]</v>
      </c>
      <c r="C522" t="str">
        <f>VLOOKUP(F522,'EXPORT IRIS PROD 13-11-2024'!F:F,1,0)</f>
        <v>SMARTROAD_WEATHER_TOTAL_RAIN</v>
      </c>
      <c r="D522" t="str">
        <f>VLOOKUP(G522,'EXPORT IRIS PROD 13-11-2024'!D:D,1,0)</f>
        <v>Precipitazioni intense [mm]</v>
      </c>
      <c r="E522" s="37" t="s">
        <v>1002</v>
      </c>
      <c r="F522" s="38" t="s">
        <v>1013</v>
      </c>
      <c r="G522" s="45" t="s">
        <v>1014</v>
      </c>
      <c r="H522" s="46" t="s">
        <v>965</v>
      </c>
      <c r="I522" s="46" t="s">
        <v>966</v>
      </c>
      <c r="J522" s="47" t="s">
        <v>31</v>
      </c>
      <c r="K522" s="48" t="s">
        <v>32</v>
      </c>
      <c r="L522" s="43">
        <v>5</v>
      </c>
      <c r="M522" s="43" t="s">
        <v>157</v>
      </c>
      <c r="N522" s="43" t="s">
        <v>158</v>
      </c>
      <c r="O522" s="42" t="s">
        <v>21</v>
      </c>
      <c r="P522" s="49"/>
    </row>
    <row r="523" spans="1:16" x14ac:dyDescent="0.25">
      <c r="A523" t="str">
        <f t="shared" si="8"/>
        <v>SMARTROAD_WEATHER_VISIBILITY-Bassa visibilità</v>
      </c>
      <c r="B523" t="str">
        <f>VLOOKUP(A523,'EXPORT IRIS PROD 13-11-2024'!A:A,1,0)</f>
        <v>SMARTROAD_WEATHER_VISIBILITY-Bassa visibilità</v>
      </c>
      <c r="C523" t="str">
        <f>VLOOKUP(F523,'EXPORT IRIS PROD 13-11-2024'!F:F,1,0)</f>
        <v>SMARTROAD_WEATHER_VISIBILITY</v>
      </c>
      <c r="D523" t="str">
        <f>VLOOKUP(G523,'EXPORT IRIS PROD 13-11-2024'!D:D,1,0)</f>
        <v>Bassa visibilità</v>
      </c>
      <c r="E523" s="37" t="s">
        <v>1002</v>
      </c>
      <c r="F523" s="38" t="s">
        <v>1015</v>
      </c>
      <c r="G523" s="45" t="s">
        <v>1016</v>
      </c>
      <c r="H523" s="46" t="s">
        <v>965</v>
      </c>
      <c r="I523" s="46" t="s">
        <v>966</v>
      </c>
      <c r="J523" s="47" t="s">
        <v>31</v>
      </c>
      <c r="K523" s="58" t="s">
        <v>32</v>
      </c>
      <c r="L523" s="43">
        <v>5</v>
      </c>
      <c r="M523" s="43" t="s">
        <v>157</v>
      </c>
      <c r="N523" s="43" t="s">
        <v>158</v>
      </c>
      <c r="O523" s="42" t="s">
        <v>21</v>
      </c>
      <c r="P523" s="49"/>
    </row>
    <row r="524" spans="1:16" x14ac:dyDescent="0.25">
      <c r="A524" t="str">
        <f t="shared" si="8"/>
        <v>TELECAMERA_SPOSTATA_CORSIA_1-Allarme telecamera spostata corsia di emergenza</v>
      </c>
      <c r="B524" t="str">
        <f>VLOOKUP(A524,'EXPORT IRIS PROD 13-11-2024'!A:A,1,0)</f>
        <v>TELECAMERA_SPOSTATA_CORSIA_1-Allarme telecamera spostata corsia di emergenza</v>
      </c>
      <c r="C524" t="str">
        <f>VLOOKUP(F524,'EXPORT IRIS PROD 13-11-2024'!F:F,1,0)</f>
        <v>TELECAMERA_SPOSTATA_CORSIA_1</v>
      </c>
      <c r="D524" t="str">
        <f>VLOOKUP(G524,'EXPORT IRIS PROD 13-11-2024'!D:D,1,0)</f>
        <v>Allarme telecamera spostata corsia di emergenza</v>
      </c>
      <c r="E524" s="37" t="s">
        <v>1017</v>
      </c>
      <c r="F524" s="38" t="s">
        <v>1018</v>
      </c>
      <c r="G524" s="38" t="s">
        <v>1019</v>
      </c>
      <c r="H524" s="39" t="s">
        <v>201</v>
      </c>
      <c r="I524" s="39" t="s">
        <v>263</v>
      </c>
      <c r="J524" s="40" t="s">
        <v>31</v>
      </c>
      <c r="K524" s="41" t="s">
        <v>32</v>
      </c>
      <c r="L524" s="42">
        <v>4</v>
      </c>
      <c r="M524" s="43" t="s">
        <v>157</v>
      </c>
      <c r="N524" s="42" t="s">
        <v>158</v>
      </c>
      <c r="O524" s="42" t="s">
        <v>21</v>
      </c>
      <c r="P524" s="44"/>
    </row>
    <row r="525" spans="1:16" x14ac:dyDescent="0.25">
      <c r="A525" t="str">
        <f t="shared" si="8"/>
        <v>TELECAMERA_SPOSTATA_CORSIA_2-Allarme telecamera spostata corsia di marcia</v>
      </c>
      <c r="B525" t="str">
        <f>VLOOKUP(A525,'EXPORT IRIS PROD 13-11-2024'!A:A,1,0)</f>
        <v>TELECAMERA_SPOSTATA_CORSIA_2-Allarme telecamera spostata corsia di marcia</v>
      </c>
      <c r="C525" t="str">
        <f>VLOOKUP(F525,'EXPORT IRIS PROD 13-11-2024'!F:F,1,0)</f>
        <v>TELECAMERA_SPOSTATA_CORSIA_2</v>
      </c>
      <c r="D525" t="str">
        <f>VLOOKUP(G525,'EXPORT IRIS PROD 13-11-2024'!D:D,1,0)</f>
        <v>Allarme telecamera spostata corsia di marcia</v>
      </c>
      <c r="E525" s="37" t="s">
        <v>1017</v>
      </c>
      <c r="F525" s="38" t="s">
        <v>1020</v>
      </c>
      <c r="G525" s="38" t="s">
        <v>1021</v>
      </c>
      <c r="H525" s="39" t="s">
        <v>201</v>
      </c>
      <c r="I525" s="39" t="s">
        <v>263</v>
      </c>
      <c r="J525" s="40" t="s">
        <v>31</v>
      </c>
      <c r="K525" s="41" t="s">
        <v>32</v>
      </c>
      <c r="L525" s="42">
        <v>4</v>
      </c>
      <c r="M525" s="43" t="s">
        <v>157</v>
      </c>
      <c r="N525" s="42" t="s">
        <v>158</v>
      </c>
      <c r="O525" s="42" t="s">
        <v>21</v>
      </c>
      <c r="P525" s="44"/>
    </row>
    <row r="526" spans="1:16" x14ac:dyDescent="0.25">
      <c r="A526" t="str">
        <f t="shared" si="8"/>
        <v>TELECAMERA_SPOSTATA_CORSIA_3-Allarme telecamera spostata corsia veloce</v>
      </c>
      <c r="B526" t="str">
        <f>VLOOKUP(A526,'EXPORT IRIS PROD 13-11-2024'!A:A,1,0)</f>
        <v>TELECAMERA_SPOSTATA_CORSIA_3-Allarme telecamera spostata corsia veloce</v>
      </c>
      <c r="C526" t="str">
        <f>VLOOKUP(F526,'EXPORT IRIS PROD 13-11-2024'!F:F,1,0)</f>
        <v>TELECAMERA_SPOSTATA_CORSIA_3</v>
      </c>
      <c r="D526" t="str">
        <f>VLOOKUP(G526,'EXPORT IRIS PROD 13-11-2024'!D:D,1,0)</f>
        <v>Allarme telecamera spostata corsia veloce</v>
      </c>
      <c r="E526" s="37" t="s">
        <v>1017</v>
      </c>
      <c r="F526" s="38" t="s">
        <v>1022</v>
      </c>
      <c r="G526" s="38" t="s">
        <v>1023</v>
      </c>
      <c r="H526" s="39" t="s">
        <v>201</v>
      </c>
      <c r="I526" s="39" t="s">
        <v>263</v>
      </c>
      <c r="J526" s="40" t="s">
        <v>31</v>
      </c>
      <c r="K526" s="41" t="s">
        <v>32</v>
      </c>
      <c r="L526" s="42">
        <v>4</v>
      </c>
      <c r="M526" s="43" t="s">
        <v>157</v>
      </c>
      <c r="N526" s="42" t="s">
        <v>158</v>
      </c>
      <c r="O526" s="42" t="s">
        <v>21</v>
      </c>
      <c r="P526" s="44"/>
    </row>
    <row r="527" spans="1:16" x14ac:dyDescent="0.25">
      <c r="A527" t="str">
        <f t="shared" si="8"/>
        <v>TEMPERATURA-Allarme temperatura</v>
      </c>
      <c r="B527" t="str">
        <f>VLOOKUP(A527,'EXPORT IRIS PROD 13-11-2024'!A:A,1,0)</f>
        <v>TEMPERATURA-Allarme temperatura</v>
      </c>
      <c r="C527" t="str">
        <f>VLOOKUP(F527,'EXPORT IRIS PROD 13-11-2024'!F:F,1,0)</f>
        <v>TEMPERATURA</v>
      </c>
      <c r="D527" t="str">
        <f>VLOOKUP(G527,'EXPORT IRIS PROD 13-11-2024'!D:D,1,0)</f>
        <v>Allarme temperatura</v>
      </c>
      <c r="E527" s="37" t="s">
        <v>85</v>
      </c>
      <c r="F527" s="38" t="s">
        <v>1024</v>
      </c>
      <c r="G527" s="38" t="s">
        <v>1025</v>
      </c>
      <c r="H527" s="39" t="s">
        <v>50</v>
      </c>
      <c r="I527" s="39" t="s">
        <v>124</v>
      </c>
      <c r="J527" s="40" t="s">
        <v>21</v>
      </c>
      <c r="K527" s="41" t="s">
        <v>22</v>
      </c>
      <c r="L527" s="42" t="s">
        <v>23</v>
      </c>
      <c r="M527" s="43" t="s">
        <v>24</v>
      </c>
      <c r="N527" s="42" t="s">
        <v>25</v>
      </c>
      <c r="O527" s="42" t="s">
        <v>21</v>
      </c>
      <c r="P527" s="44"/>
    </row>
    <row r="528" spans="1:16" x14ac:dyDescent="0.25">
      <c r="A528" t="str">
        <f t="shared" si="8"/>
        <v>TRAFFICO_RALLENTATO-Allarme traffico rallentato</v>
      </c>
      <c r="B528" t="str">
        <f>VLOOKUP(A528,'EXPORT IRIS PROD 13-11-2024'!A:A,1,0)</f>
        <v>TRAFFICO_RALLENTATO-Allarme traffico rallentato</v>
      </c>
      <c r="C528" t="str">
        <f>VLOOKUP(F528,'EXPORT IRIS PROD 13-11-2024'!F:F,1,0)</f>
        <v>TRAFFICO_RALLENTATO</v>
      </c>
      <c r="D528" t="str">
        <f>VLOOKUP(G528,'EXPORT IRIS PROD 13-11-2024'!D:D,1,0)</f>
        <v>Allarme traffico rallentato</v>
      </c>
      <c r="E528" s="37" t="s">
        <v>822</v>
      </c>
      <c r="F528" s="38" t="s">
        <v>1026</v>
      </c>
      <c r="G528" s="45" t="s">
        <v>1027</v>
      </c>
      <c r="H528" s="46" t="s">
        <v>201</v>
      </c>
      <c r="I528" s="46" t="s">
        <v>380</v>
      </c>
      <c r="J528" s="47" t="s">
        <v>31</v>
      </c>
      <c r="K528" s="48" t="s">
        <v>32</v>
      </c>
      <c r="L528" s="43">
        <v>1</v>
      </c>
      <c r="M528" s="43" t="s">
        <v>24</v>
      </c>
      <c r="N528" s="43" t="s">
        <v>25</v>
      </c>
      <c r="O528" s="42" t="s">
        <v>21</v>
      </c>
      <c r="P528" s="49"/>
    </row>
    <row r="529" spans="1:16" x14ac:dyDescent="0.25">
      <c r="A529" t="str">
        <f t="shared" si="8"/>
        <v>TRAFFICO_RALLENTATO-Allarme traffico rallentato</v>
      </c>
      <c r="B529" t="str">
        <f>VLOOKUP(A529,'EXPORT IRIS PROD 13-11-2024'!A:A,1,0)</f>
        <v>TRAFFICO_RALLENTATO-Allarme traffico rallentato</v>
      </c>
      <c r="C529" t="str">
        <f>VLOOKUP(F529,'EXPORT IRIS PROD 13-11-2024'!F:F,1,0)</f>
        <v>TRAFFICO_RALLENTATO</v>
      </c>
      <c r="D529" t="str">
        <f>VLOOKUP(G529,'EXPORT IRIS PROD 13-11-2024'!D:D,1,0)</f>
        <v>Allarme traffico rallentato</v>
      </c>
      <c r="E529" s="37" t="s">
        <v>822</v>
      </c>
      <c r="F529" s="38" t="s">
        <v>1026</v>
      </c>
      <c r="G529" s="45" t="s">
        <v>1027</v>
      </c>
      <c r="H529" s="46" t="s">
        <v>201</v>
      </c>
      <c r="I529" s="46" t="s">
        <v>263</v>
      </c>
      <c r="J529" s="47" t="s">
        <v>31</v>
      </c>
      <c r="K529" s="48" t="s">
        <v>32</v>
      </c>
      <c r="L529" s="43">
        <v>1</v>
      </c>
      <c r="M529" s="43" t="s">
        <v>24</v>
      </c>
      <c r="N529" s="43" t="s">
        <v>25</v>
      </c>
      <c r="O529" s="42" t="s">
        <v>21</v>
      </c>
      <c r="P529" s="49"/>
    </row>
    <row r="530" spans="1:16" x14ac:dyDescent="0.25">
      <c r="A530" t="str">
        <f t="shared" si="8"/>
        <v>VEICOLO_CONTROMANO-Allarme veicolo contromano</v>
      </c>
      <c r="B530" t="str">
        <f>VLOOKUP(A530,'EXPORT IRIS PROD 13-11-2024'!A:A,1,0)</f>
        <v>VEICOLO_CONTROMANO-Allarme veicolo contromano</v>
      </c>
      <c r="C530" t="str">
        <f>VLOOKUP(F530,'EXPORT IRIS PROD 13-11-2024'!F:F,1,0)</f>
        <v>VEICOLO_CONTROMANO</v>
      </c>
      <c r="D530" t="str">
        <f>VLOOKUP(G530,'EXPORT IRIS PROD 13-11-2024'!D:D,1,0)</f>
        <v>Allarme veicolo contromano</v>
      </c>
      <c r="E530" s="37" t="s">
        <v>988</v>
      </c>
      <c r="F530" s="38" t="s">
        <v>1028</v>
      </c>
      <c r="G530" s="45" t="s">
        <v>1029</v>
      </c>
      <c r="H530" s="46" t="s">
        <v>201</v>
      </c>
      <c r="I530" s="46" t="s">
        <v>263</v>
      </c>
      <c r="J530" s="47" t="s">
        <v>31</v>
      </c>
      <c r="K530" s="48" t="s">
        <v>32</v>
      </c>
      <c r="L530" s="43">
        <v>1</v>
      </c>
      <c r="M530" s="43" t="s">
        <v>33</v>
      </c>
      <c r="N530" s="43" t="s">
        <v>34</v>
      </c>
      <c r="O530" s="43" t="s">
        <v>31</v>
      </c>
      <c r="P530" s="49"/>
    </row>
    <row r="531" spans="1:16" x14ac:dyDescent="0.25">
      <c r="A531" t="str">
        <f t="shared" si="8"/>
        <v>VEICOLO_CONTROMANO-Allarme veicolo contromano</v>
      </c>
      <c r="B531" t="str">
        <f>VLOOKUP(A531,'EXPORT IRIS PROD 13-11-2024'!A:A,1,0)</f>
        <v>VEICOLO_CONTROMANO-Allarme veicolo contromano</v>
      </c>
      <c r="C531" t="str">
        <f>VLOOKUP(F531,'EXPORT IRIS PROD 13-11-2024'!F:F,1,0)</f>
        <v>VEICOLO_CONTROMANO</v>
      </c>
      <c r="D531" t="str">
        <f>VLOOKUP(G531,'EXPORT IRIS PROD 13-11-2024'!D:D,1,0)</f>
        <v>Allarme veicolo contromano</v>
      </c>
      <c r="E531" s="37" t="s">
        <v>988</v>
      </c>
      <c r="F531" s="38" t="s">
        <v>1028</v>
      </c>
      <c r="G531" s="45" t="s">
        <v>1029</v>
      </c>
      <c r="H531" s="46" t="s">
        <v>201</v>
      </c>
      <c r="I531" s="46" t="s">
        <v>380</v>
      </c>
      <c r="J531" s="47" t="s">
        <v>31</v>
      </c>
      <c r="K531" s="48" t="s">
        <v>32</v>
      </c>
      <c r="L531" s="43">
        <v>1</v>
      </c>
      <c r="M531" s="43" t="s">
        <v>33</v>
      </c>
      <c r="N531" s="43" t="s">
        <v>34</v>
      </c>
      <c r="O531" s="43" t="s">
        <v>31</v>
      </c>
      <c r="P531" s="49"/>
    </row>
    <row r="532" spans="1:16" x14ac:dyDescent="0.25">
      <c r="A532" t="str">
        <f t="shared" si="8"/>
        <v>VEICOLO_CONTROMANO_CORSIA_1-Allarme veicolo contromano corsia di emergenza</v>
      </c>
      <c r="B532" t="str">
        <f>VLOOKUP(A532,'EXPORT IRIS PROD 13-11-2024'!A:A,1,0)</f>
        <v>VEICOLO_CONTROMANO_CORSIA_1-Allarme veicolo contromano corsia di emergenza</v>
      </c>
      <c r="C532" t="str">
        <f>VLOOKUP(F532,'EXPORT IRIS PROD 13-11-2024'!F:F,1,0)</f>
        <v>VEICOLO_CONTROMANO_CORSIA_1</v>
      </c>
      <c r="D532" t="str">
        <f>VLOOKUP(G532,'EXPORT IRIS PROD 13-11-2024'!D:D,1,0)</f>
        <v>Allarme veicolo contromano corsia di emergenza</v>
      </c>
      <c r="E532" s="37" t="s">
        <v>988</v>
      </c>
      <c r="F532" s="38" t="s">
        <v>1030</v>
      </c>
      <c r="G532" s="45" t="s">
        <v>1031</v>
      </c>
      <c r="H532" s="46" t="s">
        <v>201</v>
      </c>
      <c r="I532" s="46" t="s">
        <v>380</v>
      </c>
      <c r="J532" s="47" t="s">
        <v>31</v>
      </c>
      <c r="K532" s="48" t="s">
        <v>32</v>
      </c>
      <c r="L532" s="43">
        <v>1</v>
      </c>
      <c r="M532" s="43" t="s">
        <v>33</v>
      </c>
      <c r="N532" s="43" t="s">
        <v>34</v>
      </c>
      <c r="O532" s="43" t="s">
        <v>31</v>
      </c>
      <c r="P532" s="49"/>
    </row>
    <row r="533" spans="1:16" x14ac:dyDescent="0.25">
      <c r="A533" t="str">
        <f t="shared" si="8"/>
        <v>VEICOLO_CONTROMANO_CORSIA_1-Allarme veicolo contromano corsia di emergenza</v>
      </c>
      <c r="B533" t="str">
        <f>VLOOKUP(A533,'EXPORT IRIS PROD 13-11-2024'!A:A,1,0)</f>
        <v>VEICOLO_CONTROMANO_CORSIA_1-Allarme veicolo contromano corsia di emergenza</v>
      </c>
      <c r="C533" t="str">
        <f>VLOOKUP(F533,'EXPORT IRIS PROD 13-11-2024'!F:F,1,0)</f>
        <v>VEICOLO_CONTROMANO_CORSIA_1</v>
      </c>
      <c r="D533" t="str">
        <f>VLOOKUP(G533,'EXPORT IRIS PROD 13-11-2024'!D:D,1,0)</f>
        <v>Allarme veicolo contromano corsia di emergenza</v>
      </c>
      <c r="E533" s="37" t="s">
        <v>988</v>
      </c>
      <c r="F533" s="38" t="s">
        <v>1030</v>
      </c>
      <c r="G533" s="45" t="s">
        <v>1031</v>
      </c>
      <c r="H533" s="46" t="s">
        <v>201</v>
      </c>
      <c r="I533" s="46" t="s">
        <v>263</v>
      </c>
      <c r="J533" s="47" t="s">
        <v>31</v>
      </c>
      <c r="K533" s="48" t="s">
        <v>32</v>
      </c>
      <c r="L533" s="43">
        <v>1</v>
      </c>
      <c r="M533" s="43" t="s">
        <v>33</v>
      </c>
      <c r="N533" s="43" t="s">
        <v>34</v>
      </c>
      <c r="O533" s="43" t="s">
        <v>31</v>
      </c>
      <c r="P533" s="49"/>
    </row>
    <row r="534" spans="1:16" x14ac:dyDescent="0.25">
      <c r="A534" t="str">
        <f t="shared" si="8"/>
        <v>VEICOLO_CONTROMANO_CORSIA_2-Allarme veicolo contromano corsia di marcia</v>
      </c>
      <c r="B534" t="str">
        <f>VLOOKUP(A534,'EXPORT IRIS PROD 13-11-2024'!A:A,1,0)</f>
        <v>VEICOLO_CONTROMANO_CORSIA_2-Allarme veicolo contromano corsia di marcia</v>
      </c>
      <c r="C534" t="str">
        <f>VLOOKUP(F534,'EXPORT IRIS PROD 13-11-2024'!F:F,1,0)</f>
        <v>VEICOLO_CONTROMANO_CORSIA_2</v>
      </c>
      <c r="D534" t="str">
        <f>VLOOKUP(G534,'EXPORT IRIS PROD 13-11-2024'!D:D,1,0)</f>
        <v>Allarme veicolo contromano corsia di marcia</v>
      </c>
      <c r="E534" s="37" t="s">
        <v>988</v>
      </c>
      <c r="F534" s="38" t="s">
        <v>1032</v>
      </c>
      <c r="G534" s="45" t="s">
        <v>1033</v>
      </c>
      <c r="H534" s="46" t="s">
        <v>201</v>
      </c>
      <c r="I534" s="46" t="s">
        <v>380</v>
      </c>
      <c r="J534" s="47" t="s">
        <v>31</v>
      </c>
      <c r="K534" s="48" t="s">
        <v>32</v>
      </c>
      <c r="L534" s="43">
        <v>1</v>
      </c>
      <c r="M534" s="43" t="s">
        <v>33</v>
      </c>
      <c r="N534" s="43" t="s">
        <v>34</v>
      </c>
      <c r="O534" s="43" t="s">
        <v>31</v>
      </c>
      <c r="P534" s="49"/>
    </row>
    <row r="535" spans="1:16" x14ac:dyDescent="0.25">
      <c r="A535" t="str">
        <f t="shared" si="8"/>
        <v>VEICOLO_CONTROMANO_CORSIA_2-Allarme veicolo contromano corsia di marcia</v>
      </c>
      <c r="B535" t="str">
        <f>VLOOKUP(A535,'EXPORT IRIS PROD 13-11-2024'!A:A,1,0)</f>
        <v>VEICOLO_CONTROMANO_CORSIA_2-Allarme veicolo contromano corsia di marcia</v>
      </c>
      <c r="C535" t="str">
        <f>VLOOKUP(F535,'EXPORT IRIS PROD 13-11-2024'!F:F,1,0)</f>
        <v>VEICOLO_CONTROMANO_CORSIA_2</v>
      </c>
      <c r="D535" t="str">
        <f>VLOOKUP(G535,'EXPORT IRIS PROD 13-11-2024'!D:D,1,0)</f>
        <v>Allarme veicolo contromano corsia di marcia</v>
      </c>
      <c r="E535" s="37" t="s">
        <v>988</v>
      </c>
      <c r="F535" s="38" t="s">
        <v>1032</v>
      </c>
      <c r="G535" s="45" t="s">
        <v>1033</v>
      </c>
      <c r="H535" s="46" t="s">
        <v>201</v>
      </c>
      <c r="I535" s="46" t="s">
        <v>263</v>
      </c>
      <c r="J535" s="47" t="s">
        <v>31</v>
      </c>
      <c r="K535" s="48" t="s">
        <v>32</v>
      </c>
      <c r="L535" s="43">
        <v>1</v>
      </c>
      <c r="M535" s="43" t="s">
        <v>33</v>
      </c>
      <c r="N535" s="43" t="s">
        <v>34</v>
      </c>
      <c r="O535" s="43" t="s">
        <v>31</v>
      </c>
      <c r="P535" s="49"/>
    </row>
    <row r="536" spans="1:16" x14ac:dyDescent="0.25">
      <c r="A536" t="str">
        <f t="shared" si="8"/>
        <v>VEICOLO_CONTROMANO_CORSIA_3-Allarme veicolo contromano corsia veloce</v>
      </c>
      <c r="B536" t="str">
        <f>VLOOKUP(A536,'EXPORT IRIS PROD 13-11-2024'!A:A,1,0)</f>
        <v>VEICOLO_CONTROMANO_CORSIA_3-Allarme veicolo contromano corsia veloce</v>
      </c>
      <c r="C536" t="str">
        <f>VLOOKUP(F536,'EXPORT IRIS PROD 13-11-2024'!F:F,1,0)</f>
        <v>VEICOLO_CONTROMANO_CORSIA_3</v>
      </c>
      <c r="D536" t="str">
        <f>VLOOKUP(G536,'EXPORT IRIS PROD 13-11-2024'!D:D,1,0)</f>
        <v>Allarme veicolo contromano corsia veloce</v>
      </c>
      <c r="E536" s="37" t="s">
        <v>988</v>
      </c>
      <c r="F536" s="38" t="s">
        <v>1034</v>
      </c>
      <c r="G536" s="45" t="s">
        <v>1035</v>
      </c>
      <c r="H536" s="46" t="s">
        <v>201</v>
      </c>
      <c r="I536" s="46" t="s">
        <v>380</v>
      </c>
      <c r="J536" s="47" t="s">
        <v>31</v>
      </c>
      <c r="K536" s="48" t="s">
        <v>32</v>
      </c>
      <c r="L536" s="43">
        <v>1</v>
      </c>
      <c r="M536" s="43" t="s">
        <v>33</v>
      </c>
      <c r="N536" s="43" t="s">
        <v>34</v>
      </c>
      <c r="O536" s="43" t="s">
        <v>31</v>
      </c>
      <c r="P536" s="49"/>
    </row>
    <row r="537" spans="1:16" customFormat="1" x14ac:dyDescent="0.25">
      <c r="A537" t="str">
        <f t="shared" si="8"/>
        <v>VEICOLO_CONTROMANO_CORSIA_3-Allarme veicolo contromano corsia veloce</v>
      </c>
      <c r="B537" t="str">
        <f>VLOOKUP(A537,'EXPORT IRIS PROD 13-11-2024'!A:A,1,0)</f>
        <v>VEICOLO_CONTROMANO_CORSIA_3-Allarme veicolo contromano corsia veloce</v>
      </c>
      <c r="C537" t="str">
        <f>VLOOKUP(F537,'EXPORT IRIS PROD 13-11-2024'!F:F,1,0)</f>
        <v>VEICOLO_CONTROMANO_CORSIA_3</v>
      </c>
      <c r="D537" t="str">
        <f>VLOOKUP(G537,'EXPORT IRIS PROD 13-11-2024'!D:D,1,0)</f>
        <v>Allarme veicolo contromano corsia veloce</v>
      </c>
      <c r="E537" s="37" t="s">
        <v>988</v>
      </c>
      <c r="F537" s="38" t="s">
        <v>1034</v>
      </c>
      <c r="G537" s="45" t="s">
        <v>1035</v>
      </c>
      <c r="H537" s="46" t="s">
        <v>201</v>
      </c>
      <c r="I537" s="46" t="s">
        <v>263</v>
      </c>
      <c r="J537" s="47" t="s">
        <v>31</v>
      </c>
      <c r="K537" s="48" t="s">
        <v>32</v>
      </c>
      <c r="L537" s="43">
        <v>1</v>
      </c>
      <c r="M537" s="43" t="s">
        <v>33</v>
      </c>
      <c r="N537" s="43" t="s">
        <v>34</v>
      </c>
      <c r="O537" s="43" t="s">
        <v>31</v>
      </c>
      <c r="P537" s="49"/>
    </row>
    <row r="538" spans="1:16" customFormat="1" x14ac:dyDescent="0.25">
      <c r="A538" t="str">
        <f t="shared" si="8"/>
        <v>VEICOLO_FERMO-Allarme veicolo fermo</v>
      </c>
      <c r="B538" t="str">
        <f>VLOOKUP(A538,'EXPORT IRIS PROD 13-11-2024'!A:A,1,0)</f>
        <v>VEICOLO_FERMO-Allarme veicolo fermo</v>
      </c>
      <c r="C538" t="str">
        <f>VLOOKUP(F538,'EXPORT IRIS PROD 13-11-2024'!F:F,1,0)</f>
        <v>VEICOLO_FERMO</v>
      </c>
      <c r="D538" t="str">
        <f>VLOOKUP(G538,'EXPORT IRIS PROD 13-11-2024'!D:D,1,0)</f>
        <v>Allarme veicolo fermo</v>
      </c>
      <c r="E538" s="37" t="s">
        <v>983</v>
      </c>
      <c r="F538" s="38" t="s">
        <v>1036</v>
      </c>
      <c r="G538" s="45" t="s">
        <v>1037</v>
      </c>
      <c r="H538" s="46" t="s">
        <v>201</v>
      </c>
      <c r="I538" s="46" t="s">
        <v>380</v>
      </c>
      <c r="J538" s="47" t="s">
        <v>31</v>
      </c>
      <c r="K538" s="48" t="s">
        <v>32</v>
      </c>
      <c r="L538" s="43">
        <v>1</v>
      </c>
      <c r="M538" s="43" t="s">
        <v>33</v>
      </c>
      <c r="N538" s="43" t="s">
        <v>34</v>
      </c>
      <c r="O538" s="43" t="s">
        <v>31</v>
      </c>
      <c r="P538" s="49"/>
    </row>
    <row r="539" spans="1:16" customFormat="1" x14ac:dyDescent="0.25">
      <c r="A539" t="str">
        <f t="shared" si="8"/>
        <v>VEICOLO_FERMO-Allarme veicolo fermo</v>
      </c>
      <c r="B539" t="str">
        <f>VLOOKUP(A539,'EXPORT IRIS PROD 13-11-2024'!A:A,1,0)</f>
        <v>VEICOLO_FERMO-Allarme veicolo fermo</v>
      </c>
      <c r="C539" t="str">
        <f>VLOOKUP(F539,'EXPORT IRIS PROD 13-11-2024'!F:F,1,0)</f>
        <v>VEICOLO_FERMO</v>
      </c>
      <c r="D539" t="str">
        <f>VLOOKUP(G539,'EXPORT IRIS PROD 13-11-2024'!D:D,1,0)</f>
        <v>Allarme veicolo fermo</v>
      </c>
      <c r="E539" s="37" t="s">
        <v>983</v>
      </c>
      <c r="F539" s="38" t="s">
        <v>1036</v>
      </c>
      <c r="G539" s="45" t="s">
        <v>1037</v>
      </c>
      <c r="H539" s="46" t="s">
        <v>201</v>
      </c>
      <c r="I539" s="46" t="s">
        <v>263</v>
      </c>
      <c r="J539" s="47" t="s">
        <v>31</v>
      </c>
      <c r="K539" s="48" t="s">
        <v>32</v>
      </c>
      <c r="L539" s="43">
        <v>1</v>
      </c>
      <c r="M539" s="43" t="s">
        <v>33</v>
      </c>
      <c r="N539" s="43" t="s">
        <v>34</v>
      </c>
      <c r="O539" s="43" t="s">
        <v>31</v>
      </c>
      <c r="P539" s="49"/>
    </row>
    <row r="540" spans="1:16" customFormat="1" x14ac:dyDescent="0.25">
      <c r="A540" t="str">
        <f t="shared" si="8"/>
        <v>VEICOLO_FERMO_CORSIA_1-Allarme veicolo fermo corsia di emergenza</v>
      </c>
      <c r="B540" t="str">
        <f>VLOOKUP(A540,'EXPORT IRIS PROD 13-11-2024'!A:A,1,0)</f>
        <v>VEICOLO_FERMO_CORSIA_1-Allarme veicolo fermo corsia di emergenza</v>
      </c>
      <c r="C540" t="str">
        <f>VLOOKUP(F540,'EXPORT IRIS PROD 13-11-2024'!F:F,1,0)</f>
        <v>VEICOLO_FERMO_CORSIA_1</v>
      </c>
      <c r="D540" t="str">
        <f>VLOOKUP(G540,'EXPORT IRIS PROD 13-11-2024'!D:D,1,0)</f>
        <v>Allarme veicolo fermo corsia di emergenza</v>
      </c>
      <c r="E540" s="37" t="s">
        <v>983</v>
      </c>
      <c r="F540" s="38" t="s">
        <v>1038</v>
      </c>
      <c r="G540" s="45" t="s">
        <v>1039</v>
      </c>
      <c r="H540" s="46" t="s">
        <v>201</v>
      </c>
      <c r="I540" s="46" t="s">
        <v>380</v>
      </c>
      <c r="J540" s="47" t="s">
        <v>31</v>
      </c>
      <c r="K540" s="48" t="s">
        <v>32</v>
      </c>
      <c r="L540" s="43">
        <v>1</v>
      </c>
      <c r="M540" s="43" t="s">
        <v>33</v>
      </c>
      <c r="N540" s="43" t="s">
        <v>34</v>
      </c>
      <c r="O540" s="43" t="s">
        <v>31</v>
      </c>
      <c r="P540" s="49"/>
    </row>
    <row r="541" spans="1:16" customFormat="1" x14ac:dyDescent="0.25">
      <c r="A541" t="str">
        <f t="shared" si="8"/>
        <v>VEICOLO_FERMO_CORSIA_1-Allarme veicolo fermo corsia di emergenza</v>
      </c>
      <c r="B541" t="str">
        <f>VLOOKUP(A541,'EXPORT IRIS PROD 13-11-2024'!A:A,1,0)</f>
        <v>VEICOLO_FERMO_CORSIA_1-Allarme veicolo fermo corsia di emergenza</v>
      </c>
      <c r="C541" t="str">
        <f>VLOOKUP(F541,'EXPORT IRIS PROD 13-11-2024'!F:F,1,0)</f>
        <v>VEICOLO_FERMO_CORSIA_1</v>
      </c>
      <c r="D541" t="str">
        <f>VLOOKUP(G541,'EXPORT IRIS PROD 13-11-2024'!D:D,1,0)</f>
        <v>Allarme veicolo fermo corsia di emergenza</v>
      </c>
      <c r="E541" s="37" t="s">
        <v>983</v>
      </c>
      <c r="F541" s="38" t="s">
        <v>1038</v>
      </c>
      <c r="G541" s="45" t="s">
        <v>1039</v>
      </c>
      <c r="H541" s="46" t="s">
        <v>201</v>
      </c>
      <c r="I541" s="46" t="s">
        <v>263</v>
      </c>
      <c r="J541" s="47" t="s">
        <v>31</v>
      </c>
      <c r="K541" s="48" t="s">
        <v>32</v>
      </c>
      <c r="L541" s="43">
        <v>1</v>
      </c>
      <c r="M541" s="43" t="s">
        <v>33</v>
      </c>
      <c r="N541" s="43" t="s">
        <v>34</v>
      </c>
      <c r="O541" s="43" t="s">
        <v>31</v>
      </c>
      <c r="P541" s="49"/>
    </row>
    <row r="542" spans="1:16" customFormat="1" x14ac:dyDescent="0.25">
      <c r="A542" t="str">
        <f t="shared" si="8"/>
        <v>VEICOLO_FERMO_CORSIA_2-Allarme veicolo fermo corsia di marcia</v>
      </c>
      <c r="B542" t="str">
        <f>VLOOKUP(A542,'EXPORT IRIS PROD 13-11-2024'!A:A,1,0)</f>
        <v>VEICOLO_FERMO_CORSIA_2-Allarme veicolo fermo corsia di marcia</v>
      </c>
      <c r="C542" t="str">
        <f>VLOOKUP(F542,'EXPORT IRIS PROD 13-11-2024'!F:F,1,0)</f>
        <v>VEICOLO_FERMO_CORSIA_2</v>
      </c>
      <c r="D542" t="str">
        <f>VLOOKUP(G542,'EXPORT IRIS PROD 13-11-2024'!D:D,1,0)</f>
        <v>Allarme veicolo fermo corsia di marcia</v>
      </c>
      <c r="E542" s="37" t="s">
        <v>983</v>
      </c>
      <c r="F542" s="38" t="s">
        <v>1040</v>
      </c>
      <c r="G542" s="45" t="s">
        <v>1041</v>
      </c>
      <c r="H542" s="46" t="s">
        <v>201</v>
      </c>
      <c r="I542" s="46" t="s">
        <v>380</v>
      </c>
      <c r="J542" s="47" t="s">
        <v>31</v>
      </c>
      <c r="K542" s="48" t="s">
        <v>32</v>
      </c>
      <c r="L542" s="43">
        <v>1</v>
      </c>
      <c r="M542" s="43" t="s">
        <v>33</v>
      </c>
      <c r="N542" s="43" t="s">
        <v>34</v>
      </c>
      <c r="O542" s="43" t="s">
        <v>31</v>
      </c>
      <c r="P542" s="49"/>
    </row>
    <row r="543" spans="1:16" customFormat="1" x14ac:dyDescent="0.25">
      <c r="A543" t="str">
        <f t="shared" si="8"/>
        <v>VEICOLO_FERMO_CORSIA_2-Allarme veicolo fermo corsia di marcia</v>
      </c>
      <c r="B543" t="str">
        <f>VLOOKUP(A543,'EXPORT IRIS PROD 13-11-2024'!A:A,1,0)</f>
        <v>VEICOLO_FERMO_CORSIA_2-Allarme veicolo fermo corsia di marcia</v>
      </c>
      <c r="C543" t="str">
        <f>VLOOKUP(F543,'EXPORT IRIS PROD 13-11-2024'!F:F,1,0)</f>
        <v>VEICOLO_FERMO_CORSIA_2</v>
      </c>
      <c r="D543" t="str">
        <f>VLOOKUP(G543,'EXPORT IRIS PROD 13-11-2024'!D:D,1,0)</f>
        <v>Allarme veicolo fermo corsia di marcia</v>
      </c>
      <c r="E543" s="37" t="s">
        <v>983</v>
      </c>
      <c r="F543" s="38" t="s">
        <v>1040</v>
      </c>
      <c r="G543" s="45" t="s">
        <v>1041</v>
      </c>
      <c r="H543" s="46" t="s">
        <v>201</v>
      </c>
      <c r="I543" s="46" t="s">
        <v>263</v>
      </c>
      <c r="J543" s="47" t="s">
        <v>31</v>
      </c>
      <c r="K543" s="48" t="s">
        <v>32</v>
      </c>
      <c r="L543" s="43">
        <v>1</v>
      </c>
      <c r="M543" s="43" t="s">
        <v>33</v>
      </c>
      <c r="N543" s="43" t="s">
        <v>34</v>
      </c>
      <c r="O543" s="43" t="s">
        <v>31</v>
      </c>
      <c r="P543" s="49"/>
    </row>
    <row r="544" spans="1:16" customFormat="1" x14ac:dyDescent="0.25">
      <c r="A544" t="str">
        <f t="shared" si="8"/>
        <v>VEICOLO_FERMO_CORSIA_3-Allarme veicolo fermo corsia veloce</v>
      </c>
      <c r="B544" t="str">
        <f>VLOOKUP(A544,'EXPORT IRIS PROD 13-11-2024'!A:A,1,0)</f>
        <v>VEICOLO_FERMO_CORSIA_3-Allarme veicolo fermo corsia veloce</v>
      </c>
      <c r="C544" t="str">
        <f>VLOOKUP(F544,'EXPORT IRIS PROD 13-11-2024'!F:F,1,0)</f>
        <v>VEICOLO_FERMO_CORSIA_3</v>
      </c>
      <c r="D544" t="str">
        <f>VLOOKUP(G544,'EXPORT IRIS PROD 13-11-2024'!D:D,1,0)</f>
        <v>Allarme veicolo fermo corsia veloce</v>
      </c>
      <c r="E544" s="37" t="s">
        <v>983</v>
      </c>
      <c r="F544" s="38" t="s">
        <v>1042</v>
      </c>
      <c r="G544" s="45" t="s">
        <v>1043</v>
      </c>
      <c r="H544" s="46" t="s">
        <v>201</v>
      </c>
      <c r="I544" s="46" t="s">
        <v>380</v>
      </c>
      <c r="J544" s="47" t="s">
        <v>31</v>
      </c>
      <c r="K544" s="48" t="s">
        <v>32</v>
      </c>
      <c r="L544" s="43">
        <v>1</v>
      </c>
      <c r="M544" s="43" t="s">
        <v>33</v>
      </c>
      <c r="N544" s="43" t="s">
        <v>34</v>
      </c>
      <c r="O544" s="43" t="s">
        <v>31</v>
      </c>
      <c r="P544" s="49"/>
    </row>
    <row r="545" spans="1:16" customFormat="1" x14ac:dyDescent="0.25">
      <c r="A545" t="str">
        <f t="shared" si="8"/>
        <v>VEICOLO_FERMO_CORSIA_3-Allarme veicolo fermo corsia veloce</v>
      </c>
      <c r="B545" t="str">
        <f>VLOOKUP(A545,'EXPORT IRIS PROD 13-11-2024'!A:A,1,0)</f>
        <v>VEICOLO_FERMO_CORSIA_3-Allarme veicolo fermo corsia veloce</v>
      </c>
      <c r="C545" t="str">
        <f>VLOOKUP(F545,'EXPORT IRIS PROD 13-11-2024'!F:F,1,0)</f>
        <v>VEICOLO_FERMO_CORSIA_3</v>
      </c>
      <c r="D545" t="str">
        <f>VLOOKUP(G545,'EXPORT IRIS PROD 13-11-2024'!D:D,1,0)</f>
        <v>Allarme veicolo fermo corsia veloce</v>
      </c>
      <c r="E545" s="37" t="s">
        <v>983</v>
      </c>
      <c r="F545" s="38" t="s">
        <v>1042</v>
      </c>
      <c r="G545" s="45" t="s">
        <v>1043</v>
      </c>
      <c r="H545" s="46" t="s">
        <v>201</v>
      </c>
      <c r="I545" s="46" t="s">
        <v>263</v>
      </c>
      <c r="J545" s="47" t="s">
        <v>31</v>
      </c>
      <c r="K545" s="48" t="s">
        <v>32</v>
      </c>
      <c r="L545" s="43">
        <v>1</v>
      </c>
      <c r="M545" s="43" t="s">
        <v>33</v>
      </c>
      <c r="N545" s="43" t="s">
        <v>34</v>
      </c>
      <c r="O545" s="43" t="s">
        <v>31</v>
      </c>
      <c r="P545" s="49"/>
    </row>
    <row r="546" spans="1:16" customFormat="1" x14ac:dyDescent="0.25">
      <c r="A546" t="str">
        <f t="shared" si="8"/>
        <v>VEICOLO_FERMO_PIAZZOLA-Allarme veicolo fermo in piazzola</v>
      </c>
      <c r="B546" t="str">
        <f>VLOOKUP(A546,'EXPORT IRIS PROD 13-11-2024'!A:A,1,0)</f>
        <v>VEICOLO_FERMO_PIAZZOLA-Allarme veicolo fermo in piazzola</v>
      </c>
      <c r="C546" t="str">
        <f>VLOOKUP(F546,'EXPORT IRIS PROD 13-11-2024'!F:F,1,0)</f>
        <v>VEICOLO_FERMO_PIAZZOLA</v>
      </c>
      <c r="D546" t="str">
        <f>VLOOKUP(G546,'EXPORT IRIS PROD 13-11-2024'!D:D,1,0)</f>
        <v>Allarme veicolo fermo in piazzola</v>
      </c>
      <c r="E546" s="37" t="s">
        <v>983</v>
      </c>
      <c r="F546" s="38" t="s">
        <v>1044</v>
      </c>
      <c r="G546" s="45" t="s">
        <v>1045</v>
      </c>
      <c r="H546" s="46" t="s">
        <v>201</v>
      </c>
      <c r="I546" s="46" t="s">
        <v>263</v>
      </c>
      <c r="J546" s="47" t="s">
        <v>31</v>
      </c>
      <c r="K546" s="48" t="s">
        <v>32</v>
      </c>
      <c r="L546" s="43">
        <v>1</v>
      </c>
      <c r="M546" s="43" t="s">
        <v>33</v>
      </c>
      <c r="N546" s="43" t="s">
        <v>34</v>
      </c>
      <c r="O546" s="43" t="s">
        <v>31</v>
      </c>
      <c r="P546" s="49"/>
    </row>
    <row r="547" spans="1:16" customFormat="1" x14ac:dyDescent="0.25">
      <c r="A547" t="str">
        <f t="shared" si="8"/>
        <v>VEICOLO_INVERSIONE_CORSIA_1-Allarme inversione in corsia emergenza</v>
      </c>
      <c r="B547" t="str">
        <f>VLOOKUP(A547,'EXPORT IRIS PROD 13-11-2024'!A:A,1,0)</f>
        <v>VEICOLO_INVERSIONE_CORSIA_1-Allarme inversione in corsia emergenza</v>
      </c>
      <c r="C547" t="str">
        <f>VLOOKUP(F547,'EXPORT IRIS PROD 13-11-2024'!F:F,1,0)</f>
        <v>VEICOLO_INVERSIONE_CORSIA_1</v>
      </c>
      <c r="D547" t="str">
        <f>VLOOKUP(G547,'EXPORT IRIS PROD 13-11-2024'!D:D,1,0)</f>
        <v>Allarme inversione in corsia emergenza</v>
      </c>
      <c r="E547" s="37" t="s">
        <v>988</v>
      </c>
      <c r="F547" s="38" t="s">
        <v>1046</v>
      </c>
      <c r="G547" s="45" t="s">
        <v>1047</v>
      </c>
      <c r="H547" s="46" t="s">
        <v>201</v>
      </c>
      <c r="I547" s="46" t="s">
        <v>380</v>
      </c>
      <c r="J547" s="47" t="s">
        <v>31</v>
      </c>
      <c r="K547" s="48" t="s">
        <v>32</v>
      </c>
      <c r="L547" s="43">
        <v>1</v>
      </c>
      <c r="M547" s="43" t="s">
        <v>33</v>
      </c>
      <c r="N547" s="43" t="s">
        <v>34</v>
      </c>
      <c r="O547" s="43" t="s">
        <v>31</v>
      </c>
      <c r="P547" s="49"/>
    </row>
    <row r="548" spans="1:16" customFormat="1" x14ac:dyDescent="0.25">
      <c r="A548" t="str">
        <f t="shared" si="8"/>
        <v>VEICOLO_INVERSIONE_CORSIA_2-Allarme inversione in corsia marcia</v>
      </c>
      <c r="B548" t="str">
        <f>VLOOKUP(A548,'EXPORT IRIS PROD 13-11-2024'!A:A,1,0)</f>
        <v>VEICOLO_INVERSIONE_CORSIA_2-Allarme inversione in corsia marcia</v>
      </c>
      <c r="C548" t="str">
        <f>VLOOKUP(F548,'EXPORT IRIS PROD 13-11-2024'!F:F,1,0)</f>
        <v>VEICOLO_INVERSIONE_CORSIA_2</v>
      </c>
      <c r="D548" t="str">
        <f>VLOOKUP(G548,'EXPORT IRIS PROD 13-11-2024'!D:D,1,0)</f>
        <v>Allarme inversione in corsia marcia</v>
      </c>
      <c r="E548" s="37" t="s">
        <v>988</v>
      </c>
      <c r="F548" s="38" t="s">
        <v>1048</v>
      </c>
      <c r="G548" s="45" t="s">
        <v>1049</v>
      </c>
      <c r="H548" s="46" t="s">
        <v>201</v>
      </c>
      <c r="I548" s="46" t="s">
        <v>380</v>
      </c>
      <c r="J548" s="47" t="s">
        <v>31</v>
      </c>
      <c r="K548" s="48" t="s">
        <v>32</v>
      </c>
      <c r="L548" s="43">
        <v>1</v>
      </c>
      <c r="M548" s="43" t="s">
        <v>33</v>
      </c>
      <c r="N548" s="43" t="s">
        <v>34</v>
      </c>
      <c r="O548" s="43" t="s">
        <v>31</v>
      </c>
      <c r="P548" s="49"/>
    </row>
    <row r="549" spans="1:16" customFormat="1" x14ac:dyDescent="0.25">
      <c r="A549" t="str">
        <f t="shared" si="8"/>
        <v>VEICOLO_INVERSIONE_CORSIA_3-Allarme inversione in corsia sorpasso</v>
      </c>
      <c r="B549" t="str">
        <f>VLOOKUP(A549,'EXPORT IRIS PROD 13-11-2024'!A:A,1,0)</f>
        <v>VEICOLO_INVERSIONE_CORSIA_3-Allarme inversione in corsia sorpasso</v>
      </c>
      <c r="C549" t="str">
        <f>VLOOKUP(F549,'EXPORT IRIS PROD 13-11-2024'!F:F,1,0)</f>
        <v>VEICOLO_INVERSIONE_CORSIA_3</v>
      </c>
      <c r="D549" t="str">
        <f>VLOOKUP(G549,'EXPORT IRIS PROD 13-11-2024'!D:D,1,0)</f>
        <v>Allarme inversione in corsia sorpasso</v>
      </c>
      <c r="E549" s="37" t="s">
        <v>988</v>
      </c>
      <c r="F549" s="38" t="s">
        <v>1050</v>
      </c>
      <c r="G549" s="45" t="s">
        <v>1051</v>
      </c>
      <c r="H549" s="46" t="s">
        <v>201</v>
      </c>
      <c r="I549" s="46" t="s">
        <v>380</v>
      </c>
      <c r="J549" s="47" t="s">
        <v>31</v>
      </c>
      <c r="K549" s="48" t="s">
        <v>32</v>
      </c>
      <c r="L549" s="43">
        <v>1</v>
      </c>
      <c r="M549" s="43" t="s">
        <v>33</v>
      </c>
      <c r="N549" s="43" t="s">
        <v>34</v>
      </c>
      <c r="O549" s="43" t="s">
        <v>31</v>
      </c>
      <c r="P549" s="49"/>
    </row>
    <row r="550" spans="1:16" customFormat="1" x14ac:dyDescent="0.25">
      <c r="A550" t="str">
        <f t="shared" si="8"/>
        <v>VEICOLO_LENTO_CORSIA_1-Allarme veicolo lento corsia di emergenza</v>
      </c>
      <c r="B550" t="str">
        <f>VLOOKUP(A550,'EXPORT IRIS PROD 13-11-2024'!A:A,1,0)</f>
        <v>VEICOLO_LENTO_CORSIA_1-Allarme veicolo lento corsia di emergenza</v>
      </c>
      <c r="C550" t="str">
        <f>VLOOKUP(F550,'EXPORT IRIS PROD 13-11-2024'!F:F,1,0)</f>
        <v>VEICOLO_LENTO_CORSIA_1</v>
      </c>
      <c r="D550" t="str">
        <f>VLOOKUP(G550,'EXPORT IRIS PROD 13-11-2024'!D:D,1,0)</f>
        <v>Allarme veicolo lento corsia di emergenza</v>
      </c>
      <c r="E550" s="37" t="s">
        <v>979</v>
      </c>
      <c r="F550" s="38" t="s">
        <v>1052</v>
      </c>
      <c r="G550" s="45" t="s">
        <v>1053</v>
      </c>
      <c r="H550" s="46" t="s">
        <v>201</v>
      </c>
      <c r="I550" s="46" t="s">
        <v>380</v>
      </c>
      <c r="J550" s="47" t="s">
        <v>31</v>
      </c>
      <c r="K550" s="48" t="s">
        <v>32</v>
      </c>
      <c r="L550" s="43">
        <v>1</v>
      </c>
      <c r="M550" s="43" t="s">
        <v>24</v>
      </c>
      <c r="N550" s="43" t="s">
        <v>25</v>
      </c>
      <c r="O550" s="42" t="s">
        <v>21</v>
      </c>
      <c r="P550" s="49"/>
    </row>
    <row r="551" spans="1:16" customFormat="1" x14ac:dyDescent="0.25">
      <c r="A551" t="str">
        <f t="shared" si="8"/>
        <v>VEICOLO_LENTO_CORSIA_1-Allarme veicolo lento corsia di emergenza</v>
      </c>
      <c r="B551" t="str">
        <f>VLOOKUP(A551,'EXPORT IRIS PROD 13-11-2024'!A:A,1,0)</f>
        <v>VEICOLO_LENTO_CORSIA_1-Allarme veicolo lento corsia di emergenza</v>
      </c>
      <c r="C551" t="str">
        <f>VLOOKUP(F551,'EXPORT IRIS PROD 13-11-2024'!F:F,1,0)</f>
        <v>VEICOLO_LENTO_CORSIA_1</v>
      </c>
      <c r="D551" t="str">
        <f>VLOOKUP(G551,'EXPORT IRIS PROD 13-11-2024'!D:D,1,0)</f>
        <v>Allarme veicolo lento corsia di emergenza</v>
      </c>
      <c r="E551" s="37" t="s">
        <v>979</v>
      </c>
      <c r="F551" s="38" t="s">
        <v>1052</v>
      </c>
      <c r="G551" s="45" t="s">
        <v>1053</v>
      </c>
      <c r="H551" s="46" t="s">
        <v>201</v>
      </c>
      <c r="I551" s="46" t="s">
        <v>263</v>
      </c>
      <c r="J551" s="47" t="s">
        <v>31</v>
      </c>
      <c r="K551" s="48" t="s">
        <v>32</v>
      </c>
      <c r="L551" s="43">
        <v>1</v>
      </c>
      <c r="M551" s="43" t="s">
        <v>24</v>
      </c>
      <c r="N551" s="43" t="s">
        <v>25</v>
      </c>
      <c r="O551" s="42" t="s">
        <v>21</v>
      </c>
      <c r="P551" s="49"/>
    </row>
    <row r="552" spans="1:16" customFormat="1" x14ac:dyDescent="0.25">
      <c r="A552" t="str">
        <f t="shared" si="8"/>
        <v>VEICOLO_LENTO_CORSIA_2-Allarme veicolo lento corsia di marcia</v>
      </c>
      <c r="B552" t="str">
        <f>VLOOKUP(A552,'EXPORT IRIS PROD 13-11-2024'!A:A,1,0)</f>
        <v>VEICOLO_LENTO_CORSIA_2-Allarme veicolo lento corsia di marcia</v>
      </c>
      <c r="C552" t="str">
        <f>VLOOKUP(F552,'EXPORT IRIS PROD 13-11-2024'!F:F,1,0)</f>
        <v>VEICOLO_LENTO_CORSIA_2</v>
      </c>
      <c r="D552" t="str">
        <f>VLOOKUP(G552,'EXPORT IRIS PROD 13-11-2024'!D:D,1,0)</f>
        <v>Allarme veicolo lento corsia di marcia</v>
      </c>
      <c r="E552" s="37" t="s">
        <v>979</v>
      </c>
      <c r="F552" s="38" t="s">
        <v>1054</v>
      </c>
      <c r="G552" s="45" t="s">
        <v>1055</v>
      </c>
      <c r="H552" s="46" t="s">
        <v>201</v>
      </c>
      <c r="I552" s="46" t="s">
        <v>380</v>
      </c>
      <c r="J552" s="47" t="s">
        <v>31</v>
      </c>
      <c r="K552" s="48" t="s">
        <v>32</v>
      </c>
      <c r="L552" s="43">
        <v>1</v>
      </c>
      <c r="M552" s="43" t="s">
        <v>24</v>
      </c>
      <c r="N552" s="43" t="s">
        <v>25</v>
      </c>
      <c r="O552" s="42" t="s">
        <v>21</v>
      </c>
      <c r="P552" s="49"/>
    </row>
    <row r="553" spans="1:16" customFormat="1" x14ac:dyDescent="0.25">
      <c r="A553" t="str">
        <f t="shared" si="8"/>
        <v>VEICOLO_LENTO_CORSIA_2-Allarme veicolo lento corsia di marcia</v>
      </c>
      <c r="B553" t="str">
        <f>VLOOKUP(A553,'EXPORT IRIS PROD 13-11-2024'!A:A,1,0)</f>
        <v>VEICOLO_LENTO_CORSIA_2-Allarme veicolo lento corsia di marcia</v>
      </c>
      <c r="C553" t="str">
        <f>VLOOKUP(F553,'EXPORT IRIS PROD 13-11-2024'!F:F,1,0)</f>
        <v>VEICOLO_LENTO_CORSIA_2</v>
      </c>
      <c r="D553" t="str">
        <f>VLOOKUP(G553,'EXPORT IRIS PROD 13-11-2024'!D:D,1,0)</f>
        <v>Allarme veicolo lento corsia di marcia</v>
      </c>
      <c r="E553" s="37" t="s">
        <v>979</v>
      </c>
      <c r="F553" s="38" t="s">
        <v>1054</v>
      </c>
      <c r="G553" s="45" t="s">
        <v>1055</v>
      </c>
      <c r="H553" s="46" t="s">
        <v>201</v>
      </c>
      <c r="I553" s="46" t="s">
        <v>263</v>
      </c>
      <c r="J553" s="47" t="s">
        <v>31</v>
      </c>
      <c r="K553" s="48" t="s">
        <v>32</v>
      </c>
      <c r="L553" s="43">
        <v>1</v>
      </c>
      <c r="M553" s="43" t="s">
        <v>24</v>
      </c>
      <c r="N553" s="43" t="s">
        <v>25</v>
      </c>
      <c r="O553" s="42" t="s">
        <v>21</v>
      </c>
      <c r="P553" s="49"/>
    </row>
    <row r="554" spans="1:16" customFormat="1" x14ac:dyDescent="0.25">
      <c r="A554" t="str">
        <f t="shared" si="8"/>
        <v>VEICOLO_LENTO_CORSIA_3-Allarme veicolo lento corsia veloce</v>
      </c>
      <c r="B554" t="str">
        <f>VLOOKUP(A554,'EXPORT IRIS PROD 13-11-2024'!A:A,1,0)</f>
        <v>VEICOLO_LENTO_CORSIA_3-Allarme veicolo lento corsia veloce</v>
      </c>
      <c r="C554" t="str">
        <f>VLOOKUP(F554,'EXPORT IRIS PROD 13-11-2024'!F:F,1,0)</f>
        <v>VEICOLO_LENTO_CORSIA_3</v>
      </c>
      <c r="D554" t="str">
        <f>VLOOKUP(G554,'EXPORT IRIS PROD 13-11-2024'!D:D,1,0)</f>
        <v>Allarme veicolo lento corsia veloce</v>
      </c>
      <c r="E554" s="37" t="s">
        <v>979</v>
      </c>
      <c r="F554" s="38" t="s">
        <v>1056</v>
      </c>
      <c r="G554" s="45" t="s">
        <v>1057</v>
      </c>
      <c r="H554" s="46" t="s">
        <v>201</v>
      </c>
      <c r="I554" s="46" t="s">
        <v>380</v>
      </c>
      <c r="J554" s="47" t="s">
        <v>31</v>
      </c>
      <c r="K554" s="48" t="s">
        <v>32</v>
      </c>
      <c r="L554" s="43">
        <v>1</v>
      </c>
      <c r="M554" s="43" t="s">
        <v>24</v>
      </c>
      <c r="N554" s="43" t="s">
        <v>25</v>
      </c>
      <c r="O554" s="42" t="s">
        <v>21</v>
      </c>
      <c r="P554" s="49"/>
    </row>
    <row r="555" spans="1:16" customFormat="1" x14ac:dyDescent="0.25">
      <c r="A555" t="str">
        <f t="shared" si="8"/>
        <v>VEICOLO_LENTO_CORSIA_3-Allarme veicolo lento corsia veloce</v>
      </c>
      <c r="B555" t="str">
        <f>VLOOKUP(A555,'EXPORT IRIS PROD 13-11-2024'!A:A,1,0)</f>
        <v>VEICOLO_LENTO_CORSIA_3-Allarme veicolo lento corsia veloce</v>
      </c>
      <c r="C555" t="str">
        <f>VLOOKUP(F555,'EXPORT IRIS PROD 13-11-2024'!F:F,1,0)</f>
        <v>VEICOLO_LENTO_CORSIA_3</v>
      </c>
      <c r="D555" t="str">
        <f>VLOOKUP(G555,'EXPORT IRIS PROD 13-11-2024'!D:D,1,0)</f>
        <v>Allarme veicolo lento corsia veloce</v>
      </c>
      <c r="E555" s="37" t="s">
        <v>979</v>
      </c>
      <c r="F555" s="38" t="s">
        <v>1056</v>
      </c>
      <c r="G555" s="45" t="s">
        <v>1057</v>
      </c>
      <c r="H555" s="46" t="s">
        <v>201</v>
      </c>
      <c r="I555" s="46" t="s">
        <v>263</v>
      </c>
      <c r="J555" s="47" t="s">
        <v>31</v>
      </c>
      <c r="K555" s="48" t="s">
        <v>32</v>
      </c>
      <c r="L555" s="43">
        <v>1</v>
      </c>
      <c r="M555" s="43" t="s">
        <v>24</v>
      </c>
      <c r="N555" s="43" t="s">
        <v>25</v>
      </c>
      <c r="O555" s="42" t="s">
        <v>21</v>
      </c>
      <c r="P555" s="49"/>
    </row>
    <row r="556" spans="1:16" customFormat="1" x14ac:dyDescent="0.25">
      <c r="A556" t="str">
        <f t="shared" si="8"/>
        <v>VENTILATORE_IN_ANOMALIA-Allarme ventilatore</v>
      </c>
      <c r="B556" t="str">
        <f>VLOOKUP(A556,'EXPORT IRIS PROD 13-11-2024'!A:A,1,0)</f>
        <v>VENTILATORE_IN_ANOMALIA-Allarme ventilatore</v>
      </c>
      <c r="C556" t="str">
        <f>VLOOKUP(F556,'EXPORT IRIS PROD 13-11-2024'!F:F,1,0)</f>
        <v>VENTILATORE_IN_ANOMALIA</v>
      </c>
      <c r="D556" t="str">
        <f>VLOOKUP(G556,'EXPORT IRIS PROD 13-11-2024'!D:D,1,0)</f>
        <v>Allarme ventilatore</v>
      </c>
      <c r="E556" s="37" t="s">
        <v>85</v>
      </c>
      <c r="F556" s="38" t="s">
        <v>1058</v>
      </c>
      <c r="G556" s="38" t="s">
        <v>662</v>
      </c>
      <c r="H556" s="39" t="s">
        <v>50</v>
      </c>
      <c r="I556" s="39" t="s">
        <v>124</v>
      </c>
      <c r="J556" s="40" t="s">
        <v>21</v>
      </c>
      <c r="K556" s="41" t="s">
        <v>22</v>
      </c>
      <c r="L556" s="42" t="s">
        <v>23</v>
      </c>
      <c r="M556" s="43" t="s">
        <v>24</v>
      </c>
      <c r="N556" s="42" t="s">
        <v>25</v>
      </c>
      <c r="O556" s="42" t="s">
        <v>21</v>
      </c>
      <c r="P556" s="44"/>
    </row>
    <row r="557" spans="1:16" customFormat="1" x14ac:dyDescent="0.25">
      <c r="A557" t="str">
        <f t="shared" si="8"/>
        <v>ALR_TIMEOUT-Allarme timeout</v>
      </c>
      <c r="B557" t="str">
        <f>VLOOKUP(A557,'EXPORT IRIS PROD 13-11-2024'!A:A,1,0)</f>
        <v>ALR_TIMEOUT-Allarme timeout</v>
      </c>
      <c r="C557" t="str">
        <f>VLOOKUP(F557,'EXPORT IRIS PROD 13-11-2024'!F:F,1,0)</f>
        <v>ALR_TIMEOUT</v>
      </c>
      <c r="D557" t="str">
        <f>VLOOKUP(G557,'EXPORT IRIS PROD 13-11-2024'!D:D,1,0)</f>
        <v>Allarme timeout</v>
      </c>
      <c r="E557" s="37" t="s">
        <v>85</v>
      </c>
      <c r="F557" s="38" t="s">
        <v>1059</v>
      </c>
      <c r="G557" s="38" t="s">
        <v>1060</v>
      </c>
      <c r="H557" s="39" t="s">
        <v>50</v>
      </c>
      <c r="I557" s="39" t="s">
        <v>124</v>
      </c>
      <c r="J557" s="40" t="s">
        <v>21</v>
      </c>
      <c r="K557" s="41" t="s">
        <v>22</v>
      </c>
      <c r="L557" s="42" t="s">
        <v>23</v>
      </c>
      <c r="M557" s="43" t="s">
        <v>24</v>
      </c>
      <c r="N557" s="42" t="s">
        <v>25</v>
      </c>
      <c r="O557" s="42" t="s">
        <v>21</v>
      </c>
      <c r="P557" s="44"/>
    </row>
    <row r="558" spans="1:16" customFormat="1" x14ac:dyDescent="0.25">
      <c r="A558" t="str">
        <f t="shared" si="8"/>
        <v>PRE_ALLARME_INCENDIO-Preallarme incendio da sensori</v>
      </c>
      <c r="B558" t="str">
        <f>VLOOKUP(A558,'EXPORT IRIS PROD 13-11-2024'!A:A,1,0)</f>
        <v>PRE_ALLARME_INCENDIO-Preallarme incendio da sensori</v>
      </c>
      <c r="C558" t="str">
        <f>VLOOKUP(F558,'EXPORT IRIS PROD 13-11-2024'!F:F,1,0)</f>
        <v>PRE_ALLARME_INCENDIO</v>
      </c>
      <c r="D558" t="str">
        <f>VLOOKUP(G558,'EXPORT IRIS PROD 13-11-2024'!D:D,1,0)</f>
        <v>Preallarme incendio da sensori</v>
      </c>
      <c r="E558" s="37" t="s">
        <v>47</v>
      </c>
      <c r="F558" s="38" t="s">
        <v>1061</v>
      </c>
      <c r="G558" s="45" t="s">
        <v>1062</v>
      </c>
      <c r="H558" s="46" t="s">
        <v>50</v>
      </c>
      <c r="I558" s="46" t="s">
        <v>1063</v>
      </c>
      <c r="J558" s="47" t="s">
        <v>31</v>
      </c>
      <c r="K558" s="48" t="s">
        <v>32</v>
      </c>
      <c r="L558" s="43">
        <v>2</v>
      </c>
      <c r="M558" s="43" t="s">
        <v>45</v>
      </c>
      <c r="N558" s="43" t="s">
        <v>46</v>
      </c>
      <c r="O558" s="43" t="s">
        <v>31</v>
      </c>
      <c r="P558" s="49"/>
    </row>
    <row r="559" spans="1:16" customFormat="1" x14ac:dyDescent="0.25">
      <c r="A559" t="str">
        <f t="shared" si="8"/>
        <v>PRE_ALLARME_INCENDIO-Preallarme incendio da sensori</v>
      </c>
      <c r="B559" t="str">
        <f>VLOOKUP(A559,'EXPORT IRIS PROD 13-11-2024'!A:A,1,0)</f>
        <v>PRE_ALLARME_INCENDIO-Preallarme incendio da sensori</v>
      </c>
      <c r="C559" t="str">
        <f>VLOOKUP(F559,'EXPORT IRIS PROD 13-11-2024'!F:F,1,0)</f>
        <v>PRE_ALLARME_INCENDIO</v>
      </c>
      <c r="D559" t="str">
        <f>VLOOKUP(G559,'EXPORT IRIS PROD 13-11-2024'!D:D,1,0)</f>
        <v>Preallarme incendio da sensori</v>
      </c>
      <c r="E559" s="37" t="s">
        <v>47</v>
      </c>
      <c r="F559" s="38" t="s">
        <v>1061</v>
      </c>
      <c r="G559" s="45" t="s">
        <v>1062</v>
      </c>
      <c r="H559" s="46" t="s">
        <v>50</v>
      </c>
      <c r="I559" s="46" t="s">
        <v>1064</v>
      </c>
      <c r="J559" s="47" t="s">
        <v>31</v>
      </c>
      <c r="K559" s="48" t="s">
        <v>32</v>
      </c>
      <c r="L559" s="43">
        <v>2</v>
      </c>
      <c r="M559" s="43" t="s">
        <v>45</v>
      </c>
      <c r="N559" s="43" t="s">
        <v>46</v>
      </c>
      <c r="O559" s="43" t="s">
        <v>31</v>
      </c>
      <c r="P559" s="49"/>
    </row>
    <row r="560" spans="1:16" x14ac:dyDescent="0.25">
      <c r="A560" t="str">
        <f t="shared" si="8"/>
        <v>ALLARME_DA_SOS_DIR_NORD-Allarme SOS premuto dir. nord</v>
      </c>
      <c r="B560" t="str">
        <f>VLOOKUP(A560,'EXPORT IRIS PROD 13-11-2024'!A:A,1,0)</f>
        <v>ALLARME_DA_SOS_DIR_NORD-Allarme SOS premuto dir. nord</v>
      </c>
      <c r="C560" t="str">
        <f>VLOOKUP(F560,'EXPORT IRIS PROD 13-11-2024'!F:F,1,0)</f>
        <v>ALLARME_DA_SOS_DIR_NORD</v>
      </c>
      <c r="D560" t="str">
        <f>VLOOKUP(G560,'EXPORT IRIS PROD 13-11-2024'!D:D,1,0)</f>
        <v>Allarme SOS premuto dir. nord</v>
      </c>
      <c r="E560" s="37" t="s">
        <v>26</v>
      </c>
      <c r="F560" s="38" t="s">
        <v>1065</v>
      </c>
      <c r="G560" s="45" t="s">
        <v>1066</v>
      </c>
      <c r="H560" s="46" t="s">
        <v>29</v>
      </c>
      <c r="I560" s="46" t="s">
        <v>1067</v>
      </c>
      <c r="J560" s="47" t="s">
        <v>31</v>
      </c>
      <c r="K560" s="48" t="s">
        <v>32</v>
      </c>
      <c r="L560" s="43">
        <v>1</v>
      </c>
      <c r="M560" s="43" t="s">
        <v>33</v>
      </c>
      <c r="N560" s="43" t="s">
        <v>34</v>
      </c>
      <c r="O560" s="43" t="s">
        <v>31</v>
      </c>
      <c r="P560" s="44"/>
    </row>
    <row r="561" spans="1:16" x14ac:dyDescent="0.25">
      <c r="A561" t="str">
        <f t="shared" si="8"/>
        <v>ALLARME_DA_SOS_DIR_SUD-Allarme SOS premuto dir. sud</v>
      </c>
      <c r="B561" t="str">
        <f>VLOOKUP(A561,'EXPORT IRIS PROD 13-11-2024'!A:A,1,0)</f>
        <v>ALLARME_DA_SOS_DIR_SUD-Allarme SOS premuto dir. sud</v>
      </c>
      <c r="C561" t="str">
        <f>VLOOKUP(F561,'EXPORT IRIS PROD 13-11-2024'!F:F,1,0)</f>
        <v>ALLARME_DA_SOS_DIR_SUD</v>
      </c>
      <c r="D561" t="str">
        <f>VLOOKUP(G561,'EXPORT IRIS PROD 13-11-2024'!D:D,1,0)</f>
        <v>Allarme SOS premuto dir. sud</v>
      </c>
      <c r="E561" s="37" t="s">
        <v>26</v>
      </c>
      <c r="F561" s="38" t="s">
        <v>1068</v>
      </c>
      <c r="G561" s="45" t="s">
        <v>1069</v>
      </c>
      <c r="H561" s="46" t="s">
        <v>29</v>
      </c>
      <c r="I561" s="46" t="s">
        <v>1067</v>
      </c>
      <c r="J561" s="47" t="s">
        <v>31</v>
      </c>
      <c r="K561" s="48" t="s">
        <v>32</v>
      </c>
      <c r="L561" s="43">
        <v>1</v>
      </c>
      <c r="M561" s="43" t="s">
        <v>33</v>
      </c>
      <c r="N561" s="43" t="s">
        <v>34</v>
      </c>
      <c r="O561" s="43" t="s">
        <v>31</v>
      </c>
      <c r="P561" s="44"/>
    </row>
    <row r="562" spans="1:16" x14ac:dyDescent="0.25">
      <c r="A562" t="str">
        <f t="shared" si="8"/>
        <v>ALLARME_PRESSIONE_POMPA-Allarme pressione pompa</v>
      </c>
      <c r="B562" t="str">
        <f>VLOOKUP(A562,'EXPORT IRIS PROD 13-11-2024'!A:A,1,0)</f>
        <v>ALLARME_PRESSIONE_POMPA-Allarme pressione pompa</v>
      </c>
      <c r="C562" t="str">
        <f>VLOOKUP(F562,'EXPORT IRIS PROD 13-11-2024'!F:F,1,0)</f>
        <v>ALLARME_PRESSIONE_POMPA</v>
      </c>
      <c r="D562" t="str">
        <f>VLOOKUP(G562,'EXPORT IRIS PROD 13-11-2024'!D:D,1,0)</f>
        <v>Allarme pressione pompa</v>
      </c>
      <c r="E562" s="37" t="s">
        <v>35</v>
      </c>
      <c r="F562" s="38" t="s">
        <v>1070</v>
      </c>
      <c r="G562" s="45" t="s">
        <v>1071</v>
      </c>
      <c r="H562" s="46" t="s">
        <v>38</v>
      </c>
      <c r="I562" s="46" t="s">
        <v>172</v>
      </c>
      <c r="J562" s="40" t="s">
        <v>21</v>
      </c>
      <c r="K562" s="41" t="s">
        <v>22</v>
      </c>
      <c r="L562" s="42" t="s">
        <v>23</v>
      </c>
      <c r="M562" s="43" t="s">
        <v>157</v>
      </c>
      <c r="N562" s="42" t="s">
        <v>158</v>
      </c>
      <c r="O562" s="42" t="s">
        <v>21</v>
      </c>
      <c r="P562" s="44"/>
    </row>
    <row r="563" spans="1:16" x14ac:dyDescent="0.25">
      <c r="A563" t="str">
        <f t="shared" si="8"/>
        <v>ALR_113_DIR_NORD-Allarme SOS pulsante 113 dir. nord</v>
      </c>
      <c r="B563" t="str">
        <f>VLOOKUP(A563,'EXPORT IRIS PROD 13-11-2024'!A:A,1,0)</f>
        <v>ALR_113_DIR_NORD-Allarme SOS pulsante 113 dir. nord</v>
      </c>
      <c r="C563" t="str">
        <f>VLOOKUP(F563,'EXPORT IRIS PROD 13-11-2024'!F:F,1,0)</f>
        <v>ALR_113_DIR_NORD</v>
      </c>
      <c r="D563" t="str">
        <f>VLOOKUP(G563,'EXPORT IRIS PROD 13-11-2024'!D:D,1,0)</f>
        <v>Allarme SOS pulsante 113 dir. nord</v>
      </c>
      <c r="E563" s="37" t="s">
        <v>26</v>
      </c>
      <c r="F563" s="38" t="s">
        <v>1072</v>
      </c>
      <c r="G563" s="45" t="s">
        <v>1073</v>
      </c>
      <c r="H563" s="46" t="s">
        <v>29</v>
      </c>
      <c r="I563" s="46" t="s">
        <v>1067</v>
      </c>
      <c r="J563" s="47" t="s">
        <v>31</v>
      </c>
      <c r="K563" s="48" t="s">
        <v>32</v>
      </c>
      <c r="L563" s="43">
        <v>1</v>
      </c>
      <c r="M563" s="43" t="s">
        <v>33</v>
      </c>
      <c r="N563" s="43" t="s">
        <v>34</v>
      </c>
      <c r="O563" s="43" t="s">
        <v>31</v>
      </c>
      <c r="P563" s="44"/>
    </row>
    <row r="564" spans="1:16" x14ac:dyDescent="0.25">
      <c r="A564" t="str">
        <f t="shared" si="8"/>
        <v>ALR_113_DIR_SUD-Allarme SOS pulsante 113 dir. sud</v>
      </c>
      <c r="B564" t="str">
        <f>VLOOKUP(A564,'EXPORT IRIS PROD 13-11-2024'!A:A,1,0)</f>
        <v>ALR_113_DIR_SUD-Allarme SOS pulsante 113 dir. sud</v>
      </c>
      <c r="C564" t="str">
        <f>VLOOKUP(F564,'EXPORT IRIS PROD 13-11-2024'!F:F,1,0)</f>
        <v>ALR_113_DIR_SUD</v>
      </c>
      <c r="D564" t="str">
        <f>VLOOKUP(G564,'EXPORT IRIS PROD 13-11-2024'!D:D,1,0)</f>
        <v>Allarme SOS pulsante 113 dir. sud</v>
      </c>
      <c r="E564" s="37" t="s">
        <v>26</v>
      </c>
      <c r="F564" s="38" t="s">
        <v>1074</v>
      </c>
      <c r="G564" s="45" t="s">
        <v>1075</v>
      </c>
      <c r="H564" s="46" t="s">
        <v>29</v>
      </c>
      <c r="I564" s="46" t="s">
        <v>1067</v>
      </c>
      <c r="J564" s="47" t="s">
        <v>31</v>
      </c>
      <c r="K564" s="48" t="s">
        <v>32</v>
      </c>
      <c r="L564" s="43">
        <v>1</v>
      </c>
      <c r="M564" s="43" t="s">
        <v>33</v>
      </c>
      <c r="N564" s="43" t="s">
        <v>34</v>
      </c>
      <c r="O564" s="43" t="s">
        <v>31</v>
      </c>
      <c r="P564" s="44"/>
    </row>
    <row r="565" spans="1:16" x14ac:dyDescent="0.25">
      <c r="A565" t="str">
        <f t="shared" si="8"/>
        <v>ALR_115_DIR_NORD-Allarme SOS pulsante 115 dir. nord</v>
      </c>
      <c r="B565" t="str">
        <f>VLOOKUP(A565,'EXPORT IRIS PROD 13-11-2024'!A:A,1,0)</f>
        <v>ALR_115_DIR_NORD-Allarme SOS pulsante 115 dir. nord</v>
      </c>
      <c r="C565" t="str">
        <f>VLOOKUP(F565,'EXPORT IRIS PROD 13-11-2024'!F:F,1,0)</f>
        <v>ALR_115_DIR_NORD</v>
      </c>
      <c r="D565" t="str">
        <f>VLOOKUP(G565,'EXPORT IRIS PROD 13-11-2024'!D:D,1,0)</f>
        <v>Allarme SOS pulsante 115 dir. nord</v>
      </c>
      <c r="E565" s="37" t="s">
        <v>26</v>
      </c>
      <c r="F565" s="38" t="s">
        <v>1076</v>
      </c>
      <c r="G565" s="45" t="s">
        <v>1077</v>
      </c>
      <c r="H565" s="46" t="s">
        <v>29</v>
      </c>
      <c r="I565" s="46" t="s">
        <v>1067</v>
      </c>
      <c r="J565" s="47" t="s">
        <v>31</v>
      </c>
      <c r="K565" s="48" t="s">
        <v>32</v>
      </c>
      <c r="L565" s="43">
        <v>1</v>
      </c>
      <c r="M565" s="43" t="s">
        <v>33</v>
      </c>
      <c r="N565" s="43" t="s">
        <v>34</v>
      </c>
      <c r="O565" s="43" t="s">
        <v>31</v>
      </c>
      <c r="P565" s="44"/>
    </row>
    <row r="566" spans="1:16" x14ac:dyDescent="0.25">
      <c r="A566" t="str">
        <f t="shared" si="8"/>
        <v>ALR_115_DIR_SUD-Allarme SOS pulsante 115 dir. sud</v>
      </c>
      <c r="B566" t="str">
        <f>VLOOKUP(A566,'EXPORT IRIS PROD 13-11-2024'!A:A,1,0)</f>
        <v>ALR_115_DIR_SUD-Allarme SOS pulsante 115 dir. sud</v>
      </c>
      <c r="C566" t="str">
        <f>VLOOKUP(F566,'EXPORT IRIS PROD 13-11-2024'!F:F,1,0)</f>
        <v>ALR_115_DIR_SUD</v>
      </c>
      <c r="D566" t="str">
        <f>VLOOKUP(G566,'EXPORT IRIS PROD 13-11-2024'!D:D,1,0)</f>
        <v>Allarme SOS pulsante 115 dir. sud</v>
      </c>
      <c r="E566" s="37" t="s">
        <v>26</v>
      </c>
      <c r="F566" s="38" t="s">
        <v>1078</v>
      </c>
      <c r="G566" s="45" t="s">
        <v>1079</v>
      </c>
      <c r="H566" s="46" t="s">
        <v>29</v>
      </c>
      <c r="I566" s="46" t="s">
        <v>1067</v>
      </c>
      <c r="J566" s="47" t="s">
        <v>31</v>
      </c>
      <c r="K566" s="48" t="s">
        <v>32</v>
      </c>
      <c r="L566" s="43">
        <v>1</v>
      </c>
      <c r="M566" s="43" t="s">
        <v>33</v>
      </c>
      <c r="N566" s="43" t="s">
        <v>34</v>
      </c>
      <c r="O566" s="43" t="s">
        <v>31</v>
      </c>
      <c r="P566" s="44"/>
    </row>
    <row r="567" spans="1:16" x14ac:dyDescent="0.25">
      <c r="A567" t="str">
        <f t="shared" si="8"/>
        <v>ALR_118_DIR_NORD-Allarme SOS pulsante 118 dir. nord</v>
      </c>
      <c r="B567" t="str">
        <f>VLOOKUP(A567,'EXPORT IRIS PROD 13-11-2024'!A:A,1,0)</f>
        <v>ALR_118_DIR_NORD-Allarme SOS pulsante 118 dir. nord</v>
      </c>
      <c r="C567" t="str">
        <f>VLOOKUP(F567,'EXPORT IRIS PROD 13-11-2024'!F:F,1,0)</f>
        <v>ALR_118_DIR_NORD</v>
      </c>
      <c r="D567" t="str">
        <f>VLOOKUP(G567,'EXPORT IRIS PROD 13-11-2024'!D:D,1,0)</f>
        <v>Allarme SOS pulsante 118 dir. nord</v>
      </c>
      <c r="E567" s="37" t="s">
        <v>26</v>
      </c>
      <c r="F567" s="38" t="s">
        <v>1080</v>
      </c>
      <c r="G567" s="45" t="s">
        <v>1081</v>
      </c>
      <c r="H567" s="46" t="s">
        <v>29</v>
      </c>
      <c r="I567" s="46" t="s">
        <v>1067</v>
      </c>
      <c r="J567" s="47" t="s">
        <v>31</v>
      </c>
      <c r="K567" s="48" t="s">
        <v>32</v>
      </c>
      <c r="L567" s="43">
        <v>1</v>
      </c>
      <c r="M567" s="43" t="s">
        <v>33</v>
      </c>
      <c r="N567" s="43" t="s">
        <v>34</v>
      </c>
      <c r="O567" s="43" t="s">
        <v>31</v>
      </c>
      <c r="P567" s="44"/>
    </row>
    <row r="568" spans="1:16" x14ac:dyDescent="0.25">
      <c r="A568" t="str">
        <f t="shared" si="8"/>
        <v>ALR_118_DIR_SUD-Allarme SOS pulsante 118 dir. sud</v>
      </c>
      <c r="B568" t="str">
        <f>VLOOKUP(A568,'EXPORT IRIS PROD 13-11-2024'!A:A,1,0)</f>
        <v>ALR_118_DIR_SUD-Allarme SOS pulsante 118 dir. sud</v>
      </c>
      <c r="C568" t="str">
        <f>VLOOKUP(F568,'EXPORT IRIS PROD 13-11-2024'!F:F,1,0)</f>
        <v>ALR_118_DIR_SUD</v>
      </c>
      <c r="D568" t="str">
        <f>VLOOKUP(G568,'EXPORT IRIS PROD 13-11-2024'!D:D,1,0)</f>
        <v>Allarme SOS pulsante 118 dir. sud</v>
      </c>
      <c r="E568" s="37" t="s">
        <v>26</v>
      </c>
      <c r="F568" s="38" t="s">
        <v>1082</v>
      </c>
      <c r="G568" s="45" t="s">
        <v>1083</v>
      </c>
      <c r="H568" s="46" t="s">
        <v>29</v>
      </c>
      <c r="I568" s="46" t="s">
        <v>1067</v>
      </c>
      <c r="J568" s="47" t="s">
        <v>31</v>
      </c>
      <c r="K568" s="48" t="s">
        <v>32</v>
      </c>
      <c r="L568" s="43">
        <v>1</v>
      </c>
      <c r="M568" s="43" t="s">
        <v>33</v>
      </c>
      <c r="N568" s="43" t="s">
        <v>34</v>
      </c>
      <c r="O568" s="43" t="s">
        <v>31</v>
      </c>
      <c r="P568" s="44"/>
    </row>
    <row r="569" spans="1:16" x14ac:dyDescent="0.25">
      <c r="A569" t="str">
        <f t="shared" si="8"/>
        <v>ALR_803116_DIR_NORD-Allarme SOS soccorso meccanico dir. Nord</v>
      </c>
      <c r="B569" t="str">
        <f>VLOOKUP(A569,'EXPORT IRIS PROD 13-11-2024'!A:A,1,0)</f>
        <v>ALR_803116_DIR_NORD-Allarme SOS soccorso meccanico dir. Nord</v>
      </c>
      <c r="C569" t="str">
        <f>VLOOKUP(F569,'EXPORT IRIS PROD 13-11-2024'!F:F,1,0)</f>
        <v>ALR_803116_DIR_NORD</v>
      </c>
      <c r="D569" t="str">
        <f>VLOOKUP(G569,'EXPORT IRIS PROD 13-11-2024'!D:D,1,0)</f>
        <v>Allarme SOS soccorso meccanico dir. Nord</v>
      </c>
      <c r="E569" s="37" t="s">
        <v>26</v>
      </c>
      <c r="F569" s="38" t="s">
        <v>1084</v>
      </c>
      <c r="G569" s="45" t="s">
        <v>1085</v>
      </c>
      <c r="H569" s="46" t="s">
        <v>29</v>
      </c>
      <c r="I569" s="46" t="s">
        <v>1067</v>
      </c>
      <c r="J569" s="47" t="s">
        <v>31</v>
      </c>
      <c r="K569" s="48" t="s">
        <v>32</v>
      </c>
      <c r="L569" s="43">
        <v>1</v>
      </c>
      <c r="M569" s="43" t="s">
        <v>33</v>
      </c>
      <c r="N569" s="43" t="s">
        <v>34</v>
      </c>
      <c r="O569" s="43" t="s">
        <v>31</v>
      </c>
      <c r="P569" s="44"/>
    </row>
    <row r="570" spans="1:16" x14ac:dyDescent="0.25">
      <c r="A570" t="str">
        <f t="shared" si="8"/>
        <v>ALR_803116_DIR_SUD-Allarme SOS soccorso meccanico dir. Sud</v>
      </c>
      <c r="B570" t="str">
        <f>VLOOKUP(A570,'EXPORT IRIS PROD 13-11-2024'!A:A,1,0)</f>
        <v>ALR_803116_DIR_SUD-Allarme SOS soccorso meccanico dir. Sud</v>
      </c>
      <c r="C570" t="str">
        <f>VLOOKUP(F570,'EXPORT IRIS PROD 13-11-2024'!F:F,1,0)</f>
        <v>ALR_803116_DIR_SUD</v>
      </c>
      <c r="D570" t="str">
        <f>VLOOKUP(G570,'EXPORT IRIS PROD 13-11-2024'!D:D,1,0)</f>
        <v>Allarme SOS soccorso meccanico dir. Sud</v>
      </c>
      <c r="E570" s="37" t="s">
        <v>26</v>
      </c>
      <c r="F570" s="38" t="s">
        <v>1086</v>
      </c>
      <c r="G570" s="45" t="s">
        <v>1087</v>
      </c>
      <c r="H570" s="46" t="s">
        <v>29</v>
      </c>
      <c r="I570" s="46" t="s">
        <v>1067</v>
      </c>
      <c r="J570" s="47" t="s">
        <v>31</v>
      </c>
      <c r="K570" s="48" t="s">
        <v>32</v>
      </c>
      <c r="L570" s="43">
        <v>1</v>
      </c>
      <c r="M570" s="43" t="s">
        <v>33</v>
      </c>
      <c r="N570" s="43" t="s">
        <v>34</v>
      </c>
      <c r="O570" s="43" t="s">
        <v>31</v>
      </c>
      <c r="P570" s="44"/>
    </row>
    <row r="571" spans="1:16" x14ac:dyDescent="0.25">
      <c r="A571" t="str">
        <f t="shared" si="8"/>
        <v>ALR_ALIMENTAZIONE_DA_BATTERIA-Allarme alimentazione da batteria</v>
      </c>
      <c r="B571" t="str">
        <f>VLOOKUP(A571,'EXPORT IRIS PROD 13-11-2024'!A:A,1,0)</f>
        <v>ALR_ALIMENTAZIONE_DA_BATTERIA-Allarme alimentazione da batteria</v>
      </c>
      <c r="C571" t="str">
        <f>VLOOKUP(F571,'EXPORT IRIS PROD 13-11-2024'!F:F,1,0)</f>
        <v>ALR_ALIMENTAZIONE_DA_BATTERIA</v>
      </c>
      <c r="D571" t="str">
        <f>VLOOKUP(G571,'EXPORT IRIS PROD 13-11-2024'!D:D,1,0)</f>
        <v>Allarme alimentazione da batteria</v>
      </c>
      <c r="E571" s="37" t="s">
        <v>1088</v>
      </c>
      <c r="F571" s="38" t="s">
        <v>1089</v>
      </c>
      <c r="G571" s="45" t="s">
        <v>1090</v>
      </c>
      <c r="H571" s="46" t="s">
        <v>965</v>
      </c>
      <c r="I571" s="46" t="s">
        <v>1091</v>
      </c>
      <c r="J571" s="40" t="s">
        <v>21</v>
      </c>
      <c r="K571" s="41" t="s">
        <v>22</v>
      </c>
      <c r="L571" s="42" t="s">
        <v>23</v>
      </c>
      <c r="M571" s="43" t="s">
        <v>24</v>
      </c>
      <c r="N571" s="42" t="s">
        <v>25</v>
      </c>
      <c r="O571" s="42" t="s">
        <v>21</v>
      </c>
      <c r="P571" s="44"/>
    </row>
    <row r="572" spans="1:16" x14ac:dyDescent="0.25">
      <c r="A572" t="str">
        <f t="shared" si="8"/>
        <v>ALR_ALLINEAMENTO-Allarme allineamento ventilatore</v>
      </c>
      <c r="B572" t="str">
        <f>VLOOKUP(A572,'EXPORT IRIS PROD 13-11-2024'!A:A,1,0)</f>
        <v>ALR_ALLINEAMENTO-Allarme allineamento ventilatore</v>
      </c>
      <c r="C572" t="str">
        <f>VLOOKUP(F572,'EXPORT IRIS PROD 13-11-2024'!F:F,1,0)</f>
        <v>ALR_ALLINEAMENTO</v>
      </c>
      <c r="D572" t="str">
        <f>VLOOKUP(G572,'EXPORT IRIS PROD 13-11-2024'!D:D,1,0)</f>
        <v>Allarme allineamento ventilatore</v>
      </c>
      <c r="E572" s="37" t="s">
        <v>85</v>
      </c>
      <c r="F572" s="38" t="s">
        <v>1092</v>
      </c>
      <c r="G572" s="45" t="s">
        <v>1093</v>
      </c>
      <c r="H572" s="46" t="s">
        <v>50</v>
      </c>
      <c r="I572" s="46" t="s">
        <v>124</v>
      </c>
      <c r="J572" s="40" t="s">
        <v>31</v>
      </c>
      <c r="K572" s="41" t="s">
        <v>32</v>
      </c>
      <c r="L572" s="42">
        <v>3</v>
      </c>
      <c r="M572" s="43" t="s">
        <v>24</v>
      </c>
      <c r="N572" s="42" t="s">
        <v>25</v>
      </c>
      <c r="O572" s="42" t="s">
        <v>21</v>
      </c>
      <c r="P572" s="44"/>
    </row>
    <row r="573" spans="1:16" x14ac:dyDescent="0.25">
      <c r="A573" t="str">
        <f t="shared" si="8"/>
        <v>ALR_ANOMALIA_COMANDO_DIR_DX-Allarme anomalia mancato comando dx</v>
      </c>
      <c r="B573" t="str">
        <f>VLOOKUP(A573,'EXPORT IRIS PROD 13-11-2024'!A:A,1,0)</f>
        <v>ALR_ANOMALIA_COMANDO_DIR_DX-Allarme anomalia mancato comando dx</v>
      </c>
      <c r="C573" t="str">
        <f>VLOOKUP(F573,'EXPORT IRIS PROD 13-11-2024'!F:F,1,0)</f>
        <v>ALR_ANOMALIA_COMANDO_DIR_DX</v>
      </c>
      <c r="D573" t="str">
        <f>VLOOKUP(G573,'EXPORT IRIS PROD 13-11-2024'!D:D,1,0)</f>
        <v>Allarme anomalia mancato comando dx</v>
      </c>
      <c r="E573" s="37" t="s">
        <v>85</v>
      </c>
      <c r="F573" s="38" t="s">
        <v>1094</v>
      </c>
      <c r="G573" s="45" t="s">
        <v>1095</v>
      </c>
      <c r="H573" s="46" t="s">
        <v>50</v>
      </c>
      <c r="I573" s="46" t="s">
        <v>124</v>
      </c>
      <c r="J573" s="40" t="s">
        <v>21</v>
      </c>
      <c r="K573" s="41" t="s">
        <v>22</v>
      </c>
      <c r="L573" s="42" t="s">
        <v>23</v>
      </c>
      <c r="M573" s="43" t="s">
        <v>24</v>
      </c>
      <c r="N573" s="42" t="s">
        <v>25</v>
      </c>
      <c r="O573" s="42" t="s">
        <v>21</v>
      </c>
      <c r="P573" s="44"/>
    </row>
    <row r="574" spans="1:16" x14ac:dyDescent="0.25">
      <c r="A574" t="str">
        <f t="shared" si="8"/>
        <v>ALR_ANOMALIA_COMANDO_DIR_SX-Allarme anomalia mancato comando sx</v>
      </c>
      <c r="B574" t="str">
        <f>VLOOKUP(A574,'EXPORT IRIS PROD 13-11-2024'!A:A,1,0)</f>
        <v>ALR_ANOMALIA_COMANDO_DIR_SX-Allarme anomalia mancato comando sx</v>
      </c>
      <c r="C574" t="str">
        <f>VLOOKUP(F574,'EXPORT IRIS PROD 13-11-2024'!F:F,1,0)</f>
        <v>ALR_ANOMALIA_COMANDO_DIR_SX</v>
      </c>
      <c r="D574" t="str">
        <f>VLOOKUP(G574,'EXPORT IRIS PROD 13-11-2024'!D:D,1,0)</f>
        <v>Allarme anomalia mancato comando sx</v>
      </c>
      <c r="E574" s="37" t="s">
        <v>85</v>
      </c>
      <c r="F574" s="38" t="s">
        <v>1096</v>
      </c>
      <c r="G574" s="45" t="s">
        <v>1097</v>
      </c>
      <c r="H574" s="46" t="s">
        <v>50</v>
      </c>
      <c r="I574" s="46" t="s">
        <v>124</v>
      </c>
      <c r="J574" s="40" t="s">
        <v>21</v>
      </c>
      <c r="K574" s="41" t="s">
        <v>22</v>
      </c>
      <c r="L574" s="42" t="s">
        <v>23</v>
      </c>
      <c r="M574" s="43" t="s">
        <v>24</v>
      </c>
      <c r="N574" s="42" t="s">
        <v>25</v>
      </c>
      <c r="O574" s="42" t="s">
        <v>21</v>
      </c>
      <c r="P574" s="44"/>
    </row>
    <row r="575" spans="1:16" x14ac:dyDescent="0.25">
      <c r="A575" t="str">
        <f t="shared" si="8"/>
        <v>ALR_ANOMALIA_DA_QUADRO-Allarme anomalia da quadro</v>
      </c>
      <c r="B575" t="str">
        <f>VLOOKUP(A575,'EXPORT IRIS PROD 13-11-2024'!A:A,1,0)</f>
        <v>ALR_ANOMALIA_DA_QUADRO-Allarme anomalia da quadro</v>
      </c>
      <c r="C575" t="str">
        <f>VLOOKUP(F575,'EXPORT IRIS PROD 13-11-2024'!F:F,1,0)</f>
        <v>ALR_ANOMALIA_DA_QUADRO</v>
      </c>
      <c r="D575" t="str">
        <f>VLOOKUP(G575,'EXPORT IRIS PROD 13-11-2024'!D:D,1,0)</f>
        <v>Allarme anomalia da quadro</v>
      </c>
      <c r="E575" s="37" t="s">
        <v>85</v>
      </c>
      <c r="F575" s="38" t="s">
        <v>1098</v>
      </c>
      <c r="G575" s="45" t="s">
        <v>1099</v>
      </c>
      <c r="H575" s="46" t="s">
        <v>50</v>
      </c>
      <c r="I575" s="46" t="s">
        <v>124</v>
      </c>
      <c r="J575" s="40" t="s">
        <v>21</v>
      </c>
      <c r="K575" s="41" t="s">
        <v>22</v>
      </c>
      <c r="L575" s="42" t="s">
        <v>23</v>
      </c>
      <c r="M575" s="43" t="s">
        <v>24</v>
      </c>
      <c r="N575" s="42" t="s">
        <v>25</v>
      </c>
      <c r="O575" s="42" t="s">
        <v>21</v>
      </c>
      <c r="P575" s="44"/>
    </row>
    <row r="576" spans="1:16" x14ac:dyDescent="0.25">
      <c r="A576" t="str">
        <f t="shared" si="8"/>
        <v>ALR_ANOMALIA_DA_QUADRO-Allarme anomalia da quadro</v>
      </c>
      <c r="B576" t="str">
        <f>VLOOKUP(A576,'EXPORT IRIS PROD 13-11-2024'!A:A,1,0)</f>
        <v>ALR_ANOMALIA_DA_QUADRO-Allarme anomalia da quadro</v>
      </c>
      <c r="C576" t="str">
        <f>VLOOKUP(F576,'EXPORT IRIS PROD 13-11-2024'!F:F,1,0)</f>
        <v>ALR_ANOMALIA_DA_QUADRO</v>
      </c>
      <c r="D576" t="str">
        <f>VLOOKUP(G576,'EXPORT IRIS PROD 13-11-2024'!D:D,1,0)</f>
        <v>Allarme anomalia da quadro</v>
      </c>
      <c r="E576" s="37" t="s">
        <v>109</v>
      </c>
      <c r="F576" s="38" t="s">
        <v>1098</v>
      </c>
      <c r="G576" s="45" t="s">
        <v>1099</v>
      </c>
      <c r="H576" s="46" t="s">
        <v>111</v>
      </c>
      <c r="I576" s="46" t="s">
        <v>1100</v>
      </c>
      <c r="J576" s="40" t="s">
        <v>21</v>
      </c>
      <c r="K576" s="41" t="s">
        <v>22</v>
      </c>
      <c r="L576" s="42" t="s">
        <v>23</v>
      </c>
      <c r="M576" s="43" t="s">
        <v>24</v>
      </c>
      <c r="N576" s="42" t="s">
        <v>25</v>
      </c>
      <c r="O576" s="42" t="s">
        <v>21</v>
      </c>
      <c r="P576" s="44"/>
    </row>
    <row r="577" spans="1:16" x14ac:dyDescent="0.25">
      <c r="A577" t="str">
        <f t="shared" si="8"/>
        <v>ALR_ANOMALIA_DA_QUADRO-Allarme anomalia da quadro</v>
      </c>
      <c r="B577" t="str">
        <f>VLOOKUP(A577,'EXPORT IRIS PROD 13-11-2024'!A:A,1,0)</f>
        <v>ALR_ANOMALIA_DA_QUADRO-Allarme anomalia da quadro</v>
      </c>
      <c r="C577" t="str">
        <f>VLOOKUP(F577,'EXPORT IRIS PROD 13-11-2024'!F:F,1,0)</f>
        <v>ALR_ANOMALIA_DA_QUADRO</v>
      </c>
      <c r="D577" t="str">
        <f>VLOOKUP(G577,'EXPORT IRIS PROD 13-11-2024'!D:D,1,0)</f>
        <v>Allarme anomalia da quadro</v>
      </c>
      <c r="E577" s="37" t="s">
        <v>53</v>
      </c>
      <c r="F577" s="38" t="s">
        <v>1098</v>
      </c>
      <c r="G577" s="45" t="s">
        <v>1099</v>
      </c>
      <c r="H577" s="46" t="s">
        <v>56</v>
      </c>
      <c r="I577" s="46" t="s">
        <v>114</v>
      </c>
      <c r="J577" s="40" t="s">
        <v>21</v>
      </c>
      <c r="K577" s="41" t="s">
        <v>22</v>
      </c>
      <c r="L577" s="42" t="s">
        <v>23</v>
      </c>
      <c r="M577" s="43" t="s">
        <v>24</v>
      </c>
      <c r="N577" s="42" t="s">
        <v>25</v>
      </c>
      <c r="O577" s="42" t="s">
        <v>21</v>
      </c>
      <c r="P577" s="44"/>
    </row>
    <row r="578" spans="1:16" x14ac:dyDescent="0.25">
      <c r="A578" t="str">
        <f t="shared" si="8"/>
        <v>ALR_ANTA_SOS-Allarme apertura anta colonnina SOS</v>
      </c>
      <c r="B578" t="str">
        <f>VLOOKUP(A578,'EXPORT IRIS PROD 13-11-2024'!A:A,1,0)</f>
        <v>ALR_ANTA_SOS-Allarme apertura anta colonnina SOS</v>
      </c>
      <c r="C578" t="str">
        <f>VLOOKUP(F578,'EXPORT IRIS PROD 13-11-2024'!F:F,1,0)</f>
        <v>ALR_ANTA_SOS</v>
      </c>
      <c r="D578" t="str">
        <f>VLOOKUP(G578,'EXPORT IRIS PROD 13-11-2024'!D:D,1,0)</f>
        <v>Allarme apertura anta colonnina SOS</v>
      </c>
      <c r="E578" s="37" t="s">
        <v>89</v>
      </c>
      <c r="F578" s="38" t="s">
        <v>1101</v>
      </c>
      <c r="G578" s="45" t="s">
        <v>1102</v>
      </c>
      <c r="H578" s="46" t="s">
        <v>1103</v>
      </c>
      <c r="I578" s="46" t="s">
        <v>360</v>
      </c>
      <c r="J578" s="40" t="s">
        <v>21</v>
      </c>
      <c r="K578" s="41" t="s">
        <v>22</v>
      </c>
      <c r="L578" s="42" t="s">
        <v>23</v>
      </c>
      <c r="M578" s="43" t="s">
        <v>24</v>
      </c>
      <c r="N578" s="42" t="s">
        <v>25</v>
      </c>
      <c r="O578" s="42" t="s">
        <v>21</v>
      </c>
      <c r="P578" s="44"/>
    </row>
    <row r="579" spans="1:16" x14ac:dyDescent="0.25">
      <c r="A579" t="str">
        <f t="shared" ref="A579:A642" si="9">CONCATENATE(F579,"-",G579)</f>
        <v>ALR_ASSENZA_ALIMENTAZIONE-Allarme assenza alimentazione</v>
      </c>
      <c r="B579" t="str">
        <f>VLOOKUP(A579,'EXPORT IRIS PROD 13-11-2024'!A:A,1,0)</f>
        <v>ALR_ASSENZA_ALIMENTAZIONE-Allarme assenza alimentazione</v>
      </c>
      <c r="C579" t="str">
        <f>VLOOKUP(F579,'EXPORT IRIS PROD 13-11-2024'!F:F,1,0)</f>
        <v>ALR_ASSENZA_ALIMENTAZIONE</v>
      </c>
      <c r="D579" t="str">
        <f>VLOOKUP(G579,'EXPORT IRIS PROD 13-11-2024'!D:D,1,0)</f>
        <v>Allarme assenza alimentazione</v>
      </c>
      <c r="E579" s="37" t="s">
        <v>85</v>
      </c>
      <c r="F579" s="38" t="s">
        <v>1104</v>
      </c>
      <c r="G579" s="45" t="s">
        <v>1105</v>
      </c>
      <c r="H579" s="46" t="s">
        <v>50</v>
      </c>
      <c r="I579" s="46" t="s">
        <v>124</v>
      </c>
      <c r="J579" s="40" t="s">
        <v>21</v>
      </c>
      <c r="K579" s="41" t="s">
        <v>22</v>
      </c>
      <c r="L579" s="42" t="s">
        <v>23</v>
      </c>
      <c r="M579" s="43" t="s">
        <v>24</v>
      </c>
      <c r="N579" s="42" t="s">
        <v>25</v>
      </c>
      <c r="O579" s="42" t="s">
        <v>21</v>
      </c>
      <c r="P579" s="44"/>
    </row>
    <row r="580" spans="1:16" x14ac:dyDescent="0.25">
      <c r="A580" t="str">
        <f t="shared" si="9"/>
        <v>ALR_ASSENZA_ALIMENTAZIONE-Allarme assenza alimentazione</v>
      </c>
      <c r="B580" t="str">
        <f>VLOOKUP(A580,'EXPORT IRIS PROD 13-11-2024'!A:A,1,0)</f>
        <v>ALR_ASSENZA_ALIMENTAZIONE-Allarme assenza alimentazione</v>
      </c>
      <c r="C580" t="str">
        <f>VLOOKUP(F580,'EXPORT IRIS PROD 13-11-2024'!F:F,1,0)</f>
        <v>ALR_ASSENZA_ALIMENTAZIONE</v>
      </c>
      <c r="D580" t="str">
        <f>VLOOKUP(G580,'EXPORT IRIS PROD 13-11-2024'!D:D,1,0)</f>
        <v>Allarme assenza alimentazione</v>
      </c>
      <c r="E580" s="37" t="s">
        <v>53</v>
      </c>
      <c r="F580" s="38" t="s">
        <v>1104</v>
      </c>
      <c r="G580" s="45" t="s">
        <v>1105</v>
      </c>
      <c r="H580" s="46" t="s">
        <v>1106</v>
      </c>
      <c r="I580" s="46" t="s">
        <v>1107</v>
      </c>
      <c r="J580" s="40" t="s">
        <v>21</v>
      </c>
      <c r="K580" s="41" t="s">
        <v>22</v>
      </c>
      <c r="L580" s="42" t="s">
        <v>23</v>
      </c>
      <c r="M580" s="43" t="s">
        <v>24</v>
      </c>
      <c r="N580" s="42" t="s">
        <v>25</v>
      </c>
      <c r="O580" s="42" t="s">
        <v>21</v>
      </c>
      <c r="P580" s="44"/>
    </row>
    <row r="581" spans="1:16" x14ac:dyDescent="0.25">
      <c r="A581" t="str">
        <f t="shared" si="9"/>
        <v>ALR_ASSENZA_ALIMENTAZIONE-Allarme assenza alimentazione</v>
      </c>
      <c r="B581" t="str">
        <f>VLOOKUP(A581,'EXPORT IRIS PROD 13-11-2024'!A:A,1,0)</f>
        <v>ALR_ASSENZA_ALIMENTAZIONE-Allarme assenza alimentazione</v>
      </c>
      <c r="C581" t="str">
        <f>VLOOKUP(F581,'EXPORT IRIS PROD 13-11-2024'!F:F,1,0)</f>
        <v>ALR_ASSENZA_ALIMENTAZIONE</v>
      </c>
      <c r="D581" t="str">
        <f>VLOOKUP(G581,'EXPORT IRIS PROD 13-11-2024'!D:D,1,0)</f>
        <v>Allarme assenza alimentazione</v>
      </c>
      <c r="E581" s="37" t="s">
        <v>1108</v>
      </c>
      <c r="F581" s="38" t="s">
        <v>1104</v>
      </c>
      <c r="G581" s="45" t="s">
        <v>1105</v>
      </c>
      <c r="H581" s="46" t="s">
        <v>1109</v>
      </c>
      <c r="I581" s="46" t="s">
        <v>1110</v>
      </c>
      <c r="J581" s="40" t="s">
        <v>21</v>
      </c>
      <c r="K581" s="41" t="s">
        <v>22</v>
      </c>
      <c r="L581" s="42" t="s">
        <v>23</v>
      </c>
      <c r="M581" s="43" t="s">
        <v>24</v>
      </c>
      <c r="N581" s="42" t="s">
        <v>25</v>
      </c>
      <c r="O581" s="42" t="s">
        <v>21</v>
      </c>
      <c r="P581" s="44"/>
    </row>
    <row r="582" spans="1:16" x14ac:dyDescent="0.25">
      <c r="A582" t="str">
        <f t="shared" si="9"/>
        <v>ALR_ASSENZA_TENSIONE_2_IMP-Allarme assenza tensione dispositivo</v>
      </c>
      <c r="B582" t="str">
        <f>VLOOKUP(A582,'EXPORT IRIS PROD 13-11-2024'!A:A,1,0)</f>
        <v>ALR_ASSENZA_TENSIONE_2_IMP-Allarme assenza tensione dispositivo</v>
      </c>
      <c r="C582" t="str">
        <f>VLOOKUP(F582,'EXPORT IRIS PROD 13-11-2024'!F:F,1,0)</f>
        <v>ALR_ASSENZA_TENSIONE_2_IMP</v>
      </c>
      <c r="D582" t="str">
        <f>VLOOKUP(G582,'EXPORT IRIS PROD 13-11-2024'!D:D,1,0)</f>
        <v>Allarme assenza tensione dispositivo</v>
      </c>
      <c r="E582" s="37" t="s">
        <v>53</v>
      </c>
      <c r="F582" s="38" t="s">
        <v>110</v>
      </c>
      <c r="G582" s="38" t="s">
        <v>107</v>
      </c>
      <c r="H582" s="39" t="s">
        <v>56</v>
      </c>
      <c r="I582" s="39" t="s">
        <v>104</v>
      </c>
      <c r="J582" s="40" t="s">
        <v>21</v>
      </c>
      <c r="K582" s="41" t="s">
        <v>22</v>
      </c>
      <c r="L582" s="42" t="s">
        <v>23</v>
      </c>
      <c r="M582" s="43" t="s">
        <v>24</v>
      </c>
      <c r="N582" s="42" t="s">
        <v>25</v>
      </c>
      <c r="O582" s="42" t="s">
        <v>21</v>
      </c>
      <c r="P582" s="44"/>
    </row>
    <row r="583" spans="1:16" x14ac:dyDescent="0.25">
      <c r="A583" t="str">
        <f t="shared" si="9"/>
        <v>ALR_ASSENZA_TENSIONE_24V-Allarme assenza tensione 24V</v>
      </c>
      <c r="B583" t="str">
        <f>VLOOKUP(A583,'EXPORT IRIS PROD 13-11-2024'!A:A,1,0)</f>
        <v>ALR_ASSENZA_TENSIONE_24V-Allarme assenza tensione 24V</v>
      </c>
      <c r="C583" t="str">
        <f>VLOOKUP(F583,'EXPORT IRIS PROD 13-11-2024'!F:F,1,0)</f>
        <v>ALR_ASSENZA_TENSIONE_24V</v>
      </c>
      <c r="D583" t="str">
        <f>VLOOKUP(G583,'EXPORT IRIS PROD 13-11-2024'!D:D,1,0)</f>
        <v>Allarme assenza tensione 24V</v>
      </c>
      <c r="E583" s="37" t="s">
        <v>1088</v>
      </c>
      <c r="F583" s="38" t="s">
        <v>1111</v>
      </c>
      <c r="G583" s="45" t="s">
        <v>1112</v>
      </c>
      <c r="H583" s="46" t="s">
        <v>1113</v>
      </c>
      <c r="I583" s="46" t="s">
        <v>1091</v>
      </c>
      <c r="J583" s="40" t="s">
        <v>21</v>
      </c>
      <c r="K583" s="41" t="s">
        <v>22</v>
      </c>
      <c r="L583" s="42" t="s">
        <v>23</v>
      </c>
      <c r="M583" s="43" t="s">
        <v>24</v>
      </c>
      <c r="N583" s="42" t="s">
        <v>25</v>
      </c>
      <c r="O583" s="42" t="s">
        <v>21</v>
      </c>
      <c r="P583" s="44"/>
    </row>
    <row r="584" spans="1:16" x14ac:dyDescent="0.25">
      <c r="A584" t="str">
        <f t="shared" si="9"/>
        <v>ALR_ASSENZA_TENSIONE_400V-Allarme assenza tensione 400V</v>
      </c>
      <c r="B584" t="str">
        <f>VLOOKUP(A584,'EXPORT IRIS PROD 13-11-2024'!A:A,1,0)</f>
        <v>ALR_ASSENZA_TENSIONE_400V-Allarme assenza tensione 400V</v>
      </c>
      <c r="C584" t="str">
        <f>VLOOKUP(F584,'EXPORT IRIS PROD 13-11-2024'!F:F,1,0)</f>
        <v>ALR_ASSENZA_TENSIONE_400V</v>
      </c>
      <c r="D584" t="str">
        <f>VLOOKUP(G584,'EXPORT IRIS PROD 13-11-2024'!D:D,1,0)</f>
        <v>Allarme assenza tensione 400V</v>
      </c>
      <c r="E584" s="37" t="s">
        <v>53</v>
      </c>
      <c r="F584" s="38" t="s">
        <v>1114</v>
      </c>
      <c r="G584" s="45" t="s">
        <v>1115</v>
      </c>
      <c r="H584" s="46" t="s">
        <v>1106</v>
      </c>
      <c r="I584" s="46" t="s">
        <v>114</v>
      </c>
      <c r="J584" s="40" t="s">
        <v>21</v>
      </c>
      <c r="K584" s="41" t="s">
        <v>22</v>
      </c>
      <c r="L584" s="42" t="s">
        <v>23</v>
      </c>
      <c r="M584" s="43" t="s">
        <v>24</v>
      </c>
      <c r="N584" s="42" t="s">
        <v>25</v>
      </c>
      <c r="O584" s="42" t="s">
        <v>21</v>
      </c>
      <c r="P584" s="44"/>
    </row>
    <row r="585" spans="1:16" x14ac:dyDescent="0.25">
      <c r="A585" t="str">
        <f t="shared" si="9"/>
        <v>ALR_ASSENZA_TENSIONE_400V-Allarme assenza tensione 400V</v>
      </c>
      <c r="B585" t="str">
        <f>VLOOKUP(A585,'EXPORT IRIS PROD 13-11-2024'!A:A,1,0)</f>
        <v>ALR_ASSENZA_TENSIONE_400V-Allarme assenza tensione 400V</v>
      </c>
      <c r="C585" t="str">
        <f>VLOOKUP(F585,'EXPORT IRIS PROD 13-11-2024'!F:F,1,0)</f>
        <v>ALR_ASSENZA_TENSIONE_400V</v>
      </c>
      <c r="D585" t="str">
        <f>VLOOKUP(G585,'EXPORT IRIS PROD 13-11-2024'!D:D,1,0)</f>
        <v>Allarme assenza tensione 400V</v>
      </c>
      <c r="E585" s="37" t="s">
        <v>53</v>
      </c>
      <c r="F585" s="38" t="s">
        <v>1114</v>
      </c>
      <c r="G585" s="45" t="s">
        <v>1115</v>
      </c>
      <c r="H585" s="46" t="s">
        <v>56</v>
      </c>
      <c r="I585" s="46" t="s">
        <v>114</v>
      </c>
      <c r="J585" s="40" t="s">
        <v>21</v>
      </c>
      <c r="K585" s="41" t="s">
        <v>22</v>
      </c>
      <c r="L585" s="42" t="s">
        <v>23</v>
      </c>
      <c r="M585" s="43" t="s">
        <v>24</v>
      </c>
      <c r="N585" s="42" t="s">
        <v>25</v>
      </c>
      <c r="O585" s="42" t="s">
        <v>21</v>
      </c>
      <c r="P585" s="44"/>
    </row>
    <row r="586" spans="1:16" x14ac:dyDescent="0.25">
      <c r="A586" t="str">
        <f t="shared" si="9"/>
        <v>ALR_ASSENZA_TENSIONE_48V-Allarme assenza tensione 48V</v>
      </c>
      <c r="B586" t="str">
        <f>VLOOKUP(A586,'EXPORT IRIS PROD 13-11-2024'!A:A,1,0)</f>
        <v>ALR_ASSENZA_TENSIONE_48V-Allarme assenza tensione 48V</v>
      </c>
      <c r="C586" t="str">
        <f>VLOOKUP(F586,'EXPORT IRIS PROD 13-11-2024'!F:F,1,0)</f>
        <v>ALR_ASSENZA_TENSIONE_48V</v>
      </c>
      <c r="D586" t="str">
        <f>VLOOKUP(G586,'EXPORT IRIS PROD 13-11-2024'!D:D,1,0)</f>
        <v>Allarme assenza tensione 48V</v>
      </c>
      <c r="E586" s="37" t="s">
        <v>1088</v>
      </c>
      <c r="F586" s="38" t="s">
        <v>1116</v>
      </c>
      <c r="G586" s="45" t="s">
        <v>1117</v>
      </c>
      <c r="H586" s="46" t="s">
        <v>1113</v>
      </c>
      <c r="I586" s="46" t="s">
        <v>1091</v>
      </c>
      <c r="J586" s="40" t="s">
        <v>21</v>
      </c>
      <c r="K586" s="41" t="s">
        <v>22</v>
      </c>
      <c r="L586" s="42" t="s">
        <v>23</v>
      </c>
      <c r="M586" s="43" t="s">
        <v>24</v>
      </c>
      <c r="N586" s="42" t="s">
        <v>25</v>
      </c>
      <c r="O586" s="42" t="s">
        <v>21</v>
      </c>
      <c r="P586" s="44"/>
    </row>
    <row r="587" spans="1:16" x14ac:dyDescent="0.25">
      <c r="A587" t="str">
        <f t="shared" si="9"/>
        <v>ALR_ASSENZA_TENSIONE_690V-Allarme assenza tensione 690V</v>
      </c>
      <c r="B587" t="str">
        <f>VLOOKUP(A587,'EXPORT IRIS PROD 13-11-2024'!A:A,1,0)</f>
        <v>ALR_ASSENZA_TENSIONE_690V-Allarme assenza tensione 690V</v>
      </c>
      <c r="C587" t="str">
        <f>VLOOKUP(F587,'EXPORT IRIS PROD 13-11-2024'!F:F,1,0)</f>
        <v>ALR_ASSENZA_TENSIONE_690V</v>
      </c>
      <c r="D587" t="str">
        <f>VLOOKUP(G587,'EXPORT IRIS PROD 13-11-2024'!D:D,1,0)</f>
        <v>Allarme assenza tensione 690V</v>
      </c>
      <c r="E587" s="37" t="s">
        <v>53</v>
      </c>
      <c r="F587" s="38" t="s">
        <v>1118</v>
      </c>
      <c r="G587" s="45" t="s">
        <v>1119</v>
      </c>
      <c r="H587" s="46" t="s">
        <v>1106</v>
      </c>
      <c r="I587" s="46" t="s">
        <v>114</v>
      </c>
      <c r="J587" s="40" t="s">
        <v>21</v>
      </c>
      <c r="K587" s="41" t="s">
        <v>22</v>
      </c>
      <c r="L587" s="42" t="s">
        <v>23</v>
      </c>
      <c r="M587" s="43" t="s">
        <v>24</v>
      </c>
      <c r="N587" s="42" t="s">
        <v>25</v>
      </c>
      <c r="O587" s="42" t="s">
        <v>21</v>
      </c>
      <c r="P587" s="44"/>
    </row>
    <row r="588" spans="1:16" x14ac:dyDescent="0.25">
      <c r="A588" t="str">
        <f t="shared" si="9"/>
        <v>ALR_ASSENZA_TENSIONE_690V-Allarme assenza tensione 690V</v>
      </c>
      <c r="B588" t="str">
        <f>VLOOKUP(A588,'EXPORT IRIS PROD 13-11-2024'!A:A,1,0)</f>
        <v>ALR_ASSENZA_TENSIONE_690V-Allarme assenza tensione 690V</v>
      </c>
      <c r="C588" t="str">
        <f>VLOOKUP(F588,'EXPORT IRIS PROD 13-11-2024'!F:F,1,0)</f>
        <v>ALR_ASSENZA_TENSIONE_690V</v>
      </c>
      <c r="D588" t="str">
        <f>VLOOKUP(G588,'EXPORT IRIS PROD 13-11-2024'!D:D,1,0)</f>
        <v>Allarme assenza tensione 690V</v>
      </c>
      <c r="E588" s="37" t="s">
        <v>53</v>
      </c>
      <c r="F588" s="38" t="s">
        <v>1118</v>
      </c>
      <c r="G588" s="45" t="s">
        <v>1119</v>
      </c>
      <c r="H588" s="46" t="s">
        <v>56</v>
      </c>
      <c r="I588" s="46" t="s">
        <v>114</v>
      </c>
      <c r="J588" s="40" t="s">
        <v>21</v>
      </c>
      <c r="K588" s="41" t="s">
        <v>22</v>
      </c>
      <c r="L588" s="42" t="s">
        <v>23</v>
      </c>
      <c r="M588" s="43" t="s">
        <v>24</v>
      </c>
      <c r="N588" s="42" t="s">
        <v>25</v>
      </c>
      <c r="O588" s="42" t="s">
        <v>21</v>
      </c>
      <c r="P588" s="44"/>
    </row>
    <row r="589" spans="1:16" x14ac:dyDescent="0.25">
      <c r="A589" t="str">
        <f t="shared" si="9"/>
        <v>ALR_ASSENZA_TENSIONE_ALIM_PALI-Allarme assenza tensione dispositivo alimentazione pali</v>
      </c>
      <c r="B589" t="str">
        <f>VLOOKUP(A589,'EXPORT IRIS PROD 13-11-2024'!A:A,1,0)</f>
        <v>ALR_ASSENZA_TENSIONE_ALIM_PALI-Allarme assenza tensione dispositivo alimentazione pali</v>
      </c>
      <c r="C589" t="str">
        <f>VLOOKUP(F589,'EXPORT IRIS PROD 13-11-2024'!F:F,1,0)</f>
        <v>ALR_ASSENZA_TENSIONE_ALIM_PALI</v>
      </c>
      <c r="D589" t="str">
        <f>VLOOKUP(G589,'EXPORT IRIS PROD 13-11-2024'!D:D,1,0)</f>
        <v>Allarme assenza tensione dispositivo alimentazione pali</v>
      </c>
      <c r="E589" s="37" t="s">
        <v>53</v>
      </c>
      <c r="F589" s="38" t="s">
        <v>1120</v>
      </c>
      <c r="G589" s="45" t="s">
        <v>1121</v>
      </c>
      <c r="H589" s="46" t="s">
        <v>1106</v>
      </c>
      <c r="I589" s="46" t="s">
        <v>1122</v>
      </c>
      <c r="J589" s="40" t="s">
        <v>21</v>
      </c>
      <c r="K589" s="41" t="s">
        <v>22</v>
      </c>
      <c r="L589" s="42" t="s">
        <v>23</v>
      </c>
      <c r="M589" s="43" t="s">
        <v>24</v>
      </c>
      <c r="N589" s="42" t="s">
        <v>25</v>
      </c>
      <c r="O589" s="42" t="s">
        <v>21</v>
      </c>
      <c r="P589" s="44"/>
    </row>
    <row r="590" spans="1:16" x14ac:dyDescent="0.25">
      <c r="A590" t="str">
        <f t="shared" si="9"/>
        <v>ALR_ASSENZA_TENSIONE_ALIM_PALI-Allarme assenza tensione dispositivo alimentazione pali</v>
      </c>
      <c r="B590" t="str">
        <f>VLOOKUP(A590,'EXPORT IRIS PROD 13-11-2024'!A:A,1,0)</f>
        <v>ALR_ASSENZA_TENSIONE_ALIM_PALI-Allarme assenza tensione dispositivo alimentazione pali</v>
      </c>
      <c r="C590" t="str">
        <f>VLOOKUP(F590,'EXPORT IRIS PROD 13-11-2024'!F:F,1,0)</f>
        <v>ALR_ASSENZA_TENSIONE_ALIM_PALI</v>
      </c>
      <c r="D590" t="str">
        <f>VLOOKUP(G590,'EXPORT IRIS PROD 13-11-2024'!D:D,1,0)</f>
        <v>Allarme assenza tensione dispositivo alimentazione pali</v>
      </c>
      <c r="E590" s="37" t="s">
        <v>53</v>
      </c>
      <c r="F590" s="38" t="s">
        <v>1120</v>
      </c>
      <c r="G590" s="45" t="s">
        <v>1121</v>
      </c>
      <c r="H590" s="46" t="s">
        <v>56</v>
      </c>
      <c r="I590" s="46" t="s">
        <v>1122</v>
      </c>
      <c r="J590" s="40" t="s">
        <v>21</v>
      </c>
      <c r="K590" s="41" t="s">
        <v>22</v>
      </c>
      <c r="L590" s="42" t="s">
        <v>23</v>
      </c>
      <c r="M590" s="43" t="s">
        <v>24</v>
      </c>
      <c r="N590" s="42" t="s">
        <v>25</v>
      </c>
      <c r="O590" s="42" t="s">
        <v>21</v>
      </c>
      <c r="P590" s="44"/>
    </row>
    <row r="591" spans="1:16" x14ac:dyDescent="0.25">
      <c r="A591" t="str">
        <f t="shared" si="9"/>
        <v>ALR_ASSENZA_TENSIONE_ALIM_TORRI-Allarme assenza tensione dispositivo alimentazione torri</v>
      </c>
      <c r="B591" t="str">
        <f>VLOOKUP(A591,'EXPORT IRIS PROD 13-11-2024'!A:A,1,0)</f>
        <v>ALR_ASSENZA_TENSIONE_ALIM_TORRI-Allarme assenza tensione dispositivo alimentazione torri</v>
      </c>
      <c r="C591" t="str">
        <f>VLOOKUP(F591,'EXPORT IRIS PROD 13-11-2024'!F:F,1,0)</f>
        <v>ALR_ASSENZA_TENSIONE_ALIM_TORRI</v>
      </c>
      <c r="D591" t="str">
        <f>VLOOKUP(G591,'EXPORT IRIS PROD 13-11-2024'!D:D,1,0)</f>
        <v>Allarme assenza tensione dispositivo alimentazione torri</v>
      </c>
      <c r="E591" s="37" t="s">
        <v>53</v>
      </c>
      <c r="F591" s="38" t="s">
        <v>1123</v>
      </c>
      <c r="G591" s="45" t="s">
        <v>1124</v>
      </c>
      <c r="H591" s="46" t="s">
        <v>1106</v>
      </c>
      <c r="I591" s="46" t="s">
        <v>1122</v>
      </c>
      <c r="J591" s="40" t="s">
        <v>21</v>
      </c>
      <c r="K591" s="41" t="s">
        <v>22</v>
      </c>
      <c r="L591" s="42" t="s">
        <v>23</v>
      </c>
      <c r="M591" s="43" t="s">
        <v>24</v>
      </c>
      <c r="N591" s="42" t="s">
        <v>25</v>
      </c>
      <c r="O591" s="42" t="s">
        <v>21</v>
      </c>
      <c r="P591" s="44"/>
    </row>
    <row r="592" spans="1:16" x14ac:dyDescent="0.25">
      <c r="A592" t="str">
        <f t="shared" si="9"/>
        <v>ALR_ASSENZA_TENSIONE_ALIM_TORRI-Allarme assenza tensione dispositivo alimentazione torri</v>
      </c>
      <c r="B592" t="str">
        <f>VLOOKUP(A592,'EXPORT IRIS PROD 13-11-2024'!A:A,1,0)</f>
        <v>ALR_ASSENZA_TENSIONE_ALIM_TORRI-Allarme assenza tensione dispositivo alimentazione torri</v>
      </c>
      <c r="C592" t="str">
        <f>VLOOKUP(F592,'EXPORT IRIS PROD 13-11-2024'!F:F,1,0)</f>
        <v>ALR_ASSENZA_TENSIONE_ALIM_TORRI</v>
      </c>
      <c r="D592" t="str">
        <f>VLOOKUP(G592,'EXPORT IRIS PROD 13-11-2024'!D:D,1,0)</f>
        <v>Allarme assenza tensione dispositivo alimentazione torri</v>
      </c>
      <c r="E592" s="37" t="s">
        <v>53</v>
      </c>
      <c r="F592" s="38" t="s">
        <v>1123</v>
      </c>
      <c r="G592" s="45" t="s">
        <v>1124</v>
      </c>
      <c r="H592" s="46" t="s">
        <v>56</v>
      </c>
      <c r="I592" s="46" t="s">
        <v>1122</v>
      </c>
      <c r="J592" s="40" t="s">
        <v>21</v>
      </c>
      <c r="K592" s="41" t="s">
        <v>22</v>
      </c>
      <c r="L592" s="42" t="s">
        <v>23</v>
      </c>
      <c r="M592" s="43" t="s">
        <v>24</v>
      </c>
      <c r="N592" s="42" t="s">
        <v>25</v>
      </c>
      <c r="O592" s="42" t="s">
        <v>21</v>
      </c>
      <c r="P592" s="44"/>
    </row>
    <row r="593" spans="1:16" x14ac:dyDescent="0.25">
      <c r="A593" t="str">
        <f t="shared" si="9"/>
        <v>ALR_ASSENZA_TENSIONE_AUX-Allarme assenza tensione aux</v>
      </c>
      <c r="B593" t="str">
        <f>VLOOKUP(A593,'EXPORT IRIS PROD 13-11-2024'!A:A,1,0)</f>
        <v>ALR_ASSENZA_TENSIONE_AUX-Allarme assenza tensione aux</v>
      </c>
      <c r="C593" t="str">
        <f>VLOOKUP(F593,'EXPORT IRIS PROD 13-11-2024'!F:F,1,0)</f>
        <v>ALR_ASSENZA_TENSIONE_AUX</v>
      </c>
      <c r="D593" t="str">
        <f>VLOOKUP(G593,'EXPORT IRIS PROD 13-11-2024'!D:D,1,0)</f>
        <v>Allarme assenza tensione aux</v>
      </c>
      <c r="E593" s="37" t="s">
        <v>53</v>
      </c>
      <c r="F593" s="38" t="s">
        <v>1125</v>
      </c>
      <c r="G593" s="45" t="s">
        <v>1126</v>
      </c>
      <c r="H593" s="46" t="s">
        <v>1106</v>
      </c>
      <c r="I593" s="46" t="s">
        <v>114</v>
      </c>
      <c r="J593" s="40" t="s">
        <v>21</v>
      </c>
      <c r="K593" s="41" t="s">
        <v>22</v>
      </c>
      <c r="L593" s="42" t="s">
        <v>23</v>
      </c>
      <c r="M593" s="43" t="s">
        <v>24</v>
      </c>
      <c r="N593" s="42" t="s">
        <v>25</v>
      </c>
      <c r="O593" s="42" t="s">
        <v>21</v>
      </c>
      <c r="P593" s="44"/>
    </row>
    <row r="594" spans="1:16" x14ac:dyDescent="0.25">
      <c r="A594" t="str">
        <f t="shared" si="9"/>
        <v>ALR_ASSENZA_TENSIONE_FASE_L1-Allarme assenza tensione dispositivo fase L1</v>
      </c>
      <c r="B594" t="str">
        <f>VLOOKUP(A594,'EXPORT IRIS PROD 13-11-2024'!A:A,1,0)</f>
        <v>ALR_ASSENZA_TENSIONE_FASE_L1-Allarme assenza tensione dispositivo fase L1</v>
      </c>
      <c r="C594" t="str">
        <f>VLOOKUP(F594,'EXPORT IRIS PROD 13-11-2024'!F:F,1,0)</f>
        <v>ALR_ASSENZA_TENSIONE_FASE_L1</v>
      </c>
      <c r="D594" t="str">
        <f>VLOOKUP(G594,'EXPORT IRIS PROD 13-11-2024'!D:D,1,0)</f>
        <v>Allarme assenza tensione dispositivo fase L1</v>
      </c>
      <c r="E594" s="37" t="s">
        <v>53</v>
      </c>
      <c r="F594" s="38" t="s">
        <v>1127</v>
      </c>
      <c r="G594" s="45" t="s">
        <v>1128</v>
      </c>
      <c r="H594" s="46" t="s">
        <v>56</v>
      </c>
      <c r="I594" s="46" t="s">
        <v>114</v>
      </c>
      <c r="J594" s="40" t="s">
        <v>21</v>
      </c>
      <c r="K594" s="41" t="s">
        <v>22</v>
      </c>
      <c r="L594" s="42" t="s">
        <v>23</v>
      </c>
      <c r="M594" s="43" t="s">
        <v>24</v>
      </c>
      <c r="N594" s="42" t="s">
        <v>25</v>
      </c>
      <c r="O594" s="42" t="s">
        <v>21</v>
      </c>
      <c r="P594" s="44"/>
    </row>
    <row r="595" spans="1:16" x14ac:dyDescent="0.25">
      <c r="A595" t="str">
        <f t="shared" si="9"/>
        <v>ALR_ASSENZA_TENSIONE_FASE_L1-Allarme assenza tensione dispositivo fase L1</v>
      </c>
      <c r="B595" t="str">
        <f>VLOOKUP(A595,'EXPORT IRIS PROD 13-11-2024'!A:A,1,0)</f>
        <v>ALR_ASSENZA_TENSIONE_FASE_L1-Allarme assenza tensione dispositivo fase L1</v>
      </c>
      <c r="C595" t="str">
        <f>VLOOKUP(F595,'EXPORT IRIS PROD 13-11-2024'!F:F,1,0)</f>
        <v>ALR_ASSENZA_TENSIONE_FASE_L1</v>
      </c>
      <c r="D595" t="str">
        <f>VLOOKUP(G595,'EXPORT IRIS PROD 13-11-2024'!D:D,1,0)</f>
        <v>Allarme assenza tensione dispositivo fase L1</v>
      </c>
      <c r="E595" s="37" t="s">
        <v>53</v>
      </c>
      <c r="F595" s="38" t="s">
        <v>1127</v>
      </c>
      <c r="G595" s="45" t="s">
        <v>1128</v>
      </c>
      <c r="H595" s="46" t="s">
        <v>56</v>
      </c>
      <c r="I595" s="46" t="s">
        <v>1122</v>
      </c>
      <c r="J595" s="40" t="s">
        <v>21</v>
      </c>
      <c r="K595" s="41" t="s">
        <v>22</v>
      </c>
      <c r="L595" s="42" t="s">
        <v>23</v>
      </c>
      <c r="M595" s="43" t="s">
        <v>24</v>
      </c>
      <c r="N595" s="42" t="s">
        <v>25</v>
      </c>
      <c r="O595" s="42" t="s">
        <v>21</v>
      </c>
      <c r="P595" s="44"/>
    </row>
    <row r="596" spans="1:16" x14ac:dyDescent="0.25">
      <c r="A596" t="str">
        <f t="shared" si="9"/>
        <v>ALR_ASSENZA_TENSIONE_FASE_L1-Allarme assenza tensione dispositivo fase L1</v>
      </c>
      <c r="B596" t="str">
        <f>VLOOKUP(A596,'EXPORT IRIS PROD 13-11-2024'!A:A,1,0)</f>
        <v>ALR_ASSENZA_TENSIONE_FASE_L1-Allarme assenza tensione dispositivo fase L1</v>
      </c>
      <c r="C596" t="str">
        <f>VLOOKUP(F596,'EXPORT IRIS PROD 13-11-2024'!F:F,1,0)</f>
        <v>ALR_ASSENZA_TENSIONE_FASE_L1</v>
      </c>
      <c r="D596" t="str">
        <f>VLOOKUP(G596,'EXPORT IRIS PROD 13-11-2024'!D:D,1,0)</f>
        <v>Allarme assenza tensione dispositivo fase L1</v>
      </c>
      <c r="E596" s="37" t="s">
        <v>53</v>
      </c>
      <c r="F596" s="38" t="s">
        <v>1127</v>
      </c>
      <c r="G596" s="45" t="s">
        <v>1128</v>
      </c>
      <c r="H596" s="46" t="s">
        <v>56</v>
      </c>
      <c r="I596" s="46" t="s">
        <v>208</v>
      </c>
      <c r="J596" s="40" t="s">
        <v>21</v>
      </c>
      <c r="K596" s="41" t="s">
        <v>22</v>
      </c>
      <c r="L596" s="42" t="s">
        <v>23</v>
      </c>
      <c r="M596" s="43" t="s">
        <v>24</v>
      </c>
      <c r="N596" s="42" t="s">
        <v>25</v>
      </c>
      <c r="O596" s="42" t="s">
        <v>21</v>
      </c>
      <c r="P596" s="44"/>
    </row>
    <row r="597" spans="1:16" x14ac:dyDescent="0.25">
      <c r="A597" t="str">
        <f t="shared" si="9"/>
        <v>ALR_ASSENZA_TENSIONE_FASE_L2-Allarme assenza tensione dispositivo fase L2</v>
      </c>
      <c r="B597" t="str">
        <f>VLOOKUP(A597,'EXPORT IRIS PROD 13-11-2024'!A:A,1,0)</f>
        <v>ALR_ASSENZA_TENSIONE_FASE_L2-Allarme assenza tensione dispositivo fase L2</v>
      </c>
      <c r="C597" t="str">
        <f>VLOOKUP(F597,'EXPORT IRIS PROD 13-11-2024'!F:F,1,0)</f>
        <v>ALR_ASSENZA_TENSIONE_FASE_L2</v>
      </c>
      <c r="D597" t="str">
        <f>VLOOKUP(G597,'EXPORT IRIS PROD 13-11-2024'!D:D,1,0)</f>
        <v>Allarme assenza tensione dispositivo fase L2</v>
      </c>
      <c r="E597" s="37" t="s">
        <v>53</v>
      </c>
      <c r="F597" s="38" t="s">
        <v>1129</v>
      </c>
      <c r="G597" s="45" t="s">
        <v>1130</v>
      </c>
      <c r="H597" s="46" t="s">
        <v>56</v>
      </c>
      <c r="I597" s="46" t="s">
        <v>114</v>
      </c>
      <c r="J597" s="40" t="s">
        <v>21</v>
      </c>
      <c r="K597" s="41" t="s">
        <v>22</v>
      </c>
      <c r="L597" s="42" t="s">
        <v>23</v>
      </c>
      <c r="M597" s="43" t="s">
        <v>24</v>
      </c>
      <c r="N597" s="42" t="s">
        <v>25</v>
      </c>
      <c r="O597" s="42" t="s">
        <v>21</v>
      </c>
      <c r="P597" s="44"/>
    </row>
    <row r="598" spans="1:16" x14ac:dyDescent="0.25">
      <c r="A598" t="str">
        <f t="shared" si="9"/>
        <v>ALR_ASSENZA_TENSIONE_FASE_L2-Allarme assenza tensione dispositivo fase L2</v>
      </c>
      <c r="B598" t="str">
        <f>VLOOKUP(A598,'EXPORT IRIS PROD 13-11-2024'!A:A,1,0)</f>
        <v>ALR_ASSENZA_TENSIONE_FASE_L2-Allarme assenza tensione dispositivo fase L2</v>
      </c>
      <c r="C598" t="str">
        <f>VLOOKUP(F598,'EXPORT IRIS PROD 13-11-2024'!F:F,1,0)</f>
        <v>ALR_ASSENZA_TENSIONE_FASE_L2</v>
      </c>
      <c r="D598" t="str">
        <f>VLOOKUP(G598,'EXPORT IRIS PROD 13-11-2024'!D:D,1,0)</f>
        <v>Allarme assenza tensione dispositivo fase L2</v>
      </c>
      <c r="E598" s="37" t="s">
        <v>53</v>
      </c>
      <c r="F598" s="38" t="s">
        <v>1129</v>
      </c>
      <c r="G598" s="45" t="s">
        <v>1130</v>
      </c>
      <c r="H598" s="46" t="s">
        <v>56</v>
      </c>
      <c r="I598" s="46" t="s">
        <v>1122</v>
      </c>
      <c r="J598" s="40" t="s">
        <v>21</v>
      </c>
      <c r="K598" s="41" t="s">
        <v>22</v>
      </c>
      <c r="L598" s="42" t="s">
        <v>23</v>
      </c>
      <c r="M598" s="43" t="s">
        <v>24</v>
      </c>
      <c r="N598" s="42" t="s">
        <v>25</v>
      </c>
      <c r="O598" s="42" t="s">
        <v>21</v>
      </c>
      <c r="P598" s="44"/>
    </row>
    <row r="599" spans="1:16" x14ac:dyDescent="0.25">
      <c r="A599" t="str">
        <f t="shared" si="9"/>
        <v>ALR_ASSENZA_TENSIONE_FASE_L2-Allarme assenza tensione dispositivo fase L2</v>
      </c>
      <c r="B599" t="str">
        <f>VLOOKUP(A599,'EXPORT IRIS PROD 13-11-2024'!A:A,1,0)</f>
        <v>ALR_ASSENZA_TENSIONE_FASE_L2-Allarme assenza tensione dispositivo fase L2</v>
      </c>
      <c r="C599" t="str">
        <f>VLOOKUP(F599,'EXPORT IRIS PROD 13-11-2024'!F:F,1,0)</f>
        <v>ALR_ASSENZA_TENSIONE_FASE_L2</v>
      </c>
      <c r="D599" t="str">
        <f>VLOOKUP(G599,'EXPORT IRIS PROD 13-11-2024'!D:D,1,0)</f>
        <v>Allarme assenza tensione dispositivo fase L2</v>
      </c>
      <c r="E599" s="37" t="s">
        <v>53</v>
      </c>
      <c r="F599" s="38" t="s">
        <v>1129</v>
      </c>
      <c r="G599" s="45" t="s">
        <v>1130</v>
      </c>
      <c r="H599" s="46" t="s">
        <v>56</v>
      </c>
      <c r="I599" s="46" t="s">
        <v>208</v>
      </c>
      <c r="J599" s="40" t="s">
        <v>21</v>
      </c>
      <c r="K599" s="41" t="s">
        <v>22</v>
      </c>
      <c r="L599" s="42" t="s">
        <v>23</v>
      </c>
      <c r="M599" s="43" t="s">
        <v>24</v>
      </c>
      <c r="N599" s="42" t="s">
        <v>25</v>
      </c>
      <c r="O599" s="42" t="s">
        <v>21</v>
      </c>
      <c r="P599" s="44"/>
    </row>
    <row r="600" spans="1:16" x14ac:dyDescent="0.25">
      <c r="A600" t="str">
        <f t="shared" si="9"/>
        <v>ALR_ASSENZA_TENSIONE_FASE_L3-Allarme assenza tensione dispositivo fase L3</v>
      </c>
      <c r="B600" t="str">
        <f>VLOOKUP(A600,'EXPORT IRIS PROD 13-11-2024'!A:A,1,0)</f>
        <v>ALR_ASSENZA_TENSIONE_FASE_L3-Allarme assenza tensione dispositivo fase L3</v>
      </c>
      <c r="C600" t="str">
        <f>VLOOKUP(F600,'EXPORT IRIS PROD 13-11-2024'!F:F,1,0)</f>
        <v>ALR_ASSENZA_TENSIONE_FASE_L3</v>
      </c>
      <c r="D600" t="str">
        <f>VLOOKUP(G600,'EXPORT IRIS PROD 13-11-2024'!D:D,1,0)</f>
        <v>Allarme assenza tensione dispositivo fase L3</v>
      </c>
      <c r="E600" s="37" t="s">
        <v>53</v>
      </c>
      <c r="F600" s="38" t="s">
        <v>1131</v>
      </c>
      <c r="G600" s="45" t="s">
        <v>1132</v>
      </c>
      <c r="H600" s="46" t="s">
        <v>56</v>
      </c>
      <c r="I600" s="46" t="s">
        <v>114</v>
      </c>
      <c r="J600" s="40" t="s">
        <v>21</v>
      </c>
      <c r="K600" s="41" t="s">
        <v>22</v>
      </c>
      <c r="L600" s="42" t="s">
        <v>23</v>
      </c>
      <c r="M600" s="43" t="s">
        <v>24</v>
      </c>
      <c r="N600" s="42" t="s">
        <v>25</v>
      </c>
      <c r="O600" s="42" t="s">
        <v>21</v>
      </c>
      <c r="P600" s="44"/>
    </row>
    <row r="601" spans="1:16" x14ac:dyDescent="0.25">
      <c r="A601" t="str">
        <f t="shared" si="9"/>
        <v>ALR_ASSENZA_TENSIONE_FASE_L3-Allarme assenza tensione dispositivo fase L3</v>
      </c>
      <c r="B601" t="str">
        <f>VLOOKUP(A601,'EXPORT IRIS PROD 13-11-2024'!A:A,1,0)</f>
        <v>ALR_ASSENZA_TENSIONE_FASE_L3-Allarme assenza tensione dispositivo fase L3</v>
      </c>
      <c r="C601" t="str">
        <f>VLOOKUP(F601,'EXPORT IRIS PROD 13-11-2024'!F:F,1,0)</f>
        <v>ALR_ASSENZA_TENSIONE_FASE_L3</v>
      </c>
      <c r="D601" t="str">
        <f>VLOOKUP(G601,'EXPORT IRIS PROD 13-11-2024'!D:D,1,0)</f>
        <v>Allarme assenza tensione dispositivo fase L3</v>
      </c>
      <c r="E601" s="37" t="s">
        <v>53</v>
      </c>
      <c r="F601" s="38" t="s">
        <v>1131</v>
      </c>
      <c r="G601" s="45" t="s">
        <v>1132</v>
      </c>
      <c r="H601" s="46" t="s">
        <v>56</v>
      </c>
      <c r="I601" s="46" t="s">
        <v>1122</v>
      </c>
      <c r="J601" s="40" t="s">
        <v>21</v>
      </c>
      <c r="K601" s="41" t="s">
        <v>22</v>
      </c>
      <c r="L601" s="42" t="s">
        <v>23</v>
      </c>
      <c r="M601" s="43" t="s">
        <v>24</v>
      </c>
      <c r="N601" s="42" t="s">
        <v>25</v>
      </c>
      <c r="O601" s="42" t="s">
        <v>21</v>
      </c>
      <c r="P601" s="44"/>
    </row>
    <row r="602" spans="1:16" x14ac:dyDescent="0.25">
      <c r="A602" t="str">
        <f t="shared" si="9"/>
        <v>ALR_ASSENZA_TENSIONE_FASE_L3-Allarme assenza tensione dispositivo fase L3</v>
      </c>
      <c r="B602" t="str">
        <f>VLOOKUP(A602,'EXPORT IRIS PROD 13-11-2024'!A:A,1,0)</f>
        <v>ALR_ASSENZA_TENSIONE_FASE_L3-Allarme assenza tensione dispositivo fase L3</v>
      </c>
      <c r="C602" t="str">
        <f>VLOOKUP(F602,'EXPORT IRIS PROD 13-11-2024'!F:F,1,0)</f>
        <v>ALR_ASSENZA_TENSIONE_FASE_L3</v>
      </c>
      <c r="D602" t="str">
        <f>VLOOKUP(G602,'EXPORT IRIS PROD 13-11-2024'!D:D,1,0)</f>
        <v>Allarme assenza tensione dispositivo fase L3</v>
      </c>
      <c r="E602" s="37" t="s">
        <v>53</v>
      </c>
      <c r="F602" s="38" t="s">
        <v>1131</v>
      </c>
      <c r="G602" s="45" t="s">
        <v>1132</v>
      </c>
      <c r="H602" s="46" t="s">
        <v>56</v>
      </c>
      <c r="I602" s="46" t="s">
        <v>208</v>
      </c>
      <c r="J602" s="40" t="s">
        <v>21</v>
      </c>
      <c r="K602" s="41" t="s">
        <v>22</v>
      </c>
      <c r="L602" s="42" t="s">
        <v>23</v>
      </c>
      <c r="M602" s="43" t="s">
        <v>24</v>
      </c>
      <c r="N602" s="42" t="s">
        <v>25</v>
      </c>
      <c r="O602" s="42" t="s">
        <v>21</v>
      </c>
      <c r="P602" s="44"/>
    </row>
    <row r="603" spans="1:16" x14ac:dyDescent="0.25">
      <c r="A603" t="str">
        <f t="shared" si="9"/>
        <v>ALR_ASSENZA_TENSIONE_LINEA_GE-Allarme assenza tensione dispositivo linea GE</v>
      </c>
      <c r="B603" t="str">
        <f>VLOOKUP(A603,'EXPORT IRIS PROD 13-11-2024'!A:A,1,0)</f>
        <v>ALR_ASSENZA_TENSIONE_LINEA_GE-Allarme assenza tensione dispositivo linea GE</v>
      </c>
      <c r="C603" t="str">
        <f>VLOOKUP(F603,'EXPORT IRIS PROD 13-11-2024'!F:F,1,0)</f>
        <v>ALR_ASSENZA_TENSIONE_LINEA_GE</v>
      </c>
      <c r="D603" t="str">
        <f>VLOOKUP(G603,'EXPORT IRIS PROD 13-11-2024'!D:D,1,0)</f>
        <v>Allarme assenza tensione dispositivo linea GE</v>
      </c>
      <c r="E603" s="37" t="s">
        <v>53</v>
      </c>
      <c r="F603" s="38" t="s">
        <v>1133</v>
      </c>
      <c r="G603" s="45" t="s">
        <v>1134</v>
      </c>
      <c r="H603" s="46" t="s">
        <v>56</v>
      </c>
      <c r="I603" s="46" t="s">
        <v>114</v>
      </c>
      <c r="J603" s="40" t="s">
        <v>21</v>
      </c>
      <c r="K603" s="41" t="s">
        <v>22</v>
      </c>
      <c r="L603" s="42" t="s">
        <v>23</v>
      </c>
      <c r="M603" s="43" t="s">
        <v>24</v>
      </c>
      <c r="N603" s="42" t="s">
        <v>25</v>
      </c>
      <c r="O603" s="42" t="s">
        <v>21</v>
      </c>
      <c r="P603" s="44"/>
    </row>
    <row r="604" spans="1:16" x14ac:dyDescent="0.25">
      <c r="A604" t="str">
        <f t="shared" si="9"/>
        <v>ALR_ASSENZA_TENSIONE_LINEA_GE-Allarme assenza tensione dispositivo linea GE</v>
      </c>
      <c r="B604" t="str">
        <f>VLOOKUP(A604,'EXPORT IRIS PROD 13-11-2024'!A:A,1,0)</f>
        <v>ALR_ASSENZA_TENSIONE_LINEA_GE-Allarme assenza tensione dispositivo linea GE</v>
      </c>
      <c r="C604" t="str">
        <f>VLOOKUP(F604,'EXPORT IRIS PROD 13-11-2024'!F:F,1,0)</f>
        <v>ALR_ASSENZA_TENSIONE_LINEA_GE</v>
      </c>
      <c r="D604" t="str">
        <f>VLOOKUP(G604,'EXPORT IRIS PROD 13-11-2024'!D:D,1,0)</f>
        <v>Allarme assenza tensione dispositivo linea GE</v>
      </c>
      <c r="E604" s="37" t="s">
        <v>53</v>
      </c>
      <c r="F604" s="38" t="s">
        <v>1133</v>
      </c>
      <c r="G604" s="45" t="s">
        <v>1134</v>
      </c>
      <c r="H604" s="46" t="s">
        <v>1106</v>
      </c>
      <c r="I604" s="46" t="s">
        <v>1135</v>
      </c>
      <c r="J604" s="40" t="s">
        <v>21</v>
      </c>
      <c r="K604" s="41" t="s">
        <v>22</v>
      </c>
      <c r="L604" s="42" t="s">
        <v>23</v>
      </c>
      <c r="M604" s="43" t="s">
        <v>24</v>
      </c>
      <c r="N604" s="42" t="s">
        <v>25</v>
      </c>
      <c r="O604" s="42" t="s">
        <v>21</v>
      </c>
      <c r="P604" s="44"/>
    </row>
    <row r="605" spans="1:16" x14ac:dyDescent="0.25">
      <c r="A605" t="str">
        <f t="shared" si="9"/>
        <v>ALR_ASSENZA_TENSIONE_LINEA_RETE-Allarme assenza tensione dispositivo linea rete</v>
      </c>
      <c r="B605" t="str">
        <f>VLOOKUP(A605,'EXPORT IRIS PROD 13-11-2024'!A:A,1,0)</f>
        <v>ALR_ASSENZA_TENSIONE_LINEA_RETE-Allarme assenza tensione dispositivo linea rete</v>
      </c>
      <c r="C605" t="str">
        <f>VLOOKUP(F605,'EXPORT IRIS PROD 13-11-2024'!F:F,1,0)</f>
        <v>ALR_ASSENZA_TENSIONE_LINEA_RETE</v>
      </c>
      <c r="D605" t="str">
        <f>VLOOKUP(G605,'EXPORT IRIS PROD 13-11-2024'!D:D,1,0)</f>
        <v>Allarme assenza tensione dispositivo linea rete</v>
      </c>
      <c r="E605" s="37" t="s">
        <v>53</v>
      </c>
      <c r="F605" s="38" t="s">
        <v>1136</v>
      </c>
      <c r="G605" s="45" t="s">
        <v>1137</v>
      </c>
      <c r="H605" s="46" t="s">
        <v>56</v>
      </c>
      <c r="I605" s="46" t="s">
        <v>114</v>
      </c>
      <c r="J605" s="40" t="s">
        <v>21</v>
      </c>
      <c r="K605" s="41" t="s">
        <v>22</v>
      </c>
      <c r="L605" s="42" t="s">
        <v>23</v>
      </c>
      <c r="M605" s="43" t="s">
        <v>24</v>
      </c>
      <c r="N605" s="42" t="s">
        <v>25</v>
      </c>
      <c r="O605" s="42" t="s">
        <v>21</v>
      </c>
      <c r="P605" s="44"/>
    </row>
    <row r="606" spans="1:16" x14ac:dyDescent="0.25">
      <c r="A606" t="str">
        <f t="shared" si="9"/>
        <v>ALR_ASSENZA_TENSIONE_LINEA_RETE-Allarme assenza tensione dispositivo linea rete</v>
      </c>
      <c r="B606" t="str">
        <f>VLOOKUP(A606,'EXPORT IRIS PROD 13-11-2024'!A:A,1,0)</f>
        <v>ALR_ASSENZA_TENSIONE_LINEA_RETE-Allarme assenza tensione dispositivo linea rete</v>
      </c>
      <c r="C606" t="str">
        <f>VLOOKUP(F606,'EXPORT IRIS PROD 13-11-2024'!F:F,1,0)</f>
        <v>ALR_ASSENZA_TENSIONE_LINEA_RETE</v>
      </c>
      <c r="D606" t="str">
        <f>VLOOKUP(G606,'EXPORT IRIS PROD 13-11-2024'!D:D,1,0)</f>
        <v>Allarme assenza tensione dispositivo linea rete</v>
      </c>
      <c r="E606" s="37" t="s">
        <v>53</v>
      </c>
      <c r="F606" s="38" t="s">
        <v>1136</v>
      </c>
      <c r="G606" s="45" t="s">
        <v>1137</v>
      </c>
      <c r="H606" s="46" t="s">
        <v>1106</v>
      </c>
      <c r="I606" s="46" t="s">
        <v>1135</v>
      </c>
      <c r="J606" s="40" t="s">
        <v>21</v>
      </c>
      <c r="K606" s="41" t="s">
        <v>22</v>
      </c>
      <c r="L606" s="42" t="s">
        <v>23</v>
      </c>
      <c r="M606" s="43" t="s">
        <v>24</v>
      </c>
      <c r="N606" s="42" t="s">
        <v>25</v>
      </c>
      <c r="O606" s="42" t="s">
        <v>21</v>
      </c>
      <c r="P606" s="44"/>
    </row>
    <row r="607" spans="1:16" x14ac:dyDescent="0.25">
      <c r="A607" t="str">
        <f t="shared" si="9"/>
        <v>ALR_ASSENZA_TENSIONE_LINEA_RETE-Allarme assenza tensione dispositivo linea rete</v>
      </c>
      <c r="B607" t="str">
        <f>VLOOKUP(A607,'EXPORT IRIS PROD 13-11-2024'!A:A,1,0)</f>
        <v>ALR_ASSENZA_TENSIONE_LINEA_RETE-Allarme assenza tensione dispositivo linea rete</v>
      </c>
      <c r="C607" t="str">
        <f>VLOOKUP(F607,'EXPORT IRIS PROD 13-11-2024'!F:F,1,0)</f>
        <v>ALR_ASSENZA_TENSIONE_LINEA_RETE</v>
      </c>
      <c r="D607" t="str">
        <f>VLOOKUP(G607,'EXPORT IRIS PROD 13-11-2024'!D:D,1,0)</f>
        <v>Allarme assenza tensione dispositivo linea rete</v>
      </c>
      <c r="E607" s="37" t="s">
        <v>53</v>
      </c>
      <c r="F607" s="38" t="s">
        <v>1136</v>
      </c>
      <c r="G607" s="45" t="s">
        <v>1137</v>
      </c>
      <c r="H607" s="46" t="s">
        <v>56</v>
      </c>
      <c r="I607" s="46" t="s">
        <v>57</v>
      </c>
      <c r="J607" s="40" t="s">
        <v>21</v>
      </c>
      <c r="K607" s="41" t="s">
        <v>22</v>
      </c>
      <c r="L607" s="42" t="s">
        <v>23</v>
      </c>
      <c r="M607" s="43" t="s">
        <v>24</v>
      </c>
      <c r="N607" s="42" t="s">
        <v>25</v>
      </c>
      <c r="O607" s="42" t="s">
        <v>21</v>
      </c>
      <c r="P607" s="44"/>
    </row>
    <row r="608" spans="1:16" x14ac:dyDescent="0.25">
      <c r="A608" t="str">
        <f t="shared" si="9"/>
        <v>ALR_ASSENZA_TENSIONE_LINEA_RETE-Allarme assenza tensione dispositivo linea rete</v>
      </c>
      <c r="B608" t="str">
        <f>VLOOKUP(A608,'EXPORT IRIS PROD 13-11-2024'!A:A,1,0)</f>
        <v>ALR_ASSENZA_TENSIONE_LINEA_RETE-Allarme assenza tensione dispositivo linea rete</v>
      </c>
      <c r="C608" t="str">
        <f>VLOOKUP(F608,'EXPORT IRIS PROD 13-11-2024'!F:F,1,0)</f>
        <v>ALR_ASSENZA_TENSIONE_LINEA_RETE</v>
      </c>
      <c r="D608" t="str">
        <f>VLOOKUP(G608,'EXPORT IRIS PROD 13-11-2024'!D:D,1,0)</f>
        <v>Allarme assenza tensione dispositivo linea rete</v>
      </c>
      <c r="E608" s="37" t="s">
        <v>53</v>
      </c>
      <c r="F608" s="38" t="s">
        <v>1136</v>
      </c>
      <c r="G608" s="45" t="s">
        <v>1137</v>
      </c>
      <c r="H608" s="46" t="s">
        <v>56</v>
      </c>
      <c r="I608" s="46" t="s">
        <v>104</v>
      </c>
      <c r="J608" s="40" t="s">
        <v>21</v>
      </c>
      <c r="K608" s="41" t="s">
        <v>22</v>
      </c>
      <c r="L608" s="42" t="s">
        <v>23</v>
      </c>
      <c r="M608" s="43" t="s">
        <v>24</v>
      </c>
      <c r="N608" s="42" t="s">
        <v>25</v>
      </c>
      <c r="O608" s="42" t="s">
        <v>21</v>
      </c>
      <c r="P608" s="44"/>
    </row>
    <row r="609" spans="1:16" x14ac:dyDescent="0.25">
      <c r="A609" t="str">
        <f t="shared" si="9"/>
        <v>ALR_ASSENZA_TENSIONE_LINEA_UTENZE-Allarme assenza tensione dispositivo linea utenze</v>
      </c>
      <c r="B609" t="str">
        <f>VLOOKUP(A609,'EXPORT IRIS PROD 13-11-2024'!A:A,1,0)</f>
        <v>ALR_ASSENZA_TENSIONE_LINEA_UTENZE-Allarme assenza tensione dispositivo linea utenze</v>
      </c>
      <c r="C609" t="str">
        <f>VLOOKUP(F609,'EXPORT IRIS PROD 13-11-2024'!F:F,1,0)</f>
        <v>ALR_ASSENZA_TENSIONE_LINEA_UTENZE</v>
      </c>
      <c r="D609" t="str">
        <f>VLOOKUP(G609,'EXPORT IRIS PROD 13-11-2024'!D:D,1,0)</f>
        <v>Allarme assenza tensione dispositivo linea utenze</v>
      </c>
      <c r="E609" s="37" t="s">
        <v>53</v>
      </c>
      <c r="F609" s="38" t="s">
        <v>1138</v>
      </c>
      <c r="G609" s="45" t="s">
        <v>1139</v>
      </c>
      <c r="H609" s="46" t="s">
        <v>56</v>
      </c>
      <c r="I609" s="46" t="s">
        <v>114</v>
      </c>
      <c r="J609" s="40" t="s">
        <v>21</v>
      </c>
      <c r="K609" s="41" t="s">
        <v>22</v>
      </c>
      <c r="L609" s="42" t="s">
        <v>23</v>
      </c>
      <c r="M609" s="43" t="s">
        <v>24</v>
      </c>
      <c r="N609" s="42" t="s">
        <v>25</v>
      </c>
      <c r="O609" s="42" t="s">
        <v>21</v>
      </c>
      <c r="P609" s="44"/>
    </row>
    <row r="610" spans="1:16" x14ac:dyDescent="0.25">
      <c r="A610" t="str">
        <f t="shared" si="9"/>
        <v>ALR_ASSENZA_TENSIONE_RAMO1-Allarme assenza tensione ramo 1</v>
      </c>
      <c r="B610" t="str">
        <f>VLOOKUP(A610,'EXPORT IRIS PROD 13-11-2024'!A:A,1,0)</f>
        <v>ALR_ASSENZA_TENSIONE_RAMO1-Allarme assenza tensione ramo 1</v>
      </c>
      <c r="C610" t="str">
        <f>VLOOKUP(F610,'EXPORT IRIS PROD 13-11-2024'!F:F,1,0)</f>
        <v>ALR_ASSENZA_TENSIONE_RAMO1</v>
      </c>
      <c r="D610" t="str">
        <f>VLOOKUP(G610,'EXPORT IRIS PROD 13-11-2024'!D:D,1,0)</f>
        <v>Allarme assenza tensione ramo 1</v>
      </c>
      <c r="E610" s="37" t="s">
        <v>115</v>
      </c>
      <c r="F610" s="38" t="s">
        <v>1140</v>
      </c>
      <c r="G610" s="45" t="s">
        <v>1141</v>
      </c>
      <c r="H610" s="46" t="s">
        <v>1142</v>
      </c>
      <c r="I610" s="46" t="s">
        <v>715</v>
      </c>
      <c r="J610" s="40" t="s">
        <v>21</v>
      </c>
      <c r="K610" s="41" t="s">
        <v>22</v>
      </c>
      <c r="L610" s="42" t="s">
        <v>23</v>
      </c>
      <c r="M610" s="43" t="s">
        <v>24</v>
      </c>
      <c r="N610" s="42" t="s">
        <v>25</v>
      </c>
      <c r="O610" s="42" t="s">
        <v>21</v>
      </c>
      <c r="P610" s="44"/>
    </row>
    <row r="611" spans="1:16" x14ac:dyDescent="0.25">
      <c r="A611" t="str">
        <f t="shared" si="9"/>
        <v>ALR_ASSENZA_TENSIONE_RAMO2-Allarme assenza tensione ramo 2</v>
      </c>
      <c r="B611" t="str">
        <f>VLOOKUP(A611,'EXPORT IRIS PROD 13-11-2024'!A:A,1,0)</f>
        <v>ALR_ASSENZA_TENSIONE_RAMO2-Allarme assenza tensione ramo 2</v>
      </c>
      <c r="C611" t="str">
        <f>VLOOKUP(F611,'EXPORT IRIS PROD 13-11-2024'!F:F,1,0)</f>
        <v>ALR_ASSENZA_TENSIONE_RAMO2</v>
      </c>
      <c r="D611" t="str">
        <f>VLOOKUP(G611,'EXPORT IRIS PROD 13-11-2024'!D:D,1,0)</f>
        <v>Allarme assenza tensione ramo 2</v>
      </c>
      <c r="E611" s="37" t="s">
        <v>115</v>
      </c>
      <c r="F611" s="38" t="s">
        <v>1143</v>
      </c>
      <c r="G611" s="45" t="s">
        <v>1144</v>
      </c>
      <c r="H611" s="46" t="s">
        <v>1142</v>
      </c>
      <c r="I611" s="46" t="s">
        <v>715</v>
      </c>
      <c r="J611" s="40" t="s">
        <v>21</v>
      </c>
      <c r="K611" s="41" t="s">
        <v>22</v>
      </c>
      <c r="L611" s="42" t="s">
        <v>23</v>
      </c>
      <c r="M611" s="43" t="s">
        <v>24</v>
      </c>
      <c r="N611" s="42" t="s">
        <v>25</v>
      </c>
      <c r="O611" s="42" t="s">
        <v>21</v>
      </c>
      <c r="P611" s="44"/>
    </row>
    <row r="612" spans="1:16" x14ac:dyDescent="0.25">
      <c r="A612" t="str">
        <f t="shared" si="9"/>
        <v>ALR_ASSENZA_TENSIONE_VERSO_CE_NORD-Allarme assenza tensione dispositivo verso cabina nord</v>
      </c>
      <c r="B612" t="str">
        <f>VLOOKUP(A612,'EXPORT IRIS PROD 13-11-2024'!A:A,1,0)</f>
        <v>ALR_ASSENZA_TENSIONE_VERSO_CE_NORD-Allarme assenza tensione dispositivo verso cabina nord</v>
      </c>
      <c r="C612" t="str">
        <f>VLOOKUP(F612,'EXPORT IRIS PROD 13-11-2024'!F:F,1,0)</f>
        <v>ALR_ASSENZA_TENSIONE_VERSO_CE_NORD</v>
      </c>
      <c r="D612" t="str">
        <f>VLOOKUP(G612,'EXPORT IRIS PROD 13-11-2024'!D:D,1,0)</f>
        <v>Allarme assenza tensione dispositivo verso cabina nord</v>
      </c>
      <c r="E612" s="37" t="s">
        <v>16</v>
      </c>
      <c r="F612" s="38" t="s">
        <v>1145</v>
      </c>
      <c r="G612" s="45" t="s">
        <v>1146</v>
      </c>
      <c r="H612" s="46" t="s">
        <v>19</v>
      </c>
      <c r="I612" s="46" t="s">
        <v>1147</v>
      </c>
      <c r="J612" s="40" t="s">
        <v>21</v>
      </c>
      <c r="K612" s="41" t="s">
        <v>22</v>
      </c>
      <c r="L612" s="42" t="s">
        <v>23</v>
      </c>
      <c r="M612" s="43" t="s">
        <v>24</v>
      </c>
      <c r="N612" s="42" t="s">
        <v>25</v>
      </c>
      <c r="O612" s="42" t="s">
        <v>21</v>
      </c>
      <c r="P612" s="44"/>
    </row>
    <row r="613" spans="1:16" x14ac:dyDescent="0.25">
      <c r="A613" t="str">
        <f t="shared" si="9"/>
        <v>ALR_ASSENZA_TENSIONE_VERSO_CE_NORD-Allarme assenza tensione dispositivo verso cabina nord</v>
      </c>
      <c r="B613" t="str">
        <f>VLOOKUP(A613,'EXPORT IRIS PROD 13-11-2024'!A:A,1,0)</f>
        <v>ALR_ASSENZA_TENSIONE_VERSO_CE_NORD-Allarme assenza tensione dispositivo verso cabina nord</v>
      </c>
      <c r="C613" t="str">
        <f>VLOOKUP(F613,'EXPORT IRIS PROD 13-11-2024'!F:F,1,0)</f>
        <v>ALR_ASSENZA_TENSIONE_VERSO_CE_NORD</v>
      </c>
      <c r="D613" t="str">
        <f>VLOOKUP(G613,'EXPORT IRIS PROD 13-11-2024'!D:D,1,0)</f>
        <v>Allarme assenza tensione dispositivo verso cabina nord</v>
      </c>
      <c r="E613" s="37" t="s">
        <v>863</v>
      </c>
      <c r="F613" s="38" t="s">
        <v>1145</v>
      </c>
      <c r="G613" s="45" t="s">
        <v>1146</v>
      </c>
      <c r="H613" s="46" t="s">
        <v>274</v>
      </c>
      <c r="I613" s="46" t="s">
        <v>1147</v>
      </c>
      <c r="J613" s="40" t="s">
        <v>21</v>
      </c>
      <c r="K613" s="41" t="s">
        <v>22</v>
      </c>
      <c r="L613" s="42" t="s">
        <v>23</v>
      </c>
      <c r="M613" s="43" t="s">
        <v>24</v>
      </c>
      <c r="N613" s="42" t="s">
        <v>25</v>
      </c>
      <c r="O613" s="42" t="s">
        <v>21</v>
      </c>
      <c r="P613" s="44"/>
    </row>
    <row r="614" spans="1:16" x14ac:dyDescent="0.25">
      <c r="A614" t="str">
        <f t="shared" si="9"/>
        <v>ALR_ASSENZA_TENSIONE_VERSO_CE_SUD-Allarme assenza tensione dispositivo verso cabina sud</v>
      </c>
      <c r="B614" t="str">
        <f>VLOOKUP(A614,'EXPORT IRIS PROD 13-11-2024'!A:A,1,0)</f>
        <v>ALR_ASSENZA_TENSIONE_VERSO_CE_SUD-Allarme assenza tensione dispositivo verso cabina sud</v>
      </c>
      <c r="C614" t="str">
        <f>VLOOKUP(F614,'EXPORT IRIS PROD 13-11-2024'!F:F,1,0)</f>
        <v>ALR_ASSENZA_TENSIONE_VERSO_CE_SUD</v>
      </c>
      <c r="D614" t="str">
        <f>VLOOKUP(G614,'EXPORT IRIS PROD 13-11-2024'!D:D,1,0)</f>
        <v>Allarme assenza tensione dispositivo verso cabina sud</v>
      </c>
      <c r="E614" s="37" t="s">
        <v>16</v>
      </c>
      <c r="F614" s="38" t="s">
        <v>1148</v>
      </c>
      <c r="G614" s="45" t="s">
        <v>1149</v>
      </c>
      <c r="H614" s="46" t="s">
        <v>19</v>
      </c>
      <c r="I614" s="46" t="s">
        <v>1147</v>
      </c>
      <c r="J614" s="40" t="s">
        <v>21</v>
      </c>
      <c r="K614" s="41" t="s">
        <v>22</v>
      </c>
      <c r="L614" s="42" t="s">
        <v>23</v>
      </c>
      <c r="M614" s="43" t="s">
        <v>24</v>
      </c>
      <c r="N614" s="42" t="s">
        <v>25</v>
      </c>
      <c r="O614" s="42" t="s">
        <v>21</v>
      </c>
      <c r="P614" s="44"/>
    </row>
    <row r="615" spans="1:16" x14ac:dyDescent="0.25">
      <c r="A615" t="str">
        <f t="shared" si="9"/>
        <v>ALR_ASSENZA_TENSIONE_VERSO_CE_SUD-Allarme assenza tensione dispositivo verso cabina sud</v>
      </c>
      <c r="B615" t="str">
        <f>VLOOKUP(A615,'EXPORT IRIS PROD 13-11-2024'!A:A,1,0)</f>
        <v>ALR_ASSENZA_TENSIONE_VERSO_CE_SUD-Allarme assenza tensione dispositivo verso cabina sud</v>
      </c>
      <c r="C615" t="str">
        <f>VLOOKUP(F615,'EXPORT IRIS PROD 13-11-2024'!F:F,1,0)</f>
        <v>ALR_ASSENZA_TENSIONE_VERSO_CE_SUD</v>
      </c>
      <c r="D615" t="str">
        <f>VLOOKUP(G615,'EXPORT IRIS PROD 13-11-2024'!D:D,1,0)</f>
        <v>Allarme assenza tensione dispositivo verso cabina sud</v>
      </c>
      <c r="E615" s="37" t="s">
        <v>863</v>
      </c>
      <c r="F615" s="38" t="s">
        <v>1148</v>
      </c>
      <c r="G615" s="45" t="s">
        <v>1149</v>
      </c>
      <c r="H615" s="46" t="s">
        <v>274</v>
      </c>
      <c r="I615" s="46" t="s">
        <v>1147</v>
      </c>
      <c r="J615" s="40" t="s">
        <v>21</v>
      </c>
      <c r="K615" s="41" t="s">
        <v>22</v>
      </c>
      <c r="L615" s="42" t="s">
        <v>23</v>
      </c>
      <c r="M615" s="43" t="s">
        <v>24</v>
      </c>
      <c r="N615" s="42" t="s">
        <v>25</v>
      </c>
      <c r="O615" s="42" t="s">
        <v>21</v>
      </c>
      <c r="P615" s="44"/>
    </row>
    <row r="616" spans="1:16" x14ac:dyDescent="0.25">
      <c r="A616" t="str">
        <f t="shared" si="9"/>
        <v>ALR_AVARIA_GRAVE-Allarme avaria grave</v>
      </c>
      <c r="B616" t="str">
        <f>VLOOKUP(A616,'EXPORT IRIS PROD 13-11-2024'!A:A,1,0)</f>
        <v>ALR_AVARIA_GRAVE-Allarme avaria grave</v>
      </c>
      <c r="C616" t="str">
        <f>VLOOKUP(F616,'EXPORT IRIS PROD 13-11-2024'!F:F,1,0)</f>
        <v>ALR_AVARIA_GRAVE</v>
      </c>
      <c r="D616" t="str">
        <f>VLOOKUP(G616,'EXPORT IRIS PROD 13-11-2024'!D:D,1,0)</f>
        <v>Allarme avaria grave</v>
      </c>
      <c r="E616" s="37" t="s">
        <v>115</v>
      </c>
      <c r="F616" s="38" t="s">
        <v>1150</v>
      </c>
      <c r="G616" s="45" t="s">
        <v>1151</v>
      </c>
      <c r="H616" s="46" t="s">
        <v>1152</v>
      </c>
      <c r="I616" s="46" t="s">
        <v>1153</v>
      </c>
      <c r="J616" s="40" t="s">
        <v>21</v>
      </c>
      <c r="K616" s="41" t="s">
        <v>22</v>
      </c>
      <c r="L616" s="42" t="s">
        <v>23</v>
      </c>
      <c r="M616" s="43" t="s">
        <v>24</v>
      </c>
      <c r="N616" s="42" t="s">
        <v>25</v>
      </c>
      <c r="O616" s="42" t="s">
        <v>21</v>
      </c>
      <c r="P616" s="44"/>
    </row>
    <row r="617" spans="1:16" x14ac:dyDescent="0.25">
      <c r="A617" t="str">
        <f t="shared" si="9"/>
        <v>ALR_BATTERIA_ALIMENTATORI_SCARICA-Allarme batteria alimentatori scarica</v>
      </c>
      <c r="B617" t="str">
        <f>VLOOKUP(A617,'EXPORT IRIS PROD 13-11-2024'!A:A,1,0)</f>
        <v>ALR_BATTERIA_ALIMENTATORI_SCARICA-Allarme batteria alimentatori scarica</v>
      </c>
      <c r="C617" t="str">
        <f>VLOOKUP(F617,'EXPORT IRIS PROD 13-11-2024'!F:F,1,0)</f>
        <v>ALR_BATTERIA_ALIMENTATORI_SCARICA</v>
      </c>
      <c r="D617" t="str">
        <f>VLOOKUP(G617,'EXPORT IRIS PROD 13-11-2024'!D:D,1,0)</f>
        <v>Allarme batteria alimentatori scarica</v>
      </c>
      <c r="E617" s="37" t="s">
        <v>16</v>
      </c>
      <c r="F617" s="38" t="s">
        <v>1154</v>
      </c>
      <c r="G617" s="45" t="s">
        <v>1155</v>
      </c>
      <c r="H617" s="46" t="s">
        <v>1156</v>
      </c>
      <c r="I617" s="46" t="s">
        <v>1157</v>
      </c>
      <c r="J617" s="40" t="s">
        <v>21</v>
      </c>
      <c r="K617" s="41" t="s">
        <v>22</v>
      </c>
      <c r="L617" s="42" t="s">
        <v>23</v>
      </c>
      <c r="M617" s="43" t="s">
        <v>24</v>
      </c>
      <c r="N617" s="42" t="s">
        <v>25</v>
      </c>
      <c r="O617" s="42" t="s">
        <v>21</v>
      </c>
      <c r="P617" s="44"/>
    </row>
    <row r="618" spans="1:16" x14ac:dyDescent="0.25">
      <c r="A618" t="str">
        <f t="shared" si="9"/>
        <v>ALR_BYPASS_NORD_1-Allarme bypass 1 dir. nord</v>
      </c>
      <c r="B618" t="str">
        <f>VLOOKUP(A618,'EXPORT IRIS PROD 13-11-2024'!A:A,1,0)</f>
        <v>ALR_BYPASS_NORD_1-Allarme bypass 1 dir. nord</v>
      </c>
      <c r="C618" t="str">
        <f>VLOOKUP(F618,'EXPORT IRIS PROD 13-11-2024'!F:F,1,0)</f>
        <v>ALR_BYPASS_NORD_1</v>
      </c>
      <c r="D618" t="str">
        <f>VLOOKUP(G618,'EXPORT IRIS PROD 13-11-2024'!D:D,1,0)</f>
        <v>Allarme bypass 1 dir. nord</v>
      </c>
      <c r="E618" s="37" t="s">
        <v>271</v>
      </c>
      <c r="F618" s="38" t="s">
        <v>1158</v>
      </c>
      <c r="G618" s="45" t="s">
        <v>1159</v>
      </c>
      <c r="H618" s="46" t="s">
        <v>274</v>
      </c>
      <c r="I618" s="46" t="s">
        <v>1160</v>
      </c>
      <c r="J618" s="40" t="s">
        <v>21</v>
      </c>
      <c r="K618" s="41" t="s">
        <v>22</v>
      </c>
      <c r="L618" s="42" t="s">
        <v>23</v>
      </c>
      <c r="M618" s="43" t="s">
        <v>24</v>
      </c>
      <c r="N618" s="42" t="s">
        <v>25</v>
      </c>
      <c r="O618" s="42" t="s">
        <v>21</v>
      </c>
      <c r="P618" s="44"/>
    </row>
    <row r="619" spans="1:16" x14ac:dyDescent="0.25">
      <c r="A619" t="str">
        <f t="shared" si="9"/>
        <v>ALR_BYPASS_NORD_2-Allarme bypass 2 dir. nord</v>
      </c>
      <c r="B619" t="str">
        <f>VLOOKUP(A619,'EXPORT IRIS PROD 13-11-2024'!A:A,1,0)</f>
        <v>ALR_BYPASS_NORD_2-Allarme bypass 2 dir. nord</v>
      </c>
      <c r="C619" t="str">
        <f>VLOOKUP(F619,'EXPORT IRIS PROD 13-11-2024'!F:F,1,0)</f>
        <v>ALR_BYPASS_NORD_2</v>
      </c>
      <c r="D619" t="str">
        <f>VLOOKUP(G619,'EXPORT IRIS PROD 13-11-2024'!D:D,1,0)</f>
        <v>Allarme bypass 2 dir. nord</v>
      </c>
      <c r="E619" s="37" t="s">
        <v>271</v>
      </c>
      <c r="F619" s="38" t="s">
        <v>1161</v>
      </c>
      <c r="G619" s="45" t="s">
        <v>1162</v>
      </c>
      <c r="H619" s="46" t="s">
        <v>274</v>
      </c>
      <c r="I619" s="46" t="s">
        <v>1160</v>
      </c>
      <c r="J619" s="40" t="s">
        <v>21</v>
      </c>
      <c r="K619" s="41" t="s">
        <v>22</v>
      </c>
      <c r="L619" s="42" t="s">
        <v>23</v>
      </c>
      <c r="M619" s="43" t="s">
        <v>24</v>
      </c>
      <c r="N619" s="42" t="s">
        <v>25</v>
      </c>
      <c r="O619" s="42" t="s">
        <v>21</v>
      </c>
      <c r="P619" s="44"/>
    </row>
    <row r="620" spans="1:16" x14ac:dyDescent="0.25">
      <c r="A620" t="str">
        <f t="shared" si="9"/>
        <v>ALR_BYPASS_NORD_3-Allarme bypass 3 dir. nord</v>
      </c>
      <c r="B620" t="str">
        <f>VLOOKUP(A620,'EXPORT IRIS PROD 13-11-2024'!A:A,1,0)</f>
        <v>ALR_BYPASS_NORD_3-Allarme bypass 3 dir. nord</v>
      </c>
      <c r="C620" t="str">
        <f>VLOOKUP(F620,'EXPORT IRIS PROD 13-11-2024'!F:F,1,0)</f>
        <v>ALR_BYPASS_NORD_3</v>
      </c>
      <c r="D620" t="str">
        <f>VLOOKUP(G620,'EXPORT IRIS PROD 13-11-2024'!D:D,1,0)</f>
        <v>Allarme bypass 3 dir. nord</v>
      </c>
      <c r="E620" s="37" t="s">
        <v>271</v>
      </c>
      <c r="F620" s="38" t="s">
        <v>1163</v>
      </c>
      <c r="G620" s="45" t="s">
        <v>1164</v>
      </c>
      <c r="H620" s="46" t="s">
        <v>274</v>
      </c>
      <c r="I620" s="46" t="s">
        <v>1160</v>
      </c>
      <c r="J620" s="40" t="s">
        <v>21</v>
      </c>
      <c r="K620" s="41" t="s">
        <v>22</v>
      </c>
      <c r="L620" s="42" t="s">
        <v>23</v>
      </c>
      <c r="M620" s="43" t="s">
        <v>24</v>
      </c>
      <c r="N620" s="42" t="s">
        <v>25</v>
      </c>
      <c r="O620" s="42" t="s">
        <v>21</v>
      </c>
      <c r="P620" s="44"/>
    </row>
    <row r="621" spans="1:16" x14ac:dyDescent="0.25">
      <c r="A621" t="str">
        <f t="shared" si="9"/>
        <v>ALR_BYPASS_SUD_1-Allarme bypass 1 dir. sud</v>
      </c>
      <c r="B621" t="str">
        <f>VLOOKUP(A621,'EXPORT IRIS PROD 13-11-2024'!A:A,1,0)</f>
        <v>ALR_BYPASS_SUD_1-Allarme bypass 1 dir. sud</v>
      </c>
      <c r="C621" t="str">
        <f>VLOOKUP(F621,'EXPORT IRIS PROD 13-11-2024'!F:F,1,0)</f>
        <v>ALR_BYPASS_SUD_1</v>
      </c>
      <c r="D621" t="str">
        <f>VLOOKUP(G621,'EXPORT IRIS PROD 13-11-2024'!D:D,1,0)</f>
        <v>Allarme bypass 1 dir. sud</v>
      </c>
      <c r="E621" s="37" t="s">
        <v>271</v>
      </c>
      <c r="F621" s="38" t="s">
        <v>1165</v>
      </c>
      <c r="G621" s="45" t="s">
        <v>1166</v>
      </c>
      <c r="H621" s="46" t="s">
        <v>274</v>
      </c>
      <c r="I621" s="46" t="s">
        <v>1160</v>
      </c>
      <c r="J621" s="40" t="s">
        <v>21</v>
      </c>
      <c r="K621" s="41" t="s">
        <v>22</v>
      </c>
      <c r="L621" s="42" t="s">
        <v>23</v>
      </c>
      <c r="M621" s="43" t="s">
        <v>24</v>
      </c>
      <c r="N621" s="42" t="s">
        <v>25</v>
      </c>
      <c r="O621" s="42" t="s">
        <v>21</v>
      </c>
      <c r="P621" s="44"/>
    </row>
    <row r="622" spans="1:16" x14ac:dyDescent="0.25">
      <c r="A622" t="str">
        <f t="shared" si="9"/>
        <v>ALR_BYPASS_SUD_2-Allarme bypass 2 dir. sud</v>
      </c>
      <c r="B622" t="str">
        <f>VLOOKUP(A622,'EXPORT IRIS PROD 13-11-2024'!A:A,1,0)</f>
        <v>ALR_BYPASS_SUD_2-Allarme bypass 2 dir. sud</v>
      </c>
      <c r="C622" t="str">
        <f>VLOOKUP(F622,'EXPORT IRIS PROD 13-11-2024'!F:F,1,0)</f>
        <v>ALR_BYPASS_SUD_2</v>
      </c>
      <c r="D622" t="str">
        <f>VLOOKUP(G622,'EXPORT IRIS PROD 13-11-2024'!D:D,1,0)</f>
        <v>Allarme bypass 2 dir. sud</v>
      </c>
      <c r="E622" s="37" t="s">
        <v>271</v>
      </c>
      <c r="F622" s="38" t="s">
        <v>1167</v>
      </c>
      <c r="G622" s="45" t="s">
        <v>1168</v>
      </c>
      <c r="H622" s="46" t="s">
        <v>274</v>
      </c>
      <c r="I622" s="46" t="s">
        <v>1160</v>
      </c>
      <c r="J622" s="40" t="s">
        <v>21</v>
      </c>
      <c r="K622" s="41" t="s">
        <v>22</v>
      </c>
      <c r="L622" s="42" t="s">
        <v>23</v>
      </c>
      <c r="M622" s="43" t="s">
        <v>24</v>
      </c>
      <c r="N622" s="42" t="s">
        <v>25</v>
      </c>
      <c r="O622" s="42" t="s">
        <v>21</v>
      </c>
      <c r="P622" s="44"/>
    </row>
    <row r="623" spans="1:16" x14ac:dyDescent="0.25">
      <c r="A623" t="str">
        <f t="shared" si="9"/>
        <v>ALR_BYPASS_SUD_3-Allarme bypass 3 dir. sud</v>
      </c>
      <c r="B623" t="str">
        <f>VLOOKUP(A623,'EXPORT IRIS PROD 13-11-2024'!A:A,1,0)</f>
        <v>ALR_BYPASS_SUD_3-Allarme bypass 3 dir. sud</v>
      </c>
      <c r="C623" t="str">
        <f>VLOOKUP(F623,'EXPORT IRIS PROD 13-11-2024'!F:F,1,0)</f>
        <v>ALR_BYPASS_SUD_3</v>
      </c>
      <c r="D623" t="str">
        <f>VLOOKUP(G623,'EXPORT IRIS PROD 13-11-2024'!D:D,1,0)</f>
        <v>Allarme bypass 3 dir. sud</v>
      </c>
      <c r="E623" s="37" t="s">
        <v>271</v>
      </c>
      <c r="F623" s="38" t="s">
        <v>1169</v>
      </c>
      <c r="G623" s="45" t="s">
        <v>1170</v>
      </c>
      <c r="H623" s="46" t="s">
        <v>274</v>
      </c>
      <c r="I623" s="46" t="s">
        <v>1160</v>
      </c>
      <c r="J623" s="40" t="s">
        <v>21</v>
      </c>
      <c r="K623" s="41" t="s">
        <v>22</v>
      </c>
      <c r="L623" s="42" t="s">
        <v>23</v>
      </c>
      <c r="M623" s="43" t="s">
        <v>24</v>
      </c>
      <c r="N623" s="42" t="s">
        <v>25</v>
      </c>
      <c r="O623" s="42" t="s">
        <v>21</v>
      </c>
      <c r="P623" s="44"/>
    </row>
    <row r="624" spans="1:16" x14ac:dyDescent="0.25">
      <c r="A624" t="str">
        <f t="shared" si="9"/>
        <v>ALR_CANALE-Allarme canale</v>
      </c>
      <c r="B624" t="str">
        <f>VLOOKUP(A624,'EXPORT IRIS PROD 13-11-2024'!A:A,1,0)</f>
        <v>ALR_CANALE-Allarme canale</v>
      </c>
      <c r="C624" t="str">
        <f>VLOOKUP(F624,'EXPORT IRIS PROD 13-11-2024'!F:F,1,0)</f>
        <v>ALR_CANALE</v>
      </c>
      <c r="D624" t="str">
        <f>VLOOKUP(G624,'EXPORT IRIS PROD 13-11-2024'!D:D,1,0)</f>
        <v>Allarme canale</v>
      </c>
      <c r="E624" s="37" t="s">
        <v>85</v>
      </c>
      <c r="F624" s="38" t="s">
        <v>1171</v>
      </c>
      <c r="G624" s="45" t="s">
        <v>1172</v>
      </c>
      <c r="H624" s="46" t="s">
        <v>50</v>
      </c>
      <c r="I624" s="46" t="s">
        <v>1173</v>
      </c>
      <c r="J624" s="40" t="s">
        <v>21</v>
      </c>
      <c r="K624" s="41" t="s">
        <v>22</v>
      </c>
      <c r="L624" s="42" t="s">
        <v>23</v>
      </c>
      <c r="M624" s="43" t="s">
        <v>24</v>
      </c>
      <c r="N624" s="42" t="s">
        <v>25</v>
      </c>
      <c r="O624" s="42" t="s">
        <v>21</v>
      </c>
      <c r="P624" s="44"/>
    </row>
    <row r="625" spans="1:16" x14ac:dyDescent="0.25">
      <c r="A625" t="str">
        <f t="shared" si="9"/>
        <v>ALR_CANALE-Allarme canale</v>
      </c>
      <c r="B625" t="str">
        <f>VLOOKUP(A625,'EXPORT IRIS PROD 13-11-2024'!A:A,1,0)</f>
        <v>ALR_CANALE-Allarme canale</v>
      </c>
      <c r="C625" t="str">
        <f>VLOOKUP(F625,'EXPORT IRIS PROD 13-11-2024'!F:F,1,0)</f>
        <v>ALR_CANALE</v>
      </c>
      <c r="D625" t="str">
        <f>VLOOKUP(G625,'EXPORT IRIS PROD 13-11-2024'!D:D,1,0)</f>
        <v>Allarme canale</v>
      </c>
      <c r="E625" s="37" t="s">
        <v>85</v>
      </c>
      <c r="F625" s="38" t="s">
        <v>1171</v>
      </c>
      <c r="G625" s="45" t="s">
        <v>1172</v>
      </c>
      <c r="H625" s="46" t="s">
        <v>50</v>
      </c>
      <c r="I625" s="46" t="s">
        <v>124</v>
      </c>
      <c r="J625" s="40" t="s">
        <v>21</v>
      </c>
      <c r="K625" s="41" t="s">
        <v>22</v>
      </c>
      <c r="L625" s="42" t="s">
        <v>23</v>
      </c>
      <c r="M625" s="43" t="s">
        <v>24</v>
      </c>
      <c r="N625" s="42" t="s">
        <v>25</v>
      </c>
      <c r="O625" s="42" t="s">
        <v>21</v>
      </c>
      <c r="P625" s="44"/>
    </row>
    <row r="626" spans="1:16" x14ac:dyDescent="0.25">
      <c r="A626" t="str">
        <f t="shared" si="9"/>
        <v>ALR_CANALE-Allarme canale</v>
      </c>
      <c r="B626" t="str">
        <f>VLOOKUP(A626,'EXPORT IRIS PROD 13-11-2024'!A:A,1,0)</f>
        <v>ALR_CANALE-Allarme canale</v>
      </c>
      <c r="C626" t="str">
        <f>VLOOKUP(F626,'EXPORT IRIS PROD 13-11-2024'!F:F,1,0)</f>
        <v>ALR_CANALE</v>
      </c>
      <c r="D626" t="str">
        <f>VLOOKUP(G626,'EXPORT IRIS PROD 13-11-2024'!D:D,1,0)</f>
        <v>Allarme canale</v>
      </c>
      <c r="E626" s="37" t="s">
        <v>271</v>
      </c>
      <c r="F626" s="38" t="s">
        <v>1171</v>
      </c>
      <c r="G626" s="45" t="s">
        <v>1172</v>
      </c>
      <c r="H626" s="46" t="s">
        <v>274</v>
      </c>
      <c r="I626" s="46" t="s">
        <v>1174</v>
      </c>
      <c r="J626" s="40" t="s">
        <v>21</v>
      </c>
      <c r="K626" s="41" t="s">
        <v>22</v>
      </c>
      <c r="L626" s="42" t="s">
        <v>23</v>
      </c>
      <c r="M626" s="43" t="s">
        <v>24</v>
      </c>
      <c r="N626" s="42" t="s">
        <v>25</v>
      </c>
      <c r="O626" s="42" t="s">
        <v>21</v>
      </c>
      <c r="P626" s="44"/>
    </row>
    <row r="627" spans="1:16" x14ac:dyDescent="0.25">
      <c r="A627" t="str">
        <f t="shared" si="9"/>
        <v>ALR_CANALE-Allarme canale</v>
      </c>
      <c r="B627" t="str">
        <f>VLOOKUP(A627,'EXPORT IRIS PROD 13-11-2024'!A:A,1,0)</f>
        <v>ALR_CANALE-Allarme canale</v>
      </c>
      <c r="C627" t="str">
        <f>VLOOKUP(F627,'EXPORT IRIS PROD 13-11-2024'!F:F,1,0)</f>
        <v>ALR_CANALE</v>
      </c>
      <c r="D627" t="str">
        <f>VLOOKUP(G627,'EXPORT IRIS PROD 13-11-2024'!D:D,1,0)</f>
        <v>Allarme canale</v>
      </c>
      <c r="E627" s="37" t="s">
        <v>16</v>
      </c>
      <c r="F627" s="38" t="s">
        <v>1171</v>
      </c>
      <c r="G627" s="45" t="s">
        <v>1172</v>
      </c>
      <c r="H627" s="46" t="s">
        <v>1156</v>
      </c>
      <c r="I627" s="46" t="s">
        <v>1110</v>
      </c>
      <c r="J627" s="40" t="s">
        <v>21</v>
      </c>
      <c r="K627" s="41" t="s">
        <v>22</v>
      </c>
      <c r="L627" s="42" t="s">
        <v>23</v>
      </c>
      <c r="M627" s="43" t="s">
        <v>24</v>
      </c>
      <c r="N627" s="42" t="s">
        <v>25</v>
      </c>
      <c r="O627" s="42" t="s">
        <v>21</v>
      </c>
      <c r="P627" s="44"/>
    </row>
    <row r="628" spans="1:16" x14ac:dyDescent="0.25">
      <c r="A628" t="str">
        <f t="shared" si="9"/>
        <v>ALR_CANALE-Allarme canale</v>
      </c>
      <c r="B628" t="str">
        <f>VLOOKUP(A628,'EXPORT IRIS PROD 13-11-2024'!A:A,1,0)</f>
        <v>ALR_CANALE-Allarme canale</v>
      </c>
      <c r="C628" t="str">
        <f>VLOOKUP(F628,'EXPORT IRIS PROD 13-11-2024'!F:F,1,0)</f>
        <v>ALR_CANALE</v>
      </c>
      <c r="D628" t="str">
        <f>VLOOKUP(G628,'EXPORT IRIS PROD 13-11-2024'!D:D,1,0)</f>
        <v>Allarme canale</v>
      </c>
      <c r="E628" s="37" t="s">
        <v>1108</v>
      </c>
      <c r="F628" s="38" t="s">
        <v>1171</v>
      </c>
      <c r="G628" s="45" t="s">
        <v>1172</v>
      </c>
      <c r="H628" s="46" t="s">
        <v>1175</v>
      </c>
      <c r="I628" s="46" t="s">
        <v>20</v>
      </c>
      <c r="J628" s="40" t="s">
        <v>21</v>
      </c>
      <c r="K628" s="41" t="s">
        <v>22</v>
      </c>
      <c r="L628" s="42" t="s">
        <v>23</v>
      </c>
      <c r="M628" s="43" t="s">
        <v>24</v>
      </c>
      <c r="N628" s="42" t="s">
        <v>25</v>
      </c>
      <c r="O628" s="42" t="s">
        <v>21</v>
      </c>
      <c r="P628" s="44"/>
    </row>
    <row r="629" spans="1:16" x14ac:dyDescent="0.25">
      <c r="A629" t="str">
        <f t="shared" si="9"/>
        <v>ALR_CANALE_1-Allarme canale 1</v>
      </c>
      <c r="B629" t="str">
        <f>VLOOKUP(A629,'EXPORT IRIS PROD 13-11-2024'!A:A,1,0)</f>
        <v>ALR_CANALE_1-Allarme canale 1</v>
      </c>
      <c r="C629" t="str">
        <f>VLOOKUP(F629,'EXPORT IRIS PROD 13-11-2024'!F:F,1,0)</f>
        <v>ALR_CANALE_1</v>
      </c>
      <c r="D629" t="str">
        <f>VLOOKUP(G629,'EXPORT IRIS PROD 13-11-2024'!D:D,1,0)</f>
        <v>Allarme canale 1</v>
      </c>
      <c r="E629" s="37" t="s">
        <v>1108</v>
      </c>
      <c r="F629" s="38" t="s">
        <v>1176</v>
      </c>
      <c r="G629" s="45" t="s">
        <v>1177</v>
      </c>
      <c r="H629" s="46" t="s">
        <v>1109</v>
      </c>
      <c r="I629" s="46" t="s">
        <v>1110</v>
      </c>
      <c r="J629" s="40" t="s">
        <v>21</v>
      </c>
      <c r="K629" s="41" t="s">
        <v>22</v>
      </c>
      <c r="L629" s="42" t="s">
        <v>23</v>
      </c>
      <c r="M629" s="43" t="s">
        <v>24</v>
      </c>
      <c r="N629" s="42" t="s">
        <v>25</v>
      </c>
      <c r="O629" s="42" t="s">
        <v>21</v>
      </c>
      <c r="P629" s="44"/>
    </row>
    <row r="630" spans="1:16" x14ac:dyDescent="0.25">
      <c r="A630" t="str">
        <f t="shared" si="9"/>
        <v>ALR_CANALE_2-Allarme canale 2</v>
      </c>
      <c r="B630" t="str">
        <f>VLOOKUP(A630,'EXPORT IRIS PROD 13-11-2024'!A:A,1,0)</f>
        <v>ALR_CANALE_2-Allarme canale 2</v>
      </c>
      <c r="C630" t="str">
        <f>VLOOKUP(F630,'EXPORT IRIS PROD 13-11-2024'!F:F,1,0)</f>
        <v>ALR_CANALE_2</v>
      </c>
      <c r="D630" t="str">
        <f>VLOOKUP(G630,'EXPORT IRIS PROD 13-11-2024'!D:D,1,0)</f>
        <v>Allarme canale 2</v>
      </c>
      <c r="E630" s="37" t="s">
        <v>1108</v>
      </c>
      <c r="F630" s="38" t="s">
        <v>1178</v>
      </c>
      <c r="G630" s="45" t="s">
        <v>1179</v>
      </c>
      <c r="H630" s="46" t="s">
        <v>1109</v>
      </c>
      <c r="I630" s="46" t="s">
        <v>1110</v>
      </c>
      <c r="J630" s="40" t="s">
        <v>21</v>
      </c>
      <c r="K630" s="41" t="s">
        <v>22</v>
      </c>
      <c r="L630" s="42" t="s">
        <v>23</v>
      </c>
      <c r="M630" s="43" t="s">
        <v>24</v>
      </c>
      <c r="N630" s="42" t="s">
        <v>25</v>
      </c>
      <c r="O630" s="42" t="s">
        <v>21</v>
      </c>
      <c r="P630" s="44"/>
    </row>
    <row r="631" spans="1:16" x14ac:dyDescent="0.25">
      <c r="A631" t="str">
        <f t="shared" si="9"/>
        <v>ALR_CANALE_3-Allarme canale 3</v>
      </c>
      <c r="B631" t="str">
        <f>VLOOKUP(A631,'EXPORT IRIS PROD 13-11-2024'!A:A,1,0)</f>
        <v>ALR_CANALE_3-Allarme canale 3</v>
      </c>
      <c r="C631" t="str">
        <f>VLOOKUP(F631,'EXPORT IRIS PROD 13-11-2024'!F:F,1,0)</f>
        <v>ALR_CANALE_3</v>
      </c>
      <c r="D631" t="str">
        <f>VLOOKUP(G631,'EXPORT IRIS PROD 13-11-2024'!D:D,1,0)</f>
        <v>Allarme canale 3</v>
      </c>
      <c r="E631" s="37" t="s">
        <v>1108</v>
      </c>
      <c r="F631" s="38" t="s">
        <v>1180</v>
      </c>
      <c r="G631" s="45" t="s">
        <v>1181</v>
      </c>
      <c r="H631" s="46" t="s">
        <v>1109</v>
      </c>
      <c r="I631" s="46" t="s">
        <v>1110</v>
      </c>
      <c r="J631" s="40" t="s">
        <v>21</v>
      </c>
      <c r="K631" s="41" t="s">
        <v>22</v>
      </c>
      <c r="L631" s="42" t="s">
        <v>23</v>
      </c>
      <c r="M631" s="43" t="s">
        <v>24</v>
      </c>
      <c r="N631" s="42" t="s">
        <v>25</v>
      </c>
      <c r="O631" s="42" t="s">
        <v>21</v>
      </c>
      <c r="P631" s="44"/>
    </row>
    <row r="632" spans="1:16" x14ac:dyDescent="0.25">
      <c r="A632" t="str">
        <f t="shared" si="9"/>
        <v>ALR_CANALE_4-Allarme canale 4</v>
      </c>
      <c r="B632" t="str">
        <f>VLOOKUP(A632,'EXPORT IRIS PROD 13-11-2024'!A:A,1,0)</f>
        <v>ALR_CANALE_4-Allarme canale 4</v>
      </c>
      <c r="C632" t="str">
        <f>VLOOKUP(F632,'EXPORT IRIS PROD 13-11-2024'!F:F,1,0)</f>
        <v>ALR_CANALE_4</v>
      </c>
      <c r="D632" t="str">
        <f>VLOOKUP(G632,'EXPORT IRIS PROD 13-11-2024'!D:D,1,0)</f>
        <v>Allarme canale 4</v>
      </c>
      <c r="E632" s="37" t="s">
        <v>1108</v>
      </c>
      <c r="F632" s="38" t="s">
        <v>1182</v>
      </c>
      <c r="G632" s="45" t="s">
        <v>1183</v>
      </c>
      <c r="H632" s="46" t="s">
        <v>1109</v>
      </c>
      <c r="I632" s="46" t="s">
        <v>1110</v>
      </c>
      <c r="J632" s="40" t="s">
        <v>21</v>
      </c>
      <c r="K632" s="41" t="s">
        <v>22</v>
      </c>
      <c r="L632" s="42" t="s">
        <v>23</v>
      </c>
      <c r="M632" s="43" t="s">
        <v>24</v>
      </c>
      <c r="N632" s="42" t="s">
        <v>25</v>
      </c>
      <c r="O632" s="42" t="s">
        <v>21</v>
      </c>
      <c r="P632" s="44"/>
    </row>
    <row r="633" spans="1:16" x14ac:dyDescent="0.25">
      <c r="A633" t="str">
        <f t="shared" si="9"/>
        <v>ALR_CANALE_5-Allarme canale 5</v>
      </c>
      <c r="B633" t="str">
        <f>VLOOKUP(A633,'EXPORT IRIS PROD 13-11-2024'!A:A,1,0)</f>
        <v>ALR_CANALE_5-Allarme canale 5</v>
      </c>
      <c r="C633" t="str">
        <f>VLOOKUP(F633,'EXPORT IRIS PROD 13-11-2024'!F:F,1,0)</f>
        <v>ALR_CANALE_5</v>
      </c>
      <c r="D633" t="str">
        <f>VLOOKUP(G633,'EXPORT IRIS PROD 13-11-2024'!D:D,1,0)</f>
        <v>Allarme canale 5</v>
      </c>
      <c r="E633" s="37" t="s">
        <v>1108</v>
      </c>
      <c r="F633" s="38" t="s">
        <v>1184</v>
      </c>
      <c r="G633" s="45" t="s">
        <v>1185</v>
      </c>
      <c r="H633" s="46" t="s">
        <v>1186</v>
      </c>
      <c r="I633" s="46" t="s">
        <v>1110</v>
      </c>
      <c r="J633" s="40" t="s">
        <v>21</v>
      </c>
      <c r="K633" s="41" t="s">
        <v>22</v>
      </c>
      <c r="L633" s="42" t="s">
        <v>23</v>
      </c>
      <c r="M633" s="43" t="s">
        <v>24</v>
      </c>
      <c r="N633" s="42" t="s">
        <v>25</v>
      </c>
      <c r="O633" s="42" t="s">
        <v>21</v>
      </c>
      <c r="P633" s="44"/>
    </row>
    <row r="634" spans="1:16" x14ac:dyDescent="0.25">
      <c r="A634" t="str">
        <f t="shared" si="9"/>
        <v>ALR_CAVO_ROTTO-Allarme Cavo Rotto</v>
      </c>
      <c r="B634" t="str">
        <f>VLOOKUP(A634,'EXPORT IRIS PROD 13-11-2024'!A:A,1,0)</f>
        <v>ALR_CAVO_ROTTO-Allarme Cavo Rotto</v>
      </c>
      <c r="C634" t="str">
        <f>VLOOKUP(F634,'EXPORT IRIS PROD 13-11-2024'!F:F,1,0)</f>
        <v>ALR_CAVO_ROTTO</v>
      </c>
      <c r="D634" t="str">
        <f>VLOOKUP(G634,'EXPORT IRIS PROD 13-11-2024'!D:D,1,0)</f>
        <v>Allarme Cavo Rotto</v>
      </c>
      <c r="E634" s="37" t="s">
        <v>85</v>
      </c>
      <c r="F634" s="38" t="s">
        <v>1187</v>
      </c>
      <c r="G634" s="45" t="s">
        <v>1188</v>
      </c>
      <c r="H634" s="46" t="s">
        <v>50</v>
      </c>
      <c r="I634" s="46" t="s">
        <v>1189</v>
      </c>
      <c r="J634" s="40" t="s">
        <v>21</v>
      </c>
      <c r="K634" s="41" t="s">
        <v>22</v>
      </c>
      <c r="L634" s="42" t="s">
        <v>23</v>
      </c>
      <c r="M634" s="43" t="s">
        <v>24</v>
      </c>
      <c r="N634" s="42" t="s">
        <v>25</v>
      </c>
      <c r="O634" s="42" t="s">
        <v>21</v>
      </c>
      <c r="P634" s="44"/>
    </row>
    <row r="635" spans="1:16" x14ac:dyDescent="0.25">
      <c r="A635" t="str">
        <f t="shared" si="9"/>
        <v>ALR_CAVO_ROTTO-Allarme Cavo Rotto</v>
      </c>
      <c r="B635" t="str">
        <f>VLOOKUP(A635,'EXPORT IRIS PROD 13-11-2024'!A:A,1,0)</f>
        <v>ALR_CAVO_ROTTO-Allarme Cavo Rotto</v>
      </c>
      <c r="C635" t="str">
        <f>VLOOKUP(F635,'EXPORT IRIS PROD 13-11-2024'!F:F,1,0)</f>
        <v>ALR_CAVO_ROTTO</v>
      </c>
      <c r="D635" t="str">
        <f>VLOOKUP(G635,'EXPORT IRIS PROD 13-11-2024'!D:D,1,0)</f>
        <v>Allarme Cavo Rotto</v>
      </c>
      <c r="E635" s="37" t="s">
        <v>105</v>
      </c>
      <c r="F635" s="38" t="s">
        <v>1187</v>
      </c>
      <c r="G635" s="45" t="s">
        <v>1188</v>
      </c>
      <c r="H635" s="46" t="s">
        <v>43</v>
      </c>
      <c r="I635" s="46" t="s">
        <v>394</v>
      </c>
      <c r="J635" s="40" t="s">
        <v>21</v>
      </c>
      <c r="K635" s="41" t="s">
        <v>22</v>
      </c>
      <c r="L635" s="42" t="s">
        <v>23</v>
      </c>
      <c r="M635" s="43" t="s">
        <v>24</v>
      </c>
      <c r="N635" s="42" t="s">
        <v>25</v>
      </c>
      <c r="O635" s="42" t="s">
        <v>21</v>
      </c>
      <c r="P635" s="44"/>
    </row>
    <row r="636" spans="1:16" x14ac:dyDescent="0.25">
      <c r="A636" t="str">
        <f t="shared" si="9"/>
        <v>ALR_CAVO_SCOLLEGATO-Allarme cavo scollegato</v>
      </c>
      <c r="B636" t="str">
        <f>VLOOKUP(A636,'EXPORT IRIS PROD 13-11-2024'!A:A,1,0)</f>
        <v>ALR_CAVO_SCOLLEGATO-Allarme cavo scollegato</v>
      </c>
      <c r="C636" t="str">
        <f>VLOOKUP(F636,'EXPORT IRIS PROD 13-11-2024'!F:F,1,0)</f>
        <v>ALR_CAVO_SCOLLEGATO</v>
      </c>
      <c r="D636" t="str">
        <f>VLOOKUP(G636,'EXPORT IRIS PROD 13-11-2024'!D:D,1,0)</f>
        <v>Allarme cavo scollegato</v>
      </c>
      <c r="E636" s="37" t="s">
        <v>105</v>
      </c>
      <c r="F636" s="38" t="s">
        <v>1190</v>
      </c>
      <c r="G636" s="45" t="s">
        <v>1191</v>
      </c>
      <c r="H636" s="46" t="s">
        <v>43</v>
      </c>
      <c r="I636" s="46" t="s">
        <v>394</v>
      </c>
      <c r="J636" s="40" t="s">
        <v>21</v>
      </c>
      <c r="K636" s="41" t="s">
        <v>22</v>
      </c>
      <c r="L636" s="42" t="s">
        <v>23</v>
      </c>
      <c r="M636" s="43" t="s">
        <v>24</v>
      </c>
      <c r="N636" s="42" t="s">
        <v>25</v>
      </c>
      <c r="O636" s="42" t="s">
        <v>21</v>
      </c>
      <c r="P636" s="44"/>
    </row>
    <row r="637" spans="1:16" x14ac:dyDescent="0.25">
      <c r="A637" t="str">
        <f t="shared" si="9"/>
        <v>ALR_CENTRALE_INCENDIO_1_IN_STOP-Allarme centrale incendio 1 in stop</v>
      </c>
      <c r="B637" t="str">
        <f>VLOOKUP(A637,'EXPORT IRIS PROD 13-11-2024'!A:A,1,0)</f>
        <v>ALR_CENTRALE_INCENDIO_1_IN_STOP-Allarme centrale incendio 1 in stop</v>
      </c>
      <c r="C637" t="str">
        <f>VLOOKUP(F637,'EXPORT IRIS PROD 13-11-2024'!F:F,1,0)</f>
        <v>ALR_CENTRALE_INCENDIO_1_IN_STOP</v>
      </c>
      <c r="D637" t="str">
        <f>VLOOKUP(G637,'EXPORT IRIS PROD 13-11-2024'!D:D,1,0)</f>
        <v>Allarme centrale incendio 1 in stop</v>
      </c>
      <c r="E637" s="37" t="s">
        <v>105</v>
      </c>
      <c r="F637" s="38" t="s">
        <v>1192</v>
      </c>
      <c r="G637" s="45" t="s">
        <v>1193</v>
      </c>
      <c r="H637" s="46" t="s">
        <v>43</v>
      </c>
      <c r="I637" s="46" t="s">
        <v>394</v>
      </c>
      <c r="J637" s="47" t="s">
        <v>31</v>
      </c>
      <c r="K637" s="48" t="s">
        <v>32</v>
      </c>
      <c r="L637" s="42">
        <v>3</v>
      </c>
      <c r="M637" s="43" t="s">
        <v>33</v>
      </c>
      <c r="N637" s="42" t="s">
        <v>34</v>
      </c>
      <c r="O637" s="42" t="s">
        <v>31</v>
      </c>
      <c r="P637" s="44"/>
    </row>
    <row r="638" spans="1:16" x14ac:dyDescent="0.25">
      <c r="A638" t="str">
        <f t="shared" si="9"/>
        <v>ALR_CHIAMATA_ATTIVATA-Allarme chiamata attivata</v>
      </c>
      <c r="B638" t="str">
        <f>VLOOKUP(A638,'EXPORT IRIS PROD 13-11-2024'!A:A,1,0)</f>
        <v>ALR_CHIAMATA_ATTIVATA-Allarme chiamata attivata</v>
      </c>
      <c r="C638" t="str">
        <f>VLOOKUP(F638,'EXPORT IRIS PROD 13-11-2024'!F:F,1,0)</f>
        <v>ALR_CHIAMATA_ATTIVATA</v>
      </c>
      <c r="D638" t="str">
        <f>VLOOKUP(G638,'EXPORT IRIS PROD 13-11-2024'!D:D,1,0)</f>
        <v>Allarme chiamata attivata</v>
      </c>
      <c r="E638" s="37" t="s">
        <v>26</v>
      </c>
      <c r="F638" s="38" t="s">
        <v>1194</v>
      </c>
      <c r="G638" s="45" t="s">
        <v>1195</v>
      </c>
      <c r="H638" s="46" t="s">
        <v>29</v>
      </c>
      <c r="I638" s="46" t="s">
        <v>360</v>
      </c>
      <c r="J638" s="47" t="s">
        <v>31</v>
      </c>
      <c r="K638" s="48" t="s">
        <v>32</v>
      </c>
      <c r="L638" s="43">
        <v>1</v>
      </c>
      <c r="M638" s="43" t="s">
        <v>33</v>
      </c>
      <c r="N638" s="43" t="s">
        <v>34</v>
      </c>
      <c r="O638" s="43" t="s">
        <v>31</v>
      </c>
      <c r="P638" s="44"/>
    </row>
    <row r="639" spans="1:16" x14ac:dyDescent="0.25">
      <c r="A639" t="str">
        <f t="shared" si="9"/>
        <v>ALR_CHIUSURA_TENSIONE_DC_ALTA-Allarme tensione DC alta</v>
      </c>
      <c r="B639" t="str">
        <f>VLOOKUP(A639,'EXPORT IRIS PROD 13-11-2024'!A:A,1,0)</f>
        <v>ALR_CHIUSURA_TENSIONE_DC_ALTA-Allarme tensione DC alta</v>
      </c>
      <c r="C639" t="str">
        <f>VLOOKUP(F639,'EXPORT IRIS PROD 13-11-2024'!F:F,1,0)</f>
        <v>ALR_CHIUSURA_TENSIONE_DC_ALTA</v>
      </c>
      <c r="D639" t="str">
        <f>VLOOKUP(G639,'EXPORT IRIS PROD 13-11-2024'!D:D,1,0)</f>
        <v>Allarme tensione DC alta</v>
      </c>
      <c r="E639" s="37" t="s">
        <v>53</v>
      </c>
      <c r="F639" s="38" t="s">
        <v>1196</v>
      </c>
      <c r="G639" s="45" t="s">
        <v>1197</v>
      </c>
      <c r="H639" s="46" t="s">
        <v>1106</v>
      </c>
      <c r="I639" s="46" t="s">
        <v>177</v>
      </c>
      <c r="J639" s="40" t="s">
        <v>21</v>
      </c>
      <c r="K639" s="41" t="s">
        <v>22</v>
      </c>
      <c r="L639" s="42" t="s">
        <v>23</v>
      </c>
      <c r="M639" s="43" t="s">
        <v>24</v>
      </c>
      <c r="N639" s="42" t="s">
        <v>25</v>
      </c>
      <c r="O639" s="42" t="s">
        <v>21</v>
      </c>
      <c r="P639" s="44"/>
    </row>
    <row r="640" spans="1:16" x14ac:dyDescent="0.25">
      <c r="A640" t="str">
        <f t="shared" si="9"/>
        <v>ALR_CHIUSURA_TENSIONE_DC_ALTA-Allarme tensione DC alta</v>
      </c>
      <c r="B640" t="str">
        <f>VLOOKUP(A640,'EXPORT IRIS PROD 13-11-2024'!A:A,1,0)</f>
        <v>ALR_CHIUSURA_TENSIONE_DC_ALTA-Allarme tensione DC alta</v>
      </c>
      <c r="C640" t="str">
        <f>VLOOKUP(F640,'EXPORT IRIS PROD 13-11-2024'!F:F,1,0)</f>
        <v>ALR_CHIUSURA_TENSIONE_DC_ALTA</v>
      </c>
      <c r="D640" t="str">
        <f>VLOOKUP(G640,'EXPORT IRIS PROD 13-11-2024'!D:D,1,0)</f>
        <v>Allarme tensione DC alta</v>
      </c>
      <c r="E640" s="37" t="s">
        <v>53</v>
      </c>
      <c r="F640" s="38" t="s">
        <v>1196</v>
      </c>
      <c r="G640" s="45" t="s">
        <v>1197</v>
      </c>
      <c r="H640" s="46" t="s">
        <v>56</v>
      </c>
      <c r="I640" s="46" t="s">
        <v>1198</v>
      </c>
      <c r="J640" s="40" t="s">
        <v>21</v>
      </c>
      <c r="K640" s="41" t="s">
        <v>22</v>
      </c>
      <c r="L640" s="42" t="s">
        <v>23</v>
      </c>
      <c r="M640" s="43" t="s">
        <v>24</v>
      </c>
      <c r="N640" s="42" t="s">
        <v>25</v>
      </c>
      <c r="O640" s="42" t="s">
        <v>21</v>
      </c>
      <c r="P640" s="44"/>
    </row>
    <row r="641" spans="1:16" x14ac:dyDescent="0.25">
      <c r="A641" t="str">
        <f t="shared" si="9"/>
        <v>ALR_CHIUSURA_TENSIONE_DC_BASSA-Allarme tensione DC bassa</v>
      </c>
      <c r="B641" t="str">
        <f>VLOOKUP(A641,'EXPORT IRIS PROD 13-11-2024'!A:A,1,0)</f>
        <v>ALR_CHIUSURA_TENSIONE_DC_BASSA-Allarme tensione DC bassa</v>
      </c>
      <c r="C641" t="str">
        <f>VLOOKUP(F641,'EXPORT IRIS PROD 13-11-2024'!F:F,1,0)</f>
        <v>ALR_CHIUSURA_TENSIONE_DC_BASSA</v>
      </c>
      <c r="D641" t="str">
        <f>VLOOKUP(G641,'EXPORT IRIS PROD 13-11-2024'!D:D,1,0)</f>
        <v>Allarme tensione DC bassa</v>
      </c>
      <c r="E641" s="37" t="s">
        <v>53</v>
      </c>
      <c r="F641" s="38" t="s">
        <v>1199</v>
      </c>
      <c r="G641" s="45" t="s">
        <v>1200</v>
      </c>
      <c r="H641" s="46" t="s">
        <v>1106</v>
      </c>
      <c r="I641" s="46" t="s">
        <v>177</v>
      </c>
      <c r="J641" s="40" t="s">
        <v>21</v>
      </c>
      <c r="K641" s="41" t="s">
        <v>22</v>
      </c>
      <c r="L641" s="42" t="s">
        <v>23</v>
      </c>
      <c r="M641" s="43" t="s">
        <v>24</v>
      </c>
      <c r="N641" s="42" t="s">
        <v>25</v>
      </c>
      <c r="O641" s="42" t="s">
        <v>21</v>
      </c>
      <c r="P641" s="44"/>
    </row>
    <row r="642" spans="1:16" x14ac:dyDescent="0.25">
      <c r="A642" t="str">
        <f t="shared" si="9"/>
        <v>ALR_CHIUSURA_TENSIONE_DC_BASSA-Allarme tensione DC bassa</v>
      </c>
      <c r="B642" t="str">
        <f>VLOOKUP(A642,'EXPORT IRIS PROD 13-11-2024'!A:A,1,0)</f>
        <v>ALR_CHIUSURA_TENSIONE_DC_BASSA-Allarme tensione DC bassa</v>
      </c>
      <c r="C642" t="str">
        <f>VLOOKUP(F642,'EXPORT IRIS PROD 13-11-2024'!F:F,1,0)</f>
        <v>ALR_CHIUSURA_TENSIONE_DC_BASSA</v>
      </c>
      <c r="D642" t="str">
        <f>VLOOKUP(G642,'EXPORT IRIS PROD 13-11-2024'!D:D,1,0)</f>
        <v>Allarme tensione DC bassa</v>
      </c>
      <c r="E642" s="37" t="s">
        <v>53</v>
      </c>
      <c r="F642" s="38" t="s">
        <v>1199</v>
      </c>
      <c r="G642" s="45" t="s">
        <v>1200</v>
      </c>
      <c r="H642" s="46" t="s">
        <v>1106</v>
      </c>
      <c r="I642" s="46" t="s">
        <v>177</v>
      </c>
      <c r="J642" s="40" t="s">
        <v>21</v>
      </c>
      <c r="K642" s="41" t="s">
        <v>22</v>
      </c>
      <c r="L642" s="42" t="s">
        <v>23</v>
      </c>
      <c r="M642" s="43" t="s">
        <v>24</v>
      </c>
      <c r="N642" s="42" t="s">
        <v>25</v>
      </c>
      <c r="O642" s="42" t="s">
        <v>21</v>
      </c>
      <c r="P642" s="44"/>
    </row>
    <row r="643" spans="1:16" x14ac:dyDescent="0.25">
      <c r="A643" t="str">
        <f t="shared" ref="A643:A706" si="10">CONCATENATE(F643,"-",G643)</f>
        <v>ALR_CIRCUITO_APERTO-Allarme circuito aperto</v>
      </c>
      <c r="B643" t="str">
        <f>VLOOKUP(A643,'EXPORT IRIS PROD 13-11-2024'!A:A,1,0)</f>
        <v>ALR_CIRCUITO_APERTO-Allarme circuito aperto</v>
      </c>
      <c r="C643" t="str">
        <f>VLOOKUP(F643,'EXPORT IRIS PROD 13-11-2024'!F:F,1,0)</f>
        <v>ALR_CIRCUITO_APERTO</v>
      </c>
      <c r="D643" t="str">
        <f>VLOOKUP(G643,'EXPORT IRIS PROD 13-11-2024'!D:D,1,0)</f>
        <v>Allarme circuito aperto</v>
      </c>
      <c r="E643" s="37" t="s">
        <v>1201</v>
      </c>
      <c r="F643" s="38" t="s">
        <v>1202</v>
      </c>
      <c r="G643" s="45" t="s">
        <v>1203</v>
      </c>
      <c r="H643" s="46" t="s">
        <v>965</v>
      </c>
      <c r="I643" s="46" t="s">
        <v>1204</v>
      </c>
      <c r="J643" s="40" t="s">
        <v>21</v>
      </c>
      <c r="K643" s="41" t="s">
        <v>22</v>
      </c>
      <c r="L643" s="42" t="s">
        <v>23</v>
      </c>
      <c r="M643" s="43" t="s">
        <v>24</v>
      </c>
      <c r="N643" s="42" t="s">
        <v>25</v>
      </c>
      <c r="O643" s="42" t="s">
        <v>21</v>
      </c>
      <c r="P643" s="44"/>
    </row>
    <row r="644" spans="1:16" x14ac:dyDescent="0.25">
      <c r="A644" t="str">
        <f t="shared" si="10"/>
        <v>ALR_CIRCUITO_INTERROTTO-Allarme circuito interrotto</v>
      </c>
      <c r="B644" t="str">
        <f>VLOOKUP(A644,'EXPORT IRIS PROD 13-11-2024'!A:A,1,0)</f>
        <v>ALR_CIRCUITO_INTERROTTO-Allarme circuito interrotto</v>
      </c>
      <c r="C644" t="str">
        <f>VLOOKUP(F644,'EXPORT IRIS PROD 13-11-2024'!F:F,1,0)</f>
        <v>ALR_CIRCUITO_INTERROTTO</v>
      </c>
      <c r="D644" t="str">
        <f>VLOOKUP(G644,'EXPORT IRIS PROD 13-11-2024'!D:D,1,0)</f>
        <v>Allarme circuito interrotto</v>
      </c>
      <c r="E644" s="37" t="s">
        <v>1201</v>
      </c>
      <c r="F644" s="38" t="s">
        <v>1205</v>
      </c>
      <c r="G644" s="45" t="s">
        <v>1206</v>
      </c>
      <c r="H644" s="46" t="s">
        <v>965</v>
      </c>
      <c r="I644" s="46" t="s">
        <v>1204</v>
      </c>
      <c r="J644" s="40" t="s">
        <v>21</v>
      </c>
      <c r="K644" s="41" t="s">
        <v>22</v>
      </c>
      <c r="L644" s="42" t="s">
        <v>23</v>
      </c>
      <c r="M644" s="43" t="s">
        <v>24</v>
      </c>
      <c r="N644" s="42" t="s">
        <v>25</v>
      </c>
      <c r="O644" s="42" t="s">
        <v>21</v>
      </c>
      <c r="P644" s="44"/>
    </row>
    <row r="645" spans="1:16" x14ac:dyDescent="0.25">
      <c r="A645" t="str">
        <f t="shared" si="10"/>
        <v>ALR_COMPRESSORE_ARIA_GE-Allarme compressore aria gruppo elettrogeno</v>
      </c>
      <c r="B645" t="str">
        <f>VLOOKUP(A645,'EXPORT IRIS PROD 13-11-2024'!A:A,1,0)</f>
        <v>ALR_COMPRESSORE_ARIA_GE-Allarme compressore aria gruppo elettrogeno</v>
      </c>
      <c r="C645" t="str">
        <f>VLOOKUP(F645,'EXPORT IRIS PROD 13-11-2024'!F:F,1,0)</f>
        <v>ALR_COMPRESSORE_ARIA_GE</v>
      </c>
      <c r="D645" t="str">
        <f>VLOOKUP(G645,'EXPORT IRIS PROD 13-11-2024'!D:D,1,0)</f>
        <v>Allarme compressore aria gruppo elettrogeno</v>
      </c>
      <c r="E645" s="37" t="s">
        <v>53</v>
      </c>
      <c r="F645" s="38" t="s">
        <v>1207</v>
      </c>
      <c r="G645" s="45" t="s">
        <v>1208</v>
      </c>
      <c r="H645" s="46" t="s">
        <v>56</v>
      </c>
      <c r="I645" s="46" t="s">
        <v>57</v>
      </c>
      <c r="J645" s="40" t="s">
        <v>21</v>
      </c>
      <c r="K645" s="41" t="s">
        <v>22</v>
      </c>
      <c r="L645" s="42" t="s">
        <v>23</v>
      </c>
      <c r="M645" s="43" t="s">
        <v>157</v>
      </c>
      <c r="N645" s="42" t="s">
        <v>158</v>
      </c>
      <c r="O645" s="42" t="s">
        <v>21</v>
      </c>
      <c r="P645" s="44"/>
    </row>
    <row r="646" spans="1:16" x14ac:dyDescent="0.25">
      <c r="A646" t="str">
        <f t="shared" si="10"/>
        <v>ALR_COMUNICAZIONE_DIAGNOSTICA-Allarme comunicazione diagnostica</v>
      </c>
      <c r="B646" t="str">
        <f>VLOOKUP(A646,'EXPORT IRIS PROD 13-11-2024'!A:A,1,0)</f>
        <v>ALR_COMUNICAZIONE_DIAGNOSTICA-Allarme comunicazione diagnostica</v>
      </c>
      <c r="C646" t="str">
        <f>VLOOKUP(F646,'EXPORT IRIS PROD 13-11-2024'!F:F,1,0)</f>
        <v>ALR_COMUNICAZIONE_DIAGNOSTICA</v>
      </c>
      <c r="D646" t="str">
        <f>VLOOKUP(G646,'EXPORT IRIS PROD 13-11-2024'!D:D,1,0)</f>
        <v>Allarme comunicazione diagnostica</v>
      </c>
      <c r="E646" s="37" t="s">
        <v>16</v>
      </c>
      <c r="F646" s="38" t="s">
        <v>1209</v>
      </c>
      <c r="G646" s="45" t="s">
        <v>1210</v>
      </c>
      <c r="H646" s="46" t="s">
        <v>1156</v>
      </c>
      <c r="I646" s="46" t="s">
        <v>1211</v>
      </c>
      <c r="J646" s="40" t="s">
        <v>21</v>
      </c>
      <c r="K646" s="41" t="s">
        <v>22</v>
      </c>
      <c r="L646" s="42" t="s">
        <v>23</v>
      </c>
      <c r="M646" s="43" t="s">
        <v>24</v>
      </c>
      <c r="N646" s="42" t="s">
        <v>25</v>
      </c>
      <c r="O646" s="42" t="s">
        <v>21</v>
      </c>
      <c r="P646" s="44"/>
    </row>
    <row r="647" spans="1:16" x14ac:dyDescent="0.25">
      <c r="A647" t="str">
        <f t="shared" si="10"/>
        <v>ALR_COMUNICAZIONE_DIAGNOSTICA-Allarme comunicazione diagnostica</v>
      </c>
      <c r="B647" t="str">
        <f>VLOOKUP(A647,'EXPORT IRIS PROD 13-11-2024'!A:A,1,0)</f>
        <v>ALR_COMUNICAZIONE_DIAGNOSTICA-Allarme comunicazione diagnostica</v>
      </c>
      <c r="C647" t="str">
        <f>VLOOKUP(F647,'EXPORT IRIS PROD 13-11-2024'!F:F,1,0)</f>
        <v>ALR_COMUNICAZIONE_DIAGNOSTICA</v>
      </c>
      <c r="D647" t="str">
        <f>VLOOKUP(G647,'EXPORT IRIS PROD 13-11-2024'!D:D,1,0)</f>
        <v>Allarme comunicazione diagnostica</v>
      </c>
      <c r="E647" s="37" t="s">
        <v>16</v>
      </c>
      <c r="F647" s="38" t="s">
        <v>1209</v>
      </c>
      <c r="G647" s="45" t="s">
        <v>1210</v>
      </c>
      <c r="H647" s="46" t="s">
        <v>1156</v>
      </c>
      <c r="I647" s="46" t="s">
        <v>1212</v>
      </c>
      <c r="J647" s="40" t="s">
        <v>21</v>
      </c>
      <c r="K647" s="41" t="s">
        <v>22</v>
      </c>
      <c r="L647" s="42" t="s">
        <v>23</v>
      </c>
      <c r="M647" s="43" t="s">
        <v>24</v>
      </c>
      <c r="N647" s="42" t="s">
        <v>25</v>
      </c>
      <c r="O647" s="42" t="s">
        <v>21</v>
      </c>
      <c r="P647" s="44"/>
    </row>
    <row r="648" spans="1:16" x14ac:dyDescent="0.25">
      <c r="A648" t="str">
        <f t="shared" si="10"/>
        <v>ALR_COMUNICAZIONE_DIAGNOSTICA-Allarme comunicazione diagnostica</v>
      </c>
      <c r="B648" t="str">
        <f>VLOOKUP(A648,'EXPORT IRIS PROD 13-11-2024'!A:A,1,0)</f>
        <v>ALR_COMUNICAZIONE_DIAGNOSTICA-Allarme comunicazione diagnostica</v>
      </c>
      <c r="C648" t="str">
        <f>VLOOKUP(F648,'EXPORT IRIS PROD 13-11-2024'!F:F,1,0)</f>
        <v>ALR_COMUNICAZIONE_DIAGNOSTICA</v>
      </c>
      <c r="D648" t="str">
        <f>VLOOKUP(G648,'EXPORT IRIS PROD 13-11-2024'!D:D,1,0)</f>
        <v>Allarme comunicazione diagnostica</v>
      </c>
      <c r="E648" s="37" t="s">
        <v>16</v>
      </c>
      <c r="F648" s="38" t="s">
        <v>1209</v>
      </c>
      <c r="G648" s="45" t="s">
        <v>1210</v>
      </c>
      <c r="H648" s="46" t="s">
        <v>1156</v>
      </c>
      <c r="I648" s="46" t="s">
        <v>1213</v>
      </c>
      <c r="J648" s="40" t="s">
        <v>21</v>
      </c>
      <c r="K648" s="41" t="s">
        <v>22</v>
      </c>
      <c r="L648" s="42" t="s">
        <v>23</v>
      </c>
      <c r="M648" s="43" t="s">
        <v>24</v>
      </c>
      <c r="N648" s="42" t="s">
        <v>25</v>
      </c>
      <c r="O648" s="42" t="s">
        <v>21</v>
      </c>
      <c r="P648" s="44"/>
    </row>
    <row r="649" spans="1:16" x14ac:dyDescent="0.25">
      <c r="A649" t="str">
        <f t="shared" si="10"/>
        <v>ALR_COMUNICAZIONE_DIR_NORD-Allarme comunicazione dispositivo dir. nord</v>
      </c>
      <c r="B649" t="str">
        <f>VLOOKUP(A649,'EXPORT IRIS PROD 13-11-2024'!A:A,1,0)</f>
        <v>ALR_COMUNICAZIONE_DIR_NORD-Allarme comunicazione dispositivo dir. nord</v>
      </c>
      <c r="C649" t="str">
        <f>VLOOKUP(F649,'EXPORT IRIS PROD 13-11-2024'!F:F,1,0)</f>
        <v>ALR_COMUNICAZIONE_DIR_NORD</v>
      </c>
      <c r="D649" t="str">
        <f>VLOOKUP(G649,'EXPORT IRIS PROD 13-11-2024'!D:D,1,0)</f>
        <v>Allarme comunicazione dispositivo dir. nord</v>
      </c>
      <c r="E649" s="37" t="s">
        <v>115</v>
      </c>
      <c r="F649" s="38" t="s">
        <v>1214</v>
      </c>
      <c r="G649" s="45" t="s">
        <v>1215</v>
      </c>
      <c r="H649" s="46" t="s">
        <v>1142</v>
      </c>
      <c r="I649" s="46" t="s">
        <v>1216</v>
      </c>
      <c r="J649" s="40" t="s">
        <v>21</v>
      </c>
      <c r="K649" s="41" t="s">
        <v>22</v>
      </c>
      <c r="L649" s="42" t="s">
        <v>23</v>
      </c>
      <c r="M649" s="43" t="s">
        <v>24</v>
      </c>
      <c r="N649" s="42" t="s">
        <v>25</v>
      </c>
      <c r="O649" s="42" t="s">
        <v>21</v>
      </c>
      <c r="P649" s="44"/>
    </row>
    <row r="650" spans="1:16" x14ac:dyDescent="0.25">
      <c r="A650" t="str">
        <f t="shared" si="10"/>
        <v>ALR_COMUNICAZIONE_DIR_SUD-Allarme comunicazione dispositivo dir. sud</v>
      </c>
      <c r="B650" t="str">
        <f>VLOOKUP(A650,'EXPORT IRIS PROD 13-11-2024'!A:A,1,0)</f>
        <v>ALR_COMUNICAZIONE_DIR_SUD-Allarme comunicazione dispositivo dir. sud</v>
      </c>
      <c r="C650" t="str">
        <f>VLOOKUP(F650,'EXPORT IRIS PROD 13-11-2024'!F:F,1,0)</f>
        <v>ALR_COMUNICAZIONE_DIR_SUD</v>
      </c>
      <c r="D650" t="str">
        <f>VLOOKUP(G650,'EXPORT IRIS PROD 13-11-2024'!D:D,1,0)</f>
        <v>Allarme comunicazione dispositivo dir. sud</v>
      </c>
      <c r="E650" s="37" t="s">
        <v>115</v>
      </c>
      <c r="F650" s="38" t="s">
        <v>1217</v>
      </c>
      <c r="G650" s="45" t="s">
        <v>1218</v>
      </c>
      <c r="H650" s="46" t="s">
        <v>1142</v>
      </c>
      <c r="I650" s="46" t="s">
        <v>1216</v>
      </c>
      <c r="J650" s="40" t="s">
        <v>21</v>
      </c>
      <c r="K650" s="41" t="s">
        <v>22</v>
      </c>
      <c r="L650" s="42" t="s">
        <v>23</v>
      </c>
      <c r="M650" s="43" t="s">
        <v>24</v>
      </c>
      <c r="N650" s="42" t="s">
        <v>25</v>
      </c>
      <c r="O650" s="42" t="s">
        <v>21</v>
      </c>
      <c r="P650" s="44"/>
    </row>
    <row r="651" spans="1:16" x14ac:dyDescent="0.25">
      <c r="A651" t="str">
        <f t="shared" si="10"/>
        <v>ALR_COMUNICAZIONE_DOPPIA-Allarme comunicazione doppia</v>
      </c>
      <c r="B651" t="str">
        <f>VLOOKUP(A651,'EXPORT IRIS PROD 13-11-2024'!A:A,1,0)</f>
        <v>ALR_COMUNICAZIONE_DOPPIA-Allarme comunicazione doppia</v>
      </c>
      <c r="C651" t="str">
        <f>VLOOKUP(F651,'EXPORT IRIS PROD 13-11-2024'!F:F,1,0)</f>
        <v>ALR_COMUNICAZIONE_DOPPIA</v>
      </c>
      <c r="D651" t="str">
        <f>VLOOKUP(G651,'EXPORT IRIS PROD 13-11-2024'!D:D,1,0)</f>
        <v>Allarme comunicazione doppia</v>
      </c>
      <c r="E651" s="37" t="s">
        <v>1108</v>
      </c>
      <c r="F651" s="38" t="s">
        <v>1219</v>
      </c>
      <c r="G651" s="45" t="s">
        <v>1220</v>
      </c>
      <c r="H651" s="46" t="s">
        <v>1175</v>
      </c>
      <c r="I651" s="46" t="s">
        <v>20</v>
      </c>
      <c r="J651" s="40" t="s">
        <v>21</v>
      </c>
      <c r="K651" s="41" t="s">
        <v>22</v>
      </c>
      <c r="L651" s="42" t="s">
        <v>23</v>
      </c>
      <c r="M651" s="43" t="s">
        <v>24</v>
      </c>
      <c r="N651" s="42" t="s">
        <v>25</v>
      </c>
      <c r="O651" s="42" t="s">
        <v>21</v>
      </c>
      <c r="P651" s="44"/>
    </row>
    <row r="652" spans="1:16" x14ac:dyDescent="0.25">
      <c r="A652" t="str">
        <f t="shared" si="10"/>
        <v>ALR_COMUNICAZIONE_I_O-Allarme comunicazione I/O</v>
      </c>
      <c r="B652" t="str">
        <f>VLOOKUP(A652,'EXPORT IRIS PROD 13-11-2024'!A:A,1,0)</f>
        <v>ALR_COMUNICAZIONE_I_O-Allarme comunicazione I/O</v>
      </c>
      <c r="C652" t="str">
        <f>VLOOKUP(F652,'EXPORT IRIS PROD 13-11-2024'!F:F,1,0)</f>
        <v>ALR_COMUNICAZIONE_I_O</v>
      </c>
      <c r="D652" t="str">
        <f>VLOOKUP(G652,'EXPORT IRIS PROD 13-11-2024'!D:D,1,0)</f>
        <v>Allarme comunicazione I/O</v>
      </c>
      <c r="E652" s="37" t="s">
        <v>16</v>
      </c>
      <c r="F652" s="38" t="s">
        <v>1221</v>
      </c>
      <c r="G652" s="45" t="s">
        <v>1222</v>
      </c>
      <c r="H652" s="46" t="s">
        <v>1156</v>
      </c>
      <c r="I652" s="46" t="s">
        <v>1212</v>
      </c>
      <c r="J652" s="40" t="s">
        <v>21</v>
      </c>
      <c r="K652" s="41" t="s">
        <v>22</v>
      </c>
      <c r="L652" s="42" t="s">
        <v>23</v>
      </c>
      <c r="M652" s="43" t="s">
        <v>24</v>
      </c>
      <c r="N652" s="42" t="s">
        <v>25</v>
      </c>
      <c r="O652" s="42" t="s">
        <v>21</v>
      </c>
      <c r="P652" s="44"/>
    </row>
    <row r="653" spans="1:16" x14ac:dyDescent="0.25">
      <c r="A653" t="str">
        <f t="shared" si="10"/>
        <v>ALR_COMUNICAZIONE_INCENDIO_1-Allarme comunicazione incendio 1</v>
      </c>
      <c r="B653" t="str">
        <f>VLOOKUP(A653,'EXPORT IRIS PROD 13-11-2024'!A:A,1,0)</f>
        <v>ALR_COMUNICAZIONE_INCENDIO_1-Allarme comunicazione incendio 1</v>
      </c>
      <c r="C653" t="str">
        <f>VLOOKUP(F653,'EXPORT IRIS PROD 13-11-2024'!F:F,1,0)</f>
        <v>ALR_COMUNICAZIONE_INCENDIO_1</v>
      </c>
      <c r="D653" t="str">
        <f>VLOOKUP(G653,'EXPORT IRIS PROD 13-11-2024'!D:D,1,0)</f>
        <v>Allarme comunicazione incendio 1</v>
      </c>
      <c r="E653" s="37" t="s">
        <v>105</v>
      </c>
      <c r="F653" s="38" t="s">
        <v>1223</v>
      </c>
      <c r="G653" s="45" t="s">
        <v>1224</v>
      </c>
      <c r="H653" s="46" t="s">
        <v>43</v>
      </c>
      <c r="I653" s="46" t="s">
        <v>394</v>
      </c>
      <c r="J653" s="40" t="s">
        <v>21</v>
      </c>
      <c r="K653" s="41" t="s">
        <v>22</v>
      </c>
      <c r="L653" s="42" t="s">
        <v>23</v>
      </c>
      <c r="M653" s="43" t="s">
        <v>24</v>
      </c>
      <c r="N653" s="42" t="s">
        <v>25</v>
      </c>
      <c r="O653" s="42" t="s">
        <v>21</v>
      </c>
      <c r="P653" s="44"/>
    </row>
    <row r="654" spans="1:16" x14ac:dyDescent="0.25">
      <c r="A654" t="str">
        <f t="shared" si="10"/>
        <v>ALR_COMUNICAZIONE_INCENDIO_2-Allarme comunicazione incendio 2</v>
      </c>
      <c r="B654" t="str">
        <f>VLOOKUP(A654,'EXPORT IRIS PROD 13-11-2024'!A:A,1,0)</f>
        <v>ALR_COMUNICAZIONE_INCENDIO_2-Allarme comunicazione incendio 2</v>
      </c>
      <c r="C654" t="str">
        <f>VLOOKUP(F654,'EXPORT IRIS PROD 13-11-2024'!F:F,1,0)</f>
        <v>ALR_COMUNICAZIONE_INCENDIO_2</v>
      </c>
      <c r="D654" t="str">
        <f>VLOOKUP(G654,'EXPORT IRIS PROD 13-11-2024'!D:D,1,0)</f>
        <v>Allarme comunicazione incendio 2</v>
      </c>
      <c r="E654" s="37" t="s">
        <v>105</v>
      </c>
      <c r="F654" s="38" t="s">
        <v>1225</v>
      </c>
      <c r="G654" s="45" t="s">
        <v>1226</v>
      </c>
      <c r="H654" s="46" t="s">
        <v>43</v>
      </c>
      <c r="I654" s="46" t="s">
        <v>394</v>
      </c>
      <c r="J654" s="40" t="s">
        <v>21</v>
      </c>
      <c r="K654" s="41" t="s">
        <v>22</v>
      </c>
      <c r="L654" s="42" t="s">
        <v>23</v>
      </c>
      <c r="M654" s="43" t="s">
        <v>24</v>
      </c>
      <c r="N654" s="42" t="s">
        <v>25</v>
      </c>
      <c r="O654" s="42" t="s">
        <v>21</v>
      </c>
      <c r="P654" s="44"/>
    </row>
    <row r="655" spans="1:16" x14ac:dyDescent="0.25">
      <c r="A655" t="str">
        <f t="shared" si="10"/>
        <v>ALR_COMUNICAZIONE_SEMPLICE-Allarme comunicazione semplice</v>
      </c>
      <c r="B655" t="str">
        <f>VLOOKUP(A655,'EXPORT IRIS PROD 13-11-2024'!A:A,1,0)</f>
        <v>ALR_COMUNICAZIONE_SEMPLICE-Allarme comunicazione semplice</v>
      </c>
      <c r="C655" t="str">
        <f>VLOOKUP(F655,'EXPORT IRIS PROD 13-11-2024'!F:F,1,0)</f>
        <v>ALR_COMUNICAZIONE_SEMPLICE</v>
      </c>
      <c r="D655" t="str">
        <f>VLOOKUP(G655,'EXPORT IRIS PROD 13-11-2024'!D:D,1,0)</f>
        <v>Allarme comunicazione semplice</v>
      </c>
      <c r="E655" s="37" t="s">
        <v>1108</v>
      </c>
      <c r="F655" s="38" t="s">
        <v>1227</v>
      </c>
      <c r="G655" s="45" t="s">
        <v>1228</v>
      </c>
      <c r="H655" s="46" t="s">
        <v>1175</v>
      </c>
      <c r="I655" s="46" t="s">
        <v>20</v>
      </c>
      <c r="J655" s="40" t="s">
        <v>21</v>
      </c>
      <c r="K655" s="41" t="s">
        <v>22</v>
      </c>
      <c r="L655" s="42" t="s">
        <v>23</v>
      </c>
      <c r="M655" s="43" t="s">
        <v>24</v>
      </c>
      <c r="N655" s="42" t="s">
        <v>25</v>
      </c>
      <c r="O655" s="42" t="s">
        <v>21</v>
      </c>
      <c r="P655" s="44"/>
    </row>
    <row r="656" spans="1:16" x14ac:dyDescent="0.25">
      <c r="A656" t="str">
        <f t="shared" si="10"/>
        <v>ALR_COMUNICAZIONE_SISTEMA-Allarme comunicazione sistema</v>
      </c>
      <c r="B656" t="str">
        <f>VLOOKUP(A656,'EXPORT IRIS PROD 13-11-2024'!A:A,1,0)</f>
        <v>ALR_COMUNICAZIONE_SISTEMA-Allarme comunicazione sistema</v>
      </c>
      <c r="C656" t="str">
        <f>VLOOKUP(F656,'EXPORT IRIS PROD 13-11-2024'!F:F,1,0)</f>
        <v>ALR_COMUNICAZIONE_SISTEMA</v>
      </c>
      <c r="D656" t="str">
        <f>VLOOKUP(G656,'EXPORT IRIS PROD 13-11-2024'!D:D,1,0)</f>
        <v>Allarme comunicazione sistema</v>
      </c>
      <c r="E656" s="37" t="s">
        <v>16</v>
      </c>
      <c r="F656" s="38" t="s">
        <v>1229</v>
      </c>
      <c r="G656" s="45" t="s">
        <v>1230</v>
      </c>
      <c r="H656" s="46" t="s">
        <v>1156</v>
      </c>
      <c r="I656" s="46" t="s">
        <v>1212</v>
      </c>
      <c r="J656" s="40" t="s">
        <v>21</v>
      </c>
      <c r="K656" s="41" t="s">
        <v>22</v>
      </c>
      <c r="L656" s="42" t="s">
        <v>23</v>
      </c>
      <c r="M656" s="43" t="s">
        <v>24</v>
      </c>
      <c r="N656" s="42" t="s">
        <v>25</v>
      </c>
      <c r="O656" s="42" t="s">
        <v>21</v>
      </c>
      <c r="P656" s="44"/>
    </row>
    <row r="657" spans="1:16" x14ac:dyDescent="0.25">
      <c r="A657" t="str">
        <f t="shared" si="10"/>
        <v>ALR_COMUNICAZIONE_SISTEMA-Allarme comunicazione sistema</v>
      </c>
      <c r="B657" t="str">
        <f>VLOOKUP(A657,'EXPORT IRIS PROD 13-11-2024'!A:A,1,0)</f>
        <v>ALR_COMUNICAZIONE_SISTEMA-Allarme comunicazione sistema</v>
      </c>
      <c r="C657" t="str">
        <f>VLOOKUP(F657,'EXPORT IRIS PROD 13-11-2024'!F:F,1,0)</f>
        <v>ALR_COMUNICAZIONE_SISTEMA</v>
      </c>
      <c r="D657" t="str">
        <f>VLOOKUP(G657,'EXPORT IRIS PROD 13-11-2024'!D:D,1,0)</f>
        <v>Allarme comunicazione sistema</v>
      </c>
      <c r="E657" s="37" t="s">
        <v>105</v>
      </c>
      <c r="F657" s="38" t="s">
        <v>1229</v>
      </c>
      <c r="G657" s="45" t="s">
        <v>1230</v>
      </c>
      <c r="H657" s="46" t="s">
        <v>43</v>
      </c>
      <c r="I657" s="46" t="s">
        <v>856</v>
      </c>
      <c r="J657" s="40" t="s">
        <v>21</v>
      </c>
      <c r="K657" s="41" t="s">
        <v>22</v>
      </c>
      <c r="L657" s="42" t="s">
        <v>23</v>
      </c>
      <c r="M657" s="43" t="s">
        <v>24</v>
      </c>
      <c r="N657" s="42" t="s">
        <v>25</v>
      </c>
      <c r="O657" s="42" t="s">
        <v>21</v>
      </c>
      <c r="P657" s="44"/>
    </row>
    <row r="658" spans="1:16" x14ac:dyDescent="0.25">
      <c r="A658" t="str">
        <f t="shared" si="10"/>
        <v>ALR_COMUNICAZIONE_VERSO_CE_NORD-Allarme comunicazione dispositivo verso cabina nord</v>
      </c>
      <c r="B658" t="str">
        <f>VLOOKUP(A658,'EXPORT IRIS PROD 13-11-2024'!A:A,1,0)</f>
        <v>ALR_COMUNICAZIONE_VERSO_CE_NORD-Allarme comunicazione dispositivo verso cabina nord</v>
      </c>
      <c r="C658" t="str">
        <f>VLOOKUP(F658,'EXPORT IRIS PROD 13-11-2024'!F:F,1,0)</f>
        <v>ALR_COMUNICAZIONE_VERSO_CE_NORD</v>
      </c>
      <c r="D658" t="str">
        <f>VLOOKUP(G658,'EXPORT IRIS PROD 13-11-2024'!D:D,1,0)</f>
        <v>Allarme comunicazione dispositivo verso cabina nord</v>
      </c>
      <c r="E658" s="37" t="s">
        <v>863</v>
      </c>
      <c r="F658" s="38" t="s">
        <v>1231</v>
      </c>
      <c r="G658" s="45" t="s">
        <v>1232</v>
      </c>
      <c r="H658" s="46" t="s">
        <v>274</v>
      </c>
      <c r="I658" s="46" t="s">
        <v>1147</v>
      </c>
      <c r="J658" s="40" t="s">
        <v>21</v>
      </c>
      <c r="K658" s="41" t="s">
        <v>22</v>
      </c>
      <c r="L658" s="42" t="s">
        <v>23</v>
      </c>
      <c r="M658" s="43" t="s">
        <v>24</v>
      </c>
      <c r="N658" s="42" t="s">
        <v>25</v>
      </c>
      <c r="O658" s="42" t="s">
        <v>21</v>
      </c>
      <c r="P658" s="44"/>
    </row>
    <row r="659" spans="1:16" x14ac:dyDescent="0.25">
      <c r="A659" t="str">
        <f t="shared" si="10"/>
        <v>ALR_COMUNICAZIONE_VERSO_CE_SUD-Allarme comunicazione dispositivo verso cabina sud</v>
      </c>
      <c r="B659" t="str">
        <f>VLOOKUP(A659,'EXPORT IRIS PROD 13-11-2024'!A:A,1,0)</f>
        <v>ALR_COMUNICAZIONE_VERSO_CE_SUD-Allarme comunicazione dispositivo verso cabina sud</v>
      </c>
      <c r="C659" t="str">
        <f>VLOOKUP(F659,'EXPORT IRIS PROD 13-11-2024'!F:F,1,0)</f>
        <v>ALR_COMUNICAZIONE_VERSO_CE_SUD</v>
      </c>
      <c r="D659" t="str">
        <f>VLOOKUP(G659,'EXPORT IRIS PROD 13-11-2024'!D:D,1,0)</f>
        <v>Allarme comunicazione dispositivo verso cabina sud</v>
      </c>
      <c r="E659" s="37" t="s">
        <v>16</v>
      </c>
      <c r="F659" s="38" t="s">
        <v>1233</v>
      </c>
      <c r="G659" s="45" t="s">
        <v>1234</v>
      </c>
      <c r="H659" s="46" t="s">
        <v>1156</v>
      </c>
      <c r="I659" s="46" t="s">
        <v>1213</v>
      </c>
      <c r="J659" s="40" t="s">
        <v>21</v>
      </c>
      <c r="K659" s="41" t="s">
        <v>22</v>
      </c>
      <c r="L659" s="42" t="s">
        <v>23</v>
      </c>
      <c r="M659" s="43" t="s">
        <v>24</v>
      </c>
      <c r="N659" s="42" t="s">
        <v>25</v>
      </c>
      <c r="O659" s="42" t="s">
        <v>21</v>
      </c>
      <c r="P659" s="44"/>
    </row>
    <row r="660" spans="1:16" x14ac:dyDescent="0.25">
      <c r="A660" t="str">
        <f t="shared" si="10"/>
        <v>ALR_CONFLITTO_IP-Allarme allarme conflitto IP</v>
      </c>
      <c r="B660" t="str">
        <f>VLOOKUP(A660,'EXPORT IRIS PROD 13-11-2024'!A:A,1,0)</f>
        <v>ALR_CONFLITTO_IP-Allarme allarme conflitto IP</v>
      </c>
      <c r="C660" t="str">
        <f>VLOOKUP(F660,'EXPORT IRIS PROD 13-11-2024'!F:F,1,0)</f>
        <v>ALR_CONFLITTO_IP</v>
      </c>
      <c r="D660" t="str">
        <f>VLOOKUP(G660,'EXPORT IRIS PROD 13-11-2024'!D:D,1,0)</f>
        <v>Allarme allarme conflitto IP</v>
      </c>
      <c r="E660" s="37" t="s">
        <v>53</v>
      </c>
      <c r="F660" s="38" t="s">
        <v>1235</v>
      </c>
      <c r="G660" s="45" t="s">
        <v>1236</v>
      </c>
      <c r="H660" s="46" t="s">
        <v>56</v>
      </c>
      <c r="I660" s="46" t="s">
        <v>1237</v>
      </c>
      <c r="J660" s="40" t="s">
        <v>21</v>
      </c>
      <c r="K660" s="41" t="s">
        <v>22</v>
      </c>
      <c r="L660" s="42" t="s">
        <v>23</v>
      </c>
      <c r="M660" s="43" t="s">
        <v>24</v>
      </c>
      <c r="N660" s="42" t="s">
        <v>25</v>
      </c>
      <c r="O660" s="42" t="s">
        <v>21</v>
      </c>
      <c r="P660" s="44"/>
    </row>
    <row r="661" spans="1:16" x14ac:dyDescent="0.25">
      <c r="A661" t="str">
        <f t="shared" si="10"/>
        <v>ALR_CUMULATIVO_CONTATTORE-Allarme cumulativo contattore</v>
      </c>
      <c r="B661" t="str">
        <f>VLOOKUP(A661,'EXPORT IRIS PROD 13-11-2024'!A:A,1,0)</f>
        <v>ALR_CUMULATIVO_CONTATTORE-Allarme cumulativo contattore</v>
      </c>
      <c r="C661" t="str">
        <f>VLOOKUP(F661,'EXPORT IRIS PROD 13-11-2024'!F:F,1,0)</f>
        <v>ALR_CUMULATIVO_CONTATTORE</v>
      </c>
      <c r="D661" t="str">
        <f>VLOOKUP(G661,'EXPORT IRIS PROD 13-11-2024'!D:D,1,0)</f>
        <v>Allarme cumulativo contattore</v>
      </c>
      <c r="E661" s="37" t="s">
        <v>1201</v>
      </c>
      <c r="F661" s="38" t="s">
        <v>1238</v>
      </c>
      <c r="G661" s="45" t="s">
        <v>1239</v>
      </c>
      <c r="H661" s="46" t="s">
        <v>1113</v>
      </c>
      <c r="I661" s="46" t="s">
        <v>1204</v>
      </c>
      <c r="J661" s="40" t="s">
        <v>21</v>
      </c>
      <c r="K661" s="41" t="s">
        <v>22</v>
      </c>
      <c r="L661" s="42" t="s">
        <v>23</v>
      </c>
      <c r="M661" s="43" t="s">
        <v>24</v>
      </c>
      <c r="N661" s="42" t="s">
        <v>25</v>
      </c>
      <c r="O661" s="42" t="s">
        <v>21</v>
      </c>
      <c r="P661" s="44"/>
    </row>
    <row r="662" spans="1:16" x14ac:dyDescent="0.25">
      <c r="A662" t="str">
        <f t="shared" si="10"/>
        <v>ALR_CUMULATIVO_ELETTROVALVOLA-Allarme cumulativo elettrovalvola</v>
      </c>
      <c r="B662" t="str">
        <f>VLOOKUP(A662,'EXPORT IRIS PROD 13-11-2024'!A:A,1,0)</f>
        <v>ALR_CUMULATIVO_ELETTROVALVOLA-Allarme cumulativo elettrovalvola</v>
      </c>
      <c r="C662" t="str">
        <f>VLOOKUP(F662,'EXPORT IRIS PROD 13-11-2024'!F:F,1,0)</f>
        <v>ALR_CUMULATIVO_ELETTROVALVOLA</v>
      </c>
      <c r="D662" t="str">
        <f>VLOOKUP(G662,'EXPORT IRIS PROD 13-11-2024'!D:D,1,0)</f>
        <v>Allarme cumulativo elettrovalvola</v>
      </c>
      <c r="E662" s="37" t="s">
        <v>35</v>
      </c>
      <c r="F662" s="38" t="s">
        <v>1240</v>
      </c>
      <c r="G662" s="45" t="s">
        <v>1241</v>
      </c>
      <c r="H662" s="46" t="s">
        <v>38</v>
      </c>
      <c r="I662" s="46" t="s">
        <v>1242</v>
      </c>
      <c r="J662" s="40" t="s">
        <v>21</v>
      </c>
      <c r="K662" s="41" t="s">
        <v>22</v>
      </c>
      <c r="L662" s="42" t="s">
        <v>23</v>
      </c>
      <c r="M662" s="43" t="s">
        <v>24</v>
      </c>
      <c r="N662" s="42" t="s">
        <v>25</v>
      </c>
      <c r="O662" s="42" t="s">
        <v>21</v>
      </c>
      <c r="P662" s="44"/>
    </row>
    <row r="663" spans="1:16" x14ac:dyDescent="0.25">
      <c r="A663" t="str">
        <f t="shared" si="10"/>
        <v>ALR_CUMULATIVO_EMERGENZA_DIR_NORD_1-Allarme emergenza bypass 1 dir. nord</v>
      </c>
      <c r="B663" t="str">
        <f>VLOOKUP(A663,'EXPORT IRIS PROD 13-11-2024'!A:A,1,0)</f>
        <v>ALR_CUMULATIVO_EMERGENZA_DIR_NORD_1-Allarme emergenza bypass 1 dir. nord</v>
      </c>
      <c r="C663" t="str">
        <f>VLOOKUP(F663,'EXPORT IRIS PROD 13-11-2024'!F:F,1,0)</f>
        <v>ALR_CUMULATIVO_EMERGENZA_DIR_NORD_1</v>
      </c>
      <c r="D663" t="str">
        <f>VLOOKUP(G663,'EXPORT IRIS PROD 13-11-2024'!D:D,1,0)</f>
        <v>Allarme emergenza bypass 1 dir. nord</v>
      </c>
      <c r="E663" s="37" t="s">
        <v>271</v>
      </c>
      <c r="F663" s="38" t="s">
        <v>1243</v>
      </c>
      <c r="G663" s="45" t="s">
        <v>1244</v>
      </c>
      <c r="H663" s="46" t="s">
        <v>274</v>
      </c>
      <c r="I663" s="46" t="s">
        <v>1160</v>
      </c>
      <c r="J663" s="40" t="s">
        <v>21</v>
      </c>
      <c r="K663" s="41" t="s">
        <v>22</v>
      </c>
      <c r="L663" s="42" t="s">
        <v>23</v>
      </c>
      <c r="M663" s="43" t="s">
        <v>24</v>
      </c>
      <c r="N663" s="42" t="s">
        <v>25</v>
      </c>
      <c r="O663" s="42" t="s">
        <v>21</v>
      </c>
      <c r="P663" s="44"/>
    </row>
    <row r="664" spans="1:16" x14ac:dyDescent="0.25">
      <c r="A664" t="str">
        <f t="shared" si="10"/>
        <v>ALR_CUMULATIVO_EMERGENZA_DIR_NORD_1-Allarme emergenza bypass 1 dir. nord</v>
      </c>
      <c r="B664" t="str">
        <f>VLOOKUP(A664,'EXPORT IRIS PROD 13-11-2024'!A:A,1,0)</f>
        <v>ALR_CUMULATIVO_EMERGENZA_DIR_NORD_1-Allarme emergenza bypass 1 dir. nord</v>
      </c>
      <c r="C664" t="str">
        <f>VLOOKUP(F664,'EXPORT IRIS PROD 13-11-2024'!F:F,1,0)</f>
        <v>ALR_CUMULATIVO_EMERGENZA_DIR_NORD_1</v>
      </c>
      <c r="D664" t="str">
        <f>VLOOKUP(G664,'EXPORT IRIS PROD 13-11-2024'!D:D,1,0)</f>
        <v>Allarme emergenza bypass 1 dir. nord</v>
      </c>
      <c r="E664" s="37" t="s">
        <v>271</v>
      </c>
      <c r="F664" s="38" t="s">
        <v>1243</v>
      </c>
      <c r="G664" s="45" t="s">
        <v>1244</v>
      </c>
      <c r="H664" s="46" t="s">
        <v>274</v>
      </c>
      <c r="I664" s="46" t="s">
        <v>1245</v>
      </c>
      <c r="J664" s="40" t="s">
        <v>21</v>
      </c>
      <c r="K664" s="41" t="s">
        <v>22</v>
      </c>
      <c r="L664" s="42" t="s">
        <v>23</v>
      </c>
      <c r="M664" s="43" t="s">
        <v>24</v>
      </c>
      <c r="N664" s="42" t="s">
        <v>25</v>
      </c>
      <c r="O664" s="42" t="s">
        <v>21</v>
      </c>
      <c r="P664" s="44"/>
    </row>
    <row r="665" spans="1:16" x14ac:dyDescent="0.25">
      <c r="A665" t="str">
        <f t="shared" si="10"/>
        <v>ALR_CUMULATIVO_EMERGENZA_DIR_NORD_2-Allarme emergenza bypass 2 dir. nord</v>
      </c>
      <c r="B665" t="str">
        <f>VLOOKUP(A665,'EXPORT IRIS PROD 13-11-2024'!A:A,1,0)</f>
        <v>ALR_CUMULATIVO_EMERGENZA_DIR_NORD_2-Allarme emergenza bypass 2 dir. nord</v>
      </c>
      <c r="C665" t="str">
        <f>VLOOKUP(F665,'EXPORT IRIS PROD 13-11-2024'!F:F,1,0)</f>
        <v>ALR_CUMULATIVO_EMERGENZA_DIR_NORD_2</v>
      </c>
      <c r="D665" t="str">
        <f>VLOOKUP(G665,'EXPORT IRIS PROD 13-11-2024'!D:D,1,0)</f>
        <v>Allarme emergenza bypass 2 dir. nord</v>
      </c>
      <c r="E665" s="37" t="s">
        <v>271</v>
      </c>
      <c r="F665" s="38" t="s">
        <v>1246</v>
      </c>
      <c r="G665" s="45" t="s">
        <v>1247</v>
      </c>
      <c r="H665" s="46" t="s">
        <v>274</v>
      </c>
      <c r="I665" s="46" t="s">
        <v>1160</v>
      </c>
      <c r="J665" s="40" t="s">
        <v>21</v>
      </c>
      <c r="K665" s="41" t="s">
        <v>22</v>
      </c>
      <c r="L665" s="42" t="s">
        <v>23</v>
      </c>
      <c r="M665" s="43" t="s">
        <v>24</v>
      </c>
      <c r="N665" s="42" t="s">
        <v>25</v>
      </c>
      <c r="O665" s="42" t="s">
        <v>21</v>
      </c>
      <c r="P665" s="44"/>
    </row>
    <row r="666" spans="1:16" x14ac:dyDescent="0.25">
      <c r="A666" t="str">
        <f t="shared" si="10"/>
        <v>ALR_CUMULATIVO_EMERGENZA_DIR_NORD_2-Allarme emergenza bypass 2 dir. nord</v>
      </c>
      <c r="B666" t="str">
        <f>VLOOKUP(A666,'EXPORT IRIS PROD 13-11-2024'!A:A,1,0)</f>
        <v>ALR_CUMULATIVO_EMERGENZA_DIR_NORD_2-Allarme emergenza bypass 2 dir. nord</v>
      </c>
      <c r="C666" t="str">
        <f>VLOOKUP(F666,'EXPORT IRIS PROD 13-11-2024'!F:F,1,0)</f>
        <v>ALR_CUMULATIVO_EMERGENZA_DIR_NORD_2</v>
      </c>
      <c r="D666" t="str">
        <f>VLOOKUP(G666,'EXPORT IRIS PROD 13-11-2024'!D:D,1,0)</f>
        <v>Allarme emergenza bypass 2 dir. nord</v>
      </c>
      <c r="E666" s="37" t="s">
        <v>271</v>
      </c>
      <c r="F666" s="38" t="s">
        <v>1246</v>
      </c>
      <c r="G666" s="45" t="s">
        <v>1247</v>
      </c>
      <c r="H666" s="46" t="s">
        <v>274</v>
      </c>
      <c r="I666" s="46" t="s">
        <v>1245</v>
      </c>
      <c r="J666" s="40" t="s">
        <v>21</v>
      </c>
      <c r="K666" s="41" t="s">
        <v>22</v>
      </c>
      <c r="L666" s="42" t="s">
        <v>23</v>
      </c>
      <c r="M666" s="43" t="s">
        <v>24</v>
      </c>
      <c r="N666" s="42" t="s">
        <v>25</v>
      </c>
      <c r="O666" s="42" t="s">
        <v>21</v>
      </c>
      <c r="P666" s="44"/>
    </row>
    <row r="667" spans="1:16" x14ac:dyDescent="0.25">
      <c r="A667" t="str">
        <f t="shared" si="10"/>
        <v>ALR_CUMULATIVO_EMERGENZA_DIR_NORD_3-Allarme emergenza bypass 3 dir. nord</v>
      </c>
      <c r="B667" t="str">
        <f>VLOOKUP(A667,'EXPORT IRIS PROD 13-11-2024'!A:A,1,0)</f>
        <v>ALR_CUMULATIVO_EMERGENZA_DIR_NORD_3-Allarme emergenza bypass 3 dir. nord</v>
      </c>
      <c r="C667" t="str">
        <f>VLOOKUP(F667,'EXPORT IRIS PROD 13-11-2024'!F:F,1,0)</f>
        <v>ALR_CUMULATIVO_EMERGENZA_DIR_NORD_3</v>
      </c>
      <c r="D667" t="str">
        <f>VLOOKUP(G667,'EXPORT IRIS PROD 13-11-2024'!D:D,1,0)</f>
        <v>Allarme emergenza bypass 3 dir. nord</v>
      </c>
      <c r="E667" s="37" t="s">
        <v>271</v>
      </c>
      <c r="F667" s="38" t="s">
        <v>1248</v>
      </c>
      <c r="G667" s="45" t="s">
        <v>1249</v>
      </c>
      <c r="H667" s="46" t="s">
        <v>274</v>
      </c>
      <c r="I667" s="46" t="s">
        <v>1160</v>
      </c>
      <c r="J667" s="40" t="s">
        <v>21</v>
      </c>
      <c r="K667" s="41" t="s">
        <v>22</v>
      </c>
      <c r="L667" s="42" t="s">
        <v>23</v>
      </c>
      <c r="M667" s="43" t="s">
        <v>24</v>
      </c>
      <c r="N667" s="42" t="s">
        <v>25</v>
      </c>
      <c r="O667" s="42" t="s">
        <v>21</v>
      </c>
      <c r="P667" s="44"/>
    </row>
    <row r="668" spans="1:16" x14ac:dyDescent="0.25">
      <c r="A668" t="str">
        <f t="shared" si="10"/>
        <v>ALR_CUMULATIVO_EMERGENZA_DIR_SUD_1-Allarme emergenza bypass 1 dir. sud</v>
      </c>
      <c r="B668" t="str">
        <f>VLOOKUP(A668,'EXPORT IRIS PROD 13-11-2024'!A:A,1,0)</f>
        <v>ALR_CUMULATIVO_EMERGENZA_DIR_SUD_1-Allarme emergenza bypass 1 dir. sud</v>
      </c>
      <c r="C668" t="str">
        <f>VLOOKUP(F668,'EXPORT IRIS PROD 13-11-2024'!F:F,1,0)</f>
        <v>ALR_CUMULATIVO_EMERGENZA_DIR_SUD_1</v>
      </c>
      <c r="D668" t="str">
        <f>VLOOKUP(G668,'EXPORT IRIS PROD 13-11-2024'!D:D,1,0)</f>
        <v>Allarme emergenza bypass 1 dir. sud</v>
      </c>
      <c r="E668" s="37" t="s">
        <v>271</v>
      </c>
      <c r="F668" s="38" t="s">
        <v>1250</v>
      </c>
      <c r="G668" s="45" t="s">
        <v>1251</v>
      </c>
      <c r="H668" s="46" t="s">
        <v>274</v>
      </c>
      <c r="I668" s="46" t="s">
        <v>1160</v>
      </c>
      <c r="J668" s="40" t="s">
        <v>21</v>
      </c>
      <c r="K668" s="41" t="s">
        <v>22</v>
      </c>
      <c r="L668" s="42" t="s">
        <v>23</v>
      </c>
      <c r="M668" s="43" t="s">
        <v>24</v>
      </c>
      <c r="N668" s="42" t="s">
        <v>25</v>
      </c>
      <c r="O668" s="42" t="s">
        <v>21</v>
      </c>
      <c r="P668" s="44"/>
    </row>
    <row r="669" spans="1:16" x14ac:dyDescent="0.25">
      <c r="A669" t="str">
        <f t="shared" si="10"/>
        <v>ALR_CUMULATIVO_EMERGENZA_DIR_SUD_1-Allarme emergenza bypass 1 dir. sud</v>
      </c>
      <c r="B669" t="str">
        <f>VLOOKUP(A669,'EXPORT IRIS PROD 13-11-2024'!A:A,1,0)</f>
        <v>ALR_CUMULATIVO_EMERGENZA_DIR_SUD_1-Allarme emergenza bypass 1 dir. sud</v>
      </c>
      <c r="C669" t="str">
        <f>VLOOKUP(F669,'EXPORT IRIS PROD 13-11-2024'!F:F,1,0)</f>
        <v>ALR_CUMULATIVO_EMERGENZA_DIR_SUD_1</v>
      </c>
      <c r="D669" t="str">
        <f>VLOOKUP(G669,'EXPORT IRIS PROD 13-11-2024'!D:D,1,0)</f>
        <v>Allarme emergenza bypass 1 dir. sud</v>
      </c>
      <c r="E669" s="37" t="s">
        <v>271</v>
      </c>
      <c r="F669" s="38" t="s">
        <v>1250</v>
      </c>
      <c r="G669" s="45" t="s">
        <v>1251</v>
      </c>
      <c r="H669" s="46" t="s">
        <v>274</v>
      </c>
      <c r="I669" s="46" t="s">
        <v>1245</v>
      </c>
      <c r="J669" s="40" t="s">
        <v>21</v>
      </c>
      <c r="K669" s="41" t="s">
        <v>22</v>
      </c>
      <c r="L669" s="42" t="s">
        <v>23</v>
      </c>
      <c r="M669" s="43" t="s">
        <v>24</v>
      </c>
      <c r="N669" s="42" t="s">
        <v>25</v>
      </c>
      <c r="O669" s="42" t="s">
        <v>21</v>
      </c>
      <c r="P669" s="44"/>
    </row>
    <row r="670" spans="1:16" x14ac:dyDescent="0.25">
      <c r="A670" t="str">
        <f t="shared" si="10"/>
        <v>ALR_CUMULATIVO_EMERGENZA_DIR_SUD_2-Allarme emergenza bypass 2 dir. sud</v>
      </c>
      <c r="B670" t="str">
        <f>VLOOKUP(A670,'EXPORT IRIS PROD 13-11-2024'!A:A,1,0)</f>
        <v>ALR_CUMULATIVO_EMERGENZA_DIR_SUD_2-Allarme emergenza bypass 2 dir. sud</v>
      </c>
      <c r="C670" t="str">
        <f>VLOOKUP(F670,'EXPORT IRIS PROD 13-11-2024'!F:F,1,0)</f>
        <v>ALR_CUMULATIVO_EMERGENZA_DIR_SUD_2</v>
      </c>
      <c r="D670" t="str">
        <f>VLOOKUP(G670,'EXPORT IRIS PROD 13-11-2024'!D:D,1,0)</f>
        <v>Allarme emergenza bypass 2 dir. sud</v>
      </c>
      <c r="E670" s="37" t="s">
        <v>271</v>
      </c>
      <c r="F670" s="38" t="s">
        <v>1252</v>
      </c>
      <c r="G670" s="45" t="s">
        <v>1253</v>
      </c>
      <c r="H670" s="46" t="s">
        <v>274</v>
      </c>
      <c r="I670" s="46" t="s">
        <v>1160</v>
      </c>
      <c r="J670" s="40" t="s">
        <v>21</v>
      </c>
      <c r="K670" s="41" t="s">
        <v>22</v>
      </c>
      <c r="L670" s="42" t="s">
        <v>23</v>
      </c>
      <c r="M670" s="43" t="s">
        <v>24</v>
      </c>
      <c r="N670" s="42" t="s">
        <v>25</v>
      </c>
      <c r="O670" s="42" t="s">
        <v>21</v>
      </c>
      <c r="P670" s="44"/>
    </row>
    <row r="671" spans="1:16" x14ac:dyDescent="0.25">
      <c r="A671" t="str">
        <f t="shared" si="10"/>
        <v>ALR_CUMULATIVO_EMERGENZA_DIR_SUD_2-Allarme emergenza bypass 2 dir. sud</v>
      </c>
      <c r="B671" t="str">
        <f>VLOOKUP(A671,'EXPORT IRIS PROD 13-11-2024'!A:A,1,0)</f>
        <v>ALR_CUMULATIVO_EMERGENZA_DIR_SUD_2-Allarme emergenza bypass 2 dir. sud</v>
      </c>
      <c r="C671" t="str">
        <f>VLOOKUP(F671,'EXPORT IRIS PROD 13-11-2024'!F:F,1,0)</f>
        <v>ALR_CUMULATIVO_EMERGENZA_DIR_SUD_2</v>
      </c>
      <c r="D671" t="str">
        <f>VLOOKUP(G671,'EXPORT IRIS PROD 13-11-2024'!D:D,1,0)</f>
        <v>Allarme emergenza bypass 2 dir. sud</v>
      </c>
      <c r="E671" s="37" t="s">
        <v>271</v>
      </c>
      <c r="F671" s="38" t="s">
        <v>1252</v>
      </c>
      <c r="G671" s="45" t="s">
        <v>1253</v>
      </c>
      <c r="H671" s="46" t="s">
        <v>274</v>
      </c>
      <c r="I671" s="46" t="s">
        <v>1245</v>
      </c>
      <c r="J671" s="40" t="s">
        <v>21</v>
      </c>
      <c r="K671" s="41" t="s">
        <v>22</v>
      </c>
      <c r="L671" s="42" t="s">
        <v>23</v>
      </c>
      <c r="M671" s="43" t="s">
        <v>24</v>
      </c>
      <c r="N671" s="42" t="s">
        <v>25</v>
      </c>
      <c r="O671" s="42" t="s">
        <v>21</v>
      </c>
      <c r="P671" s="44"/>
    </row>
    <row r="672" spans="1:16" x14ac:dyDescent="0.25">
      <c r="A672" t="str">
        <f t="shared" si="10"/>
        <v>ALR_CUMULATIVO_EMERGENZA_DIR_SUD_3-Allarme emergenza bypass 3 dir. sud</v>
      </c>
      <c r="B672" t="str">
        <f>VLOOKUP(A672,'EXPORT IRIS PROD 13-11-2024'!A:A,1,0)</f>
        <v>ALR_CUMULATIVO_EMERGENZA_DIR_SUD_3-Allarme emergenza bypass 3 dir. sud</v>
      </c>
      <c r="C672" t="str">
        <f>VLOOKUP(F672,'EXPORT IRIS PROD 13-11-2024'!F:F,1,0)</f>
        <v>ALR_CUMULATIVO_EMERGENZA_DIR_SUD_3</v>
      </c>
      <c r="D672" t="str">
        <f>VLOOKUP(G672,'EXPORT IRIS PROD 13-11-2024'!D:D,1,0)</f>
        <v>Allarme emergenza bypass 3 dir. sud</v>
      </c>
      <c r="E672" s="37" t="s">
        <v>271</v>
      </c>
      <c r="F672" s="38" t="s">
        <v>1254</v>
      </c>
      <c r="G672" s="45" t="s">
        <v>1255</v>
      </c>
      <c r="H672" s="46" t="s">
        <v>274</v>
      </c>
      <c r="I672" s="46" t="s">
        <v>1160</v>
      </c>
      <c r="J672" s="40" t="s">
        <v>21</v>
      </c>
      <c r="K672" s="41" t="s">
        <v>22</v>
      </c>
      <c r="L672" s="42" t="s">
        <v>23</v>
      </c>
      <c r="M672" s="43" t="s">
        <v>24</v>
      </c>
      <c r="N672" s="42" t="s">
        <v>25</v>
      </c>
      <c r="O672" s="42" t="s">
        <v>21</v>
      </c>
      <c r="P672" s="44"/>
    </row>
    <row r="673" spans="1:16" x14ac:dyDescent="0.25">
      <c r="A673" t="str">
        <f t="shared" si="10"/>
        <v>ALR_CUMULATIVO_INCENDIO-Allarme cumulativo incendio</v>
      </c>
      <c r="B673" t="str">
        <f>VLOOKUP(A673,'EXPORT IRIS PROD 13-11-2024'!A:A,1,0)</f>
        <v>ALR_CUMULATIVO_INCENDIO-Allarme cumulativo incendio</v>
      </c>
      <c r="C673" t="str">
        <f>VLOOKUP(F673,'EXPORT IRIS PROD 13-11-2024'!F:F,1,0)</f>
        <v>ALR_CUMULATIVO_INCENDIO</v>
      </c>
      <c r="D673" t="str">
        <f>VLOOKUP(G673,'EXPORT IRIS PROD 13-11-2024'!D:D,1,0)</f>
        <v>Allarme cumulativo incendio</v>
      </c>
      <c r="E673" s="37" t="s">
        <v>40</v>
      </c>
      <c r="F673" s="38" t="s">
        <v>1256</v>
      </c>
      <c r="G673" s="45" t="s">
        <v>1257</v>
      </c>
      <c r="H673" s="46" t="s">
        <v>274</v>
      </c>
      <c r="I673" s="46" t="s">
        <v>1258</v>
      </c>
      <c r="J673" s="47" t="s">
        <v>31</v>
      </c>
      <c r="K673" s="48" t="s">
        <v>32</v>
      </c>
      <c r="L673" s="43">
        <v>2</v>
      </c>
      <c r="M673" s="43" t="s">
        <v>45</v>
      </c>
      <c r="N673" s="43" t="s">
        <v>46</v>
      </c>
      <c r="O673" s="43" t="s">
        <v>31</v>
      </c>
      <c r="P673" s="49"/>
    </row>
    <row r="674" spans="1:16" x14ac:dyDescent="0.25">
      <c r="A674" t="str">
        <f t="shared" si="10"/>
        <v>ALR_CUMULATIVO_INCENDIO-Allarme cumulativo incendio</v>
      </c>
      <c r="B674" t="str">
        <f>VLOOKUP(A674,'EXPORT IRIS PROD 13-11-2024'!A:A,1,0)</f>
        <v>ALR_CUMULATIVO_INCENDIO-Allarme cumulativo incendio</v>
      </c>
      <c r="C674" t="str">
        <f>VLOOKUP(F674,'EXPORT IRIS PROD 13-11-2024'!F:F,1,0)</f>
        <v>ALR_CUMULATIVO_INCENDIO</v>
      </c>
      <c r="D674" t="str">
        <f>VLOOKUP(G674,'EXPORT IRIS PROD 13-11-2024'!D:D,1,0)</f>
        <v>Allarme cumulativo incendio</v>
      </c>
      <c r="E674" s="37" t="s">
        <v>40</v>
      </c>
      <c r="F674" s="38" t="s">
        <v>1256</v>
      </c>
      <c r="G674" s="45" t="s">
        <v>1257</v>
      </c>
      <c r="H674" s="46" t="s">
        <v>43</v>
      </c>
      <c r="I674" s="46" t="s">
        <v>856</v>
      </c>
      <c r="J674" s="47" t="s">
        <v>31</v>
      </c>
      <c r="K674" s="48" t="s">
        <v>32</v>
      </c>
      <c r="L674" s="43">
        <v>2</v>
      </c>
      <c r="M674" s="43" t="s">
        <v>45</v>
      </c>
      <c r="N674" s="43" t="s">
        <v>46</v>
      </c>
      <c r="O674" s="43" t="s">
        <v>31</v>
      </c>
      <c r="P674" s="49"/>
    </row>
    <row r="675" spans="1:16" x14ac:dyDescent="0.25">
      <c r="A675" t="str">
        <f t="shared" si="10"/>
        <v>ALR_CUMULATIVO_INCENDIO_CABINA_CANNA_NORD-Allarme cumulativo incendio cabina canna nord</v>
      </c>
      <c r="B675" t="str">
        <f>VLOOKUP(A675,'EXPORT IRIS PROD 13-11-2024'!A:A,1,0)</f>
        <v>ALR_CUMULATIVO_INCENDIO_CABINA_CANNA_NORD-Allarme cumulativo incendio cabina canna nord</v>
      </c>
      <c r="C675" t="str">
        <f>VLOOKUP(F675,'EXPORT IRIS PROD 13-11-2024'!F:F,1,0)</f>
        <v>ALR_CUMULATIVO_INCENDIO_CABINA_CANNA_NORD</v>
      </c>
      <c r="D675" t="str">
        <f>VLOOKUP(G675,'EXPORT IRIS PROD 13-11-2024'!D:D,1,0)</f>
        <v>Allarme cumulativo incendio cabina canna nord</v>
      </c>
      <c r="E675" s="37" t="s">
        <v>40</v>
      </c>
      <c r="F675" s="38" t="s">
        <v>1259</v>
      </c>
      <c r="G675" s="45" t="s">
        <v>1260</v>
      </c>
      <c r="H675" s="46" t="s">
        <v>43</v>
      </c>
      <c r="I675" s="46" t="s">
        <v>394</v>
      </c>
      <c r="J675" s="47" t="s">
        <v>31</v>
      </c>
      <c r="K675" s="48" t="s">
        <v>32</v>
      </c>
      <c r="L675" s="43">
        <v>2</v>
      </c>
      <c r="M675" s="43" t="s">
        <v>45</v>
      </c>
      <c r="N675" s="43" t="s">
        <v>46</v>
      </c>
      <c r="O675" s="43" t="s">
        <v>31</v>
      </c>
      <c r="P675" s="49"/>
    </row>
    <row r="676" spans="1:16" x14ac:dyDescent="0.25">
      <c r="A676" t="str">
        <f t="shared" si="10"/>
        <v>ALR_CUMULATIVO_INCENDIO_CABINA_CANNA_NORD-Allarme cumulativo incendio cabina canna nord</v>
      </c>
      <c r="B676" t="str">
        <f>VLOOKUP(A676,'EXPORT IRIS PROD 13-11-2024'!A:A,1,0)</f>
        <v>ALR_CUMULATIVO_INCENDIO_CABINA_CANNA_NORD-Allarme cumulativo incendio cabina canna nord</v>
      </c>
      <c r="C676" t="str">
        <f>VLOOKUP(F676,'EXPORT IRIS PROD 13-11-2024'!F:F,1,0)</f>
        <v>ALR_CUMULATIVO_INCENDIO_CABINA_CANNA_NORD</v>
      </c>
      <c r="D676" t="str">
        <f>VLOOKUP(G676,'EXPORT IRIS PROD 13-11-2024'!D:D,1,0)</f>
        <v>Allarme cumulativo incendio cabina canna nord</v>
      </c>
      <c r="E676" s="37" t="s">
        <v>40</v>
      </c>
      <c r="F676" s="38" t="s">
        <v>1259</v>
      </c>
      <c r="G676" s="45" t="s">
        <v>1260</v>
      </c>
      <c r="H676" s="46" t="s">
        <v>274</v>
      </c>
      <c r="I676" s="46" t="s">
        <v>394</v>
      </c>
      <c r="J676" s="47" t="s">
        <v>31</v>
      </c>
      <c r="K676" s="48" t="s">
        <v>32</v>
      </c>
      <c r="L676" s="43">
        <v>2</v>
      </c>
      <c r="M676" s="43" t="s">
        <v>45</v>
      </c>
      <c r="N676" s="43" t="s">
        <v>46</v>
      </c>
      <c r="O676" s="43" t="s">
        <v>31</v>
      </c>
      <c r="P676" s="49"/>
    </row>
    <row r="677" spans="1:16" x14ac:dyDescent="0.25">
      <c r="A677" t="str">
        <f t="shared" si="10"/>
        <v>ALR_CUMULATIVO_INCENDIO_CABINA_CANNA_SUD-Allarme cumulativo incendio cabina canna sud</v>
      </c>
      <c r="B677" t="str">
        <f>VLOOKUP(A677,'EXPORT IRIS PROD 13-11-2024'!A:A,1,0)</f>
        <v>ALR_CUMULATIVO_INCENDIO_CABINA_CANNA_SUD-Allarme cumulativo incendio cabina canna sud</v>
      </c>
      <c r="C677" t="str">
        <f>VLOOKUP(F677,'EXPORT IRIS PROD 13-11-2024'!F:F,1,0)</f>
        <v>ALR_CUMULATIVO_INCENDIO_CABINA_CANNA_SUD</v>
      </c>
      <c r="D677" t="str">
        <f>VLOOKUP(G677,'EXPORT IRIS PROD 13-11-2024'!D:D,1,0)</f>
        <v>Allarme cumulativo incendio cabina canna sud</v>
      </c>
      <c r="E677" s="37" t="s">
        <v>40</v>
      </c>
      <c r="F677" s="38" t="s">
        <v>1261</v>
      </c>
      <c r="G677" s="45" t="s">
        <v>1262</v>
      </c>
      <c r="H677" s="46" t="s">
        <v>43</v>
      </c>
      <c r="I677" s="46" t="s">
        <v>394</v>
      </c>
      <c r="J677" s="47" t="s">
        <v>31</v>
      </c>
      <c r="K677" s="48" t="s">
        <v>32</v>
      </c>
      <c r="L677" s="43">
        <v>2</v>
      </c>
      <c r="M677" s="43" t="s">
        <v>45</v>
      </c>
      <c r="N677" s="43" t="s">
        <v>46</v>
      </c>
      <c r="O677" s="43" t="s">
        <v>31</v>
      </c>
      <c r="P677" s="49"/>
    </row>
    <row r="678" spans="1:16" x14ac:dyDescent="0.25">
      <c r="A678" t="str">
        <f t="shared" si="10"/>
        <v>ALR_CUMULATIVO_INCENDIO_CABINA_CANNA_SUD-Allarme cumulativo incendio cabina canna sud</v>
      </c>
      <c r="B678" t="str">
        <f>VLOOKUP(A678,'EXPORT IRIS PROD 13-11-2024'!A:A,1,0)</f>
        <v>ALR_CUMULATIVO_INCENDIO_CABINA_CANNA_SUD-Allarme cumulativo incendio cabina canna sud</v>
      </c>
      <c r="C678" t="str">
        <f>VLOOKUP(F678,'EXPORT IRIS PROD 13-11-2024'!F:F,1,0)</f>
        <v>ALR_CUMULATIVO_INCENDIO_CABINA_CANNA_SUD</v>
      </c>
      <c r="D678" t="str">
        <f>VLOOKUP(G678,'EXPORT IRIS PROD 13-11-2024'!D:D,1,0)</f>
        <v>Allarme cumulativo incendio cabina canna sud</v>
      </c>
      <c r="E678" s="37" t="s">
        <v>40</v>
      </c>
      <c r="F678" s="38" t="s">
        <v>1261</v>
      </c>
      <c r="G678" s="45" t="s">
        <v>1262</v>
      </c>
      <c r="H678" s="46" t="s">
        <v>274</v>
      </c>
      <c r="I678" s="46" t="s">
        <v>394</v>
      </c>
      <c r="J678" s="47" t="s">
        <v>31</v>
      </c>
      <c r="K678" s="48" t="s">
        <v>32</v>
      </c>
      <c r="L678" s="43">
        <v>2</v>
      </c>
      <c r="M678" s="43" t="s">
        <v>45</v>
      </c>
      <c r="N678" s="43" t="s">
        <v>46</v>
      </c>
      <c r="O678" s="43" t="s">
        <v>31</v>
      </c>
      <c r="P678" s="49"/>
    </row>
    <row r="679" spans="1:16" x14ac:dyDescent="0.25">
      <c r="A679" t="str">
        <f t="shared" si="10"/>
        <v>ALR_CUMULATIVO_INCENDIO_CANNA_NORD-Allarme cumulativo incendio canna nord</v>
      </c>
      <c r="B679" t="str">
        <f>VLOOKUP(A679,'EXPORT IRIS PROD 13-11-2024'!A:A,1,0)</f>
        <v>ALR_CUMULATIVO_INCENDIO_CANNA_NORD-Allarme cumulativo incendio canna nord</v>
      </c>
      <c r="C679" t="str">
        <f>VLOOKUP(F679,'EXPORT IRIS PROD 13-11-2024'!F:F,1,0)</f>
        <v>ALR_CUMULATIVO_INCENDIO_CANNA_NORD</v>
      </c>
      <c r="D679" t="str">
        <f>VLOOKUP(G679,'EXPORT IRIS PROD 13-11-2024'!D:D,1,0)</f>
        <v>Allarme cumulativo incendio canna nord</v>
      </c>
      <c r="E679" s="37" t="s">
        <v>40</v>
      </c>
      <c r="F679" s="38" t="s">
        <v>1263</v>
      </c>
      <c r="G679" s="45" t="s">
        <v>1264</v>
      </c>
      <c r="H679" s="46" t="s">
        <v>274</v>
      </c>
      <c r="I679" s="46" t="s">
        <v>1258</v>
      </c>
      <c r="J679" s="47" t="s">
        <v>31</v>
      </c>
      <c r="K679" s="48" t="s">
        <v>32</v>
      </c>
      <c r="L679" s="43">
        <v>2</v>
      </c>
      <c r="M679" s="43" t="s">
        <v>45</v>
      </c>
      <c r="N679" s="43" t="s">
        <v>46</v>
      </c>
      <c r="O679" s="43" t="s">
        <v>31</v>
      </c>
      <c r="P679" s="49"/>
    </row>
    <row r="680" spans="1:16" x14ac:dyDescent="0.25">
      <c r="A680" t="str">
        <f t="shared" si="10"/>
        <v>ALR_CUMULATIVO_INCENDIO_CANNA_NORD-Allarme cumulativo incendio canna nord</v>
      </c>
      <c r="B680" t="str">
        <f>VLOOKUP(A680,'EXPORT IRIS PROD 13-11-2024'!A:A,1,0)</f>
        <v>ALR_CUMULATIVO_INCENDIO_CANNA_NORD-Allarme cumulativo incendio canna nord</v>
      </c>
      <c r="C680" t="str">
        <f>VLOOKUP(F680,'EXPORT IRIS PROD 13-11-2024'!F:F,1,0)</f>
        <v>ALR_CUMULATIVO_INCENDIO_CANNA_NORD</v>
      </c>
      <c r="D680" t="str">
        <f>VLOOKUP(G680,'EXPORT IRIS PROD 13-11-2024'!D:D,1,0)</f>
        <v>Allarme cumulativo incendio canna nord</v>
      </c>
      <c r="E680" s="37" t="s">
        <v>40</v>
      </c>
      <c r="F680" s="38" t="s">
        <v>1263</v>
      </c>
      <c r="G680" s="45" t="s">
        <v>1264</v>
      </c>
      <c r="H680" s="46" t="s">
        <v>43</v>
      </c>
      <c r="I680" s="46" t="s">
        <v>394</v>
      </c>
      <c r="J680" s="47" t="s">
        <v>31</v>
      </c>
      <c r="K680" s="48" t="s">
        <v>32</v>
      </c>
      <c r="L680" s="43">
        <v>2</v>
      </c>
      <c r="M680" s="43" t="s">
        <v>45</v>
      </c>
      <c r="N680" s="43" t="s">
        <v>46</v>
      </c>
      <c r="O680" s="43" t="s">
        <v>31</v>
      </c>
      <c r="P680" s="49"/>
    </row>
    <row r="681" spans="1:16" x14ac:dyDescent="0.25">
      <c r="A681" t="str">
        <f t="shared" si="10"/>
        <v>ALR_CUMULATIVO_INCENDIO_CANNA_SUD-Allarme cumulativo incendio canna sud</v>
      </c>
      <c r="B681" t="str">
        <f>VLOOKUP(A681,'EXPORT IRIS PROD 13-11-2024'!A:A,1,0)</f>
        <v>ALR_CUMULATIVO_INCENDIO_CANNA_SUD-Allarme cumulativo incendio canna sud</v>
      </c>
      <c r="C681" t="str">
        <f>VLOOKUP(F681,'EXPORT IRIS PROD 13-11-2024'!F:F,1,0)</f>
        <v>ALR_CUMULATIVO_INCENDIO_CANNA_SUD</v>
      </c>
      <c r="D681" t="str">
        <f>VLOOKUP(G681,'EXPORT IRIS PROD 13-11-2024'!D:D,1,0)</f>
        <v>Allarme cumulativo incendio canna sud</v>
      </c>
      <c r="E681" s="37" t="s">
        <v>40</v>
      </c>
      <c r="F681" s="38" t="s">
        <v>1265</v>
      </c>
      <c r="G681" s="45" t="s">
        <v>1266</v>
      </c>
      <c r="H681" s="46" t="s">
        <v>274</v>
      </c>
      <c r="I681" s="46" t="s">
        <v>1258</v>
      </c>
      <c r="J681" s="47" t="s">
        <v>31</v>
      </c>
      <c r="K681" s="48" t="s">
        <v>32</v>
      </c>
      <c r="L681" s="43">
        <v>2</v>
      </c>
      <c r="M681" s="43" t="s">
        <v>45</v>
      </c>
      <c r="N681" s="43" t="s">
        <v>46</v>
      </c>
      <c r="O681" s="43" t="s">
        <v>31</v>
      </c>
      <c r="P681" s="49"/>
    </row>
    <row r="682" spans="1:16" x14ac:dyDescent="0.25">
      <c r="A682" t="str">
        <f t="shared" si="10"/>
        <v>ALR_CUMULATIVO_INCENDIO_CANNA_SUD-Allarme cumulativo incendio canna sud</v>
      </c>
      <c r="B682" t="str">
        <f>VLOOKUP(A682,'EXPORT IRIS PROD 13-11-2024'!A:A,1,0)</f>
        <v>ALR_CUMULATIVO_INCENDIO_CANNA_SUD-Allarme cumulativo incendio canna sud</v>
      </c>
      <c r="C682" t="str">
        <f>VLOOKUP(F682,'EXPORT IRIS PROD 13-11-2024'!F:F,1,0)</f>
        <v>ALR_CUMULATIVO_INCENDIO_CANNA_SUD</v>
      </c>
      <c r="D682" t="str">
        <f>VLOOKUP(G682,'EXPORT IRIS PROD 13-11-2024'!D:D,1,0)</f>
        <v>Allarme cumulativo incendio canna sud</v>
      </c>
      <c r="E682" s="37" t="s">
        <v>40</v>
      </c>
      <c r="F682" s="38" t="s">
        <v>1265</v>
      </c>
      <c r="G682" s="45" t="s">
        <v>1266</v>
      </c>
      <c r="H682" s="46" t="s">
        <v>43</v>
      </c>
      <c r="I682" s="46" t="s">
        <v>394</v>
      </c>
      <c r="J682" s="47" t="s">
        <v>31</v>
      </c>
      <c r="K682" s="48" t="s">
        <v>32</v>
      </c>
      <c r="L682" s="43">
        <v>2</v>
      </c>
      <c r="M682" s="43" t="s">
        <v>45</v>
      </c>
      <c r="N682" s="43" t="s">
        <v>46</v>
      </c>
      <c r="O682" s="43" t="s">
        <v>31</v>
      </c>
      <c r="P682" s="49"/>
    </row>
    <row r="683" spans="1:16" x14ac:dyDescent="0.25">
      <c r="A683" t="str">
        <f t="shared" si="10"/>
        <v>ALR_CUMULATIVO_INTERRUTTORE-Allarme cumulativo interruttore</v>
      </c>
      <c r="B683" t="str">
        <f>VLOOKUP(A683,'EXPORT IRIS PROD 13-11-2024'!A:A,1,0)</f>
        <v>ALR_CUMULATIVO_INTERRUTTORE-Allarme cumulativo interruttore</v>
      </c>
      <c r="C683" t="str">
        <f>VLOOKUP(F683,'EXPORT IRIS PROD 13-11-2024'!F:F,1,0)</f>
        <v>ALR_CUMULATIVO_INTERRUTTORE</v>
      </c>
      <c r="D683" t="str">
        <f>VLOOKUP(G683,'EXPORT IRIS PROD 13-11-2024'!D:D,1,0)</f>
        <v>Allarme cumulativo interruttore</v>
      </c>
      <c r="E683" s="37" t="s">
        <v>53</v>
      </c>
      <c r="F683" s="38" t="s">
        <v>1267</v>
      </c>
      <c r="G683" s="45" t="s">
        <v>1268</v>
      </c>
      <c r="H683" s="46" t="s">
        <v>56</v>
      </c>
      <c r="I683" s="46" t="s">
        <v>355</v>
      </c>
      <c r="J683" s="40" t="s">
        <v>21</v>
      </c>
      <c r="K683" s="41" t="s">
        <v>22</v>
      </c>
      <c r="L683" s="42" t="s">
        <v>23</v>
      </c>
      <c r="M683" s="43" t="s">
        <v>24</v>
      </c>
      <c r="N683" s="42" t="s">
        <v>25</v>
      </c>
      <c r="O683" s="42" t="s">
        <v>21</v>
      </c>
      <c r="P683" s="44"/>
    </row>
    <row r="684" spans="1:16" x14ac:dyDescent="0.25">
      <c r="A684" t="str">
        <f t="shared" si="10"/>
        <v>ALR_DIFFERENZIALE_SCATTATO-Allarme differenziale scattato</v>
      </c>
      <c r="B684" t="str">
        <f>VLOOKUP(A684,'EXPORT IRIS PROD 13-11-2024'!A:A,1,0)</f>
        <v>ALR_DIFFERENZIALE_SCATTATO-Allarme differenziale scattato</v>
      </c>
      <c r="C684" t="str">
        <f>VLOOKUP(F684,'EXPORT IRIS PROD 13-11-2024'!F:F,1,0)</f>
        <v>ALR_DIFFERENZIALE_SCATTATO</v>
      </c>
      <c r="D684" t="str">
        <f>VLOOKUP(G684,'EXPORT IRIS PROD 13-11-2024'!D:D,1,0)</f>
        <v>Allarme differenziale scattato</v>
      </c>
      <c r="E684" s="37" t="s">
        <v>53</v>
      </c>
      <c r="F684" s="38" t="s">
        <v>1269</v>
      </c>
      <c r="G684" s="45" t="s">
        <v>1270</v>
      </c>
      <c r="H684" s="46" t="s">
        <v>56</v>
      </c>
      <c r="I684" s="46" t="s">
        <v>291</v>
      </c>
      <c r="J684" s="40" t="s">
        <v>21</v>
      </c>
      <c r="K684" s="41" t="s">
        <v>22</v>
      </c>
      <c r="L684" s="42" t="s">
        <v>23</v>
      </c>
      <c r="M684" s="43" t="s">
        <v>24</v>
      </c>
      <c r="N684" s="42" t="s">
        <v>25</v>
      </c>
      <c r="O684" s="42" t="s">
        <v>21</v>
      </c>
      <c r="P684" s="44"/>
    </row>
    <row r="685" spans="1:16" x14ac:dyDescent="0.25">
      <c r="A685" t="str">
        <f t="shared" si="10"/>
        <v>ALR_DIREZIONE_AN_SOPRA_SOGLIA-Allarme direzione AN sopra soglia</v>
      </c>
      <c r="B685" t="str">
        <f>VLOOKUP(A685,'EXPORT IRIS PROD 13-11-2024'!A:A,1,0)</f>
        <v>ALR_DIREZIONE_AN_SOPRA_SOGLIA-Allarme direzione AN sopra soglia</v>
      </c>
      <c r="C685" t="str">
        <f>VLOOKUP(F685,'EXPORT IRIS PROD 13-11-2024'!F:F,1,0)</f>
        <v>ALR_DIREZIONE_AN_SOPRA_SOGLIA</v>
      </c>
      <c r="D685" t="str">
        <f>VLOOKUP(G685,'EXPORT IRIS PROD 13-11-2024'!D:D,1,0)</f>
        <v>Allarme direzione AN sopra soglia</v>
      </c>
      <c r="E685" s="37" t="s">
        <v>878</v>
      </c>
      <c r="F685" s="38" t="s">
        <v>1271</v>
      </c>
      <c r="G685" s="45" t="s">
        <v>1272</v>
      </c>
      <c r="H685" s="46" t="s">
        <v>50</v>
      </c>
      <c r="I685" s="46" t="s">
        <v>88</v>
      </c>
      <c r="J685" s="40" t="s">
        <v>21</v>
      </c>
      <c r="K685" s="41" t="s">
        <v>22</v>
      </c>
      <c r="L685" s="42" t="s">
        <v>23</v>
      </c>
      <c r="M685" s="43" t="s">
        <v>24</v>
      </c>
      <c r="N685" s="42" t="s">
        <v>25</v>
      </c>
      <c r="O685" s="42" t="s">
        <v>21</v>
      </c>
      <c r="P685" s="44"/>
    </row>
    <row r="686" spans="1:16" x14ac:dyDescent="0.25">
      <c r="A686" t="str">
        <f t="shared" si="10"/>
        <v>ALR_DIREZIONE_AN_SOTTO_SOGLIA-Allarme direzione AN sotto soglia</v>
      </c>
      <c r="B686" t="str">
        <f>VLOOKUP(A686,'EXPORT IRIS PROD 13-11-2024'!A:A,1,0)</f>
        <v>ALR_DIREZIONE_AN_SOTTO_SOGLIA-Allarme direzione AN sotto soglia</v>
      </c>
      <c r="C686" t="str">
        <f>VLOOKUP(F686,'EXPORT IRIS PROD 13-11-2024'!F:F,1,0)</f>
        <v>ALR_DIREZIONE_AN_SOTTO_SOGLIA</v>
      </c>
      <c r="D686" t="str">
        <f>VLOOKUP(G686,'EXPORT IRIS PROD 13-11-2024'!D:D,1,0)</f>
        <v>Allarme direzione AN sotto soglia</v>
      </c>
      <c r="E686" s="37" t="s">
        <v>878</v>
      </c>
      <c r="F686" s="38" t="s">
        <v>1273</v>
      </c>
      <c r="G686" s="45" t="s">
        <v>1274</v>
      </c>
      <c r="H686" s="46" t="s">
        <v>50</v>
      </c>
      <c r="I686" s="46" t="s">
        <v>88</v>
      </c>
      <c r="J686" s="40" t="s">
        <v>21</v>
      </c>
      <c r="K686" s="41" t="s">
        <v>22</v>
      </c>
      <c r="L686" s="42" t="s">
        <v>23</v>
      </c>
      <c r="M686" s="43" t="s">
        <v>24</v>
      </c>
      <c r="N686" s="42" t="s">
        <v>25</v>
      </c>
      <c r="O686" s="42" t="s">
        <v>21</v>
      </c>
      <c r="P686" s="44"/>
    </row>
    <row r="687" spans="1:16" x14ac:dyDescent="0.25">
      <c r="A687" t="str">
        <f t="shared" si="10"/>
        <v>ALR_DOSSENA_1-Allarme Dossena 1</v>
      </c>
      <c r="B687" t="str">
        <f>VLOOKUP(A687,'EXPORT IRIS PROD 13-11-2024'!A:A,1,0)</f>
        <v>ALR_DOSSENA_1-Allarme Dossena 1</v>
      </c>
      <c r="C687" t="str">
        <f>VLOOKUP(F687,'EXPORT IRIS PROD 13-11-2024'!F:F,1,0)</f>
        <v>ALR_DOSSENA_1</v>
      </c>
      <c r="D687" t="str">
        <f>VLOOKUP(G687,'EXPORT IRIS PROD 13-11-2024'!D:D,1,0)</f>
        <v>Allarme Dossena 1</v>
      </c>
      <c r="E687" s="37" t="s">
        <v>1201</v>
      </c>
      <c r="F687" s="38" t="s">
        <v>1275</v>
      </c>
      <c r="G687" s="45" t="s">
        <v>1276</v>
      </c>
      <c r="H687" s="46" t="s">
        <v>965</v>
      </c>
      <c r="I687" s="46" t="s">
        <v>1204</v>
      </c>
      <c r="J687" s="40" t="s">
        <v>21</v>
      </c>
      <c r="K687" s="41" t="s">
        <v>22</v>
      </c>
      <c r="L687" s="42" t="s">
        <v>23</v>
      </c>
      <c r="M687" s="43" t="s">
        <v>24</v>
      </c>
      <c r="N687" s="42" t="s">
        <v>25</v>
      </c>
      <c r="O687" s="42" t="s">
        <v>21</v>
      </c>
      <c r="P687" s="44"/>
    </row>
    <row r="688" spans="1:16" x14ac:dyDescent="0.25">
      <c r="A688" t="str">
        <f t="shared" si="10"/>
        <v>ALR_DOSSENA_2-Allarme Dossena 2</v>
      </c>
      <c r="B688" t="str">
        <f>VLOOKUP(A688,'EXPORT IRIS PROD 13-11-2024'!A:A,1,0)</f>
        <v>ALR_DOSSENA_2-Allarme Dossena 2</v>
      </c>
      <c r="C688" t="str">
        <f>VLOOKUP(F688,'EXPORT IRIS PROD 13-11-2024'!F:F,1,0)</f>
        <v>ALR_DOSSENA_2</v>
      </c>
      <c r="D688" t="str">
        <f>VLOOKUP(G688,'EXPORT IRIS PROD 13-11-2024'!D:D,1,0)</f>
        <v>Allarme Dossena 2</v>
      </c>
      <c r="E688" s="37" t="s">
        <v>1201</v>
      </c>
      <c r="F688" s="38" t="s">
        <v>1277</v>
      </c>
      <c r="G688" s="45" t="s">
        <v>1278</v>
      </c>
      <c r="H688" s="46" t="s">
        <v>965</v>
      </c>
      <c r="I688" s="46" t="s">
        <v>1204</v>
      </c>
      <c r="J688" s="40" t="s">
        <v>21</v>
      </c>
      <c r="K688" s="41" t="s">
        <v>22</v>
      </c>
      <c r="L688" s="42" t="s">
        <v>23</v>
      </c>
      <c r="M688" s="43" t="s">
        <v>24</v>
      </c>
      <c r="N688" s="42" t="s">
        <v>25</v>
      </c>
      <c r="O688" s="42" t="s">
        <v>21</v>
      </c>
      <c r="P688" s="44"/>
    </row>
    <row r="689" spans="1:16" x14ac:dyDescent="0.25">
      <c r="A689" t="str">
        <f t="shared" si="10"/>
        <v>ALR_ELETTROVALVOLA_CHIUSA-Allarme elettrovalvola antincendio chiusa</v>
      </c>
      <c r="B689" t="str">
        <f>VLOOKUP(A689,'EXPORT IRIS PROD 13-11-2024'!A:A,1,0)</f>
        <v>ALR_ELETTROVALVOLA_CHIUSA-Allarme elettrovalvola antincendio chiusa</v>
      </c>
      <c r="C689" t="str">
        <f>VLOOKUP(F689,'EXPORT IRIS PROD 13-11-2024'!F:F,1,0)</f>
        <v>ALR_ELETTROVALVOLA_CHIUSA</v>
      </c>
      <c r="D689" t="str">
        <f>VLOOKUP(G689,'EXPORT IRIS PROD 13-11-2024'!D:D,1,0)</f>
        <v>Allarme elettrovalvola antincendio chiusa</v>
      </c>
      <c r="E689" s="37" t="s">
        <v>35</v>
      </c>
      <c r="F689" s="38" t="s">
        <v>1279</v>
      </c>
      <c r="G689" s="45" t="s">
        <v>1280</v>
      </c>
      <c r="H689" s="46" t="s">
        <v>38</v>
      </c>
      <c r="I689" s="46" t="s">
        <v>1242</v>
      </c>
      <c r="J689" s="40" t="s">
        <v>21</v>
      </c>
      <c r="K689" s="41" t="s">
        <v>22</v>
      </c>
      <c r="L689" s="42" t="s">
        <v>23</v>
      </c>
      <c r="M689" s="43" t="s">
        <v>24</v>
      </c>
      <c r="N689" s="42" t="s">
        <v>25</v>
      </c>
      <c r="O689" s="42" t="s">
        <v>21</v>
      </c>
      <c r="P689" s="44"/>
    </row>
    <row r="690" spans="1:16" x14ac:dyDescent="0.25">
      <c r="A690" t="str">
        <f t="shared" si="10"/>
        <v>ALR_ERRORE_ACCESSO-Allarme errore accesso</v>
      </c>
      <c r="B690" t="str">
        <f>VLOOKUP(A690,'EXPORT IRIS PROD 13-11-2024'!A:A,1,0)</f>
        <v>ALR_ERRORE_ACCESSO-Allarme errore accesso</v>
      </c>
      <c r="C690" t="str">
        <f>VLOOKUP(F690,'EXPORT IRIS PROD 13-11-2024'!F:F,1,0)</f>
        <v>ALR_ERRORE_ACCESSO</v>
      </c>
      <c r="D690" t="str">
        <f>VLOOKUP(G690,'EXPORT IRIS PROD 13-11-2024'!D:D,1,0)</f>
        <v>Allarme errore accesso</v>
      </c>
      <c r="E690" s="37" t="s">
        <v>85</v>
      </c>
      <c r="F690" s="38" t="s">
        <v>1281</v>
      </c>
      <c r="G690" s="45" t="s">
        <v>1282</v>
      </c>
      <c r="H690" s="46" t="s">
        <v>50</v>
      </c>
      <c r="I690" s="46" t="s">
        <v>1283</v>
      </c>
      <c r="J690" s="40" t="s">
        <v>21</v>
      </c>
      <c r="K690" s="41" t="s">
        <v>22</v>
      </c>
      <c r="L690" s="42" t="s">
        <v>23</v>
      </c>
      <c r="M690" s="43" t="s">
        <v>24</v>
      </c>
      <c r="N690" s="42" t="s">
        <v>25</v>
      </c>
      <c r="O690" s="42" t="s">
        <v>21</v>
      </c>
      <c r="P690" s="44"/>
    </row>
    <row r="691" spans="1:16" x14ac:dyDescent="0.25">
      <c r="A691" t="str">
        <f t="shared" si="10"/>
        <v>ALR_ERRORE_ACCESSO-Allarme errore accesso</v>
      </c>
      <c r="B691" t="str">
        <f>VLOOKUP(A691,'EXPORT IRIS PROD 13-11-2024'!A:A,1,0)</f>
        <v>ALR_ERRORE_ACCESSO-Allarme errore accesso</v>
      </c>
      <c r="C691" t="str">
        <f>VLOOKUP(F691,'EXPORT IRIS PROD 13-11-2024'!F:F,1,0)</f>
        <v>ALR_ERRORE_ACCESSO</v>
      </c>
      <c r="D691" t="str">
        <f>VLOOKUP(G691,'EXPORT IRIS PROD 13-11-2024'!D:D,1,0)</f>
        <v>Allarme errore accesso</v>
      </c>
      <c r="E691" s="37" t="s">
        <v>16</v>
      </c>
      <c r="F691" s="38" t="s">
        <v>1281</v>
      </c>
      <c r="G691" s="45" t="s">
        <v>1282</v>
      </c>
      <c r="H691" s="46" t="s">
        <v>1156</v>
      </c>
      <c r="I691" s="46" t="s">
        <v>167</v>
      </c>
      <c r="J691" s="40" t="s">
        <v>21</v>
      </c>
      <c r="K691" s="41" t="s">
        <v>22</v>
      </c>
      <c r="L691" s="42" t="s">
        <v>23</v>
      </c>
      <c r="M691" s="43" t="s">
        <v>24</v>
      </c>
      <c r="N691" s="42" t="s">
        <v>25</v>
      </c>
      <c r="O691" s="42" t="s">
        <v>21</v>
      </c>
      <c r="P691" s="44"/>
    </row>
    <row r="692" spans="1:16" x14ac:dyDescent="0.25">
      <c r="A692" t="str">
        <f t="shared" si="10"/>
        <v>ALR_ERRORE_ACCESSO-Allarme errore accesso</v>
      </c>
      <c r="B692" t="str">
        <f>VLOOKUP(A692,'EXPORT IRIS PROD 13-11-2024'!A:A,1,0)</f>
        <v>ALR_ERRORE_ACCESSO-Allarme errore accesso</v>
      </c>
      <c r="C692" t="str">
        <f>VLOOKUP(F692,'EXPORT IRIS PROD 13-11-2024'!F:F,1,0)</f>
        <v>ALR_ERRORE_ACCESSO</v>
      </c>
      <c r="D692" t="str">
        <f>VLOOKUP(G692,'EXPORT IRIS PROD 13-11-2024'!D:D,1,0)</f>
        <v>Allarme errore accesso</v>
      </c>
      <c r="E692" s="37" t="s">
        <v>115</v>
      </c>
      <c r="F692" s="38" t="s">
        <v>1281</v>
      </c>
      <c r="G692" s="45" t="s">
        <v>1282</v>
      </c>
      <c r="H692" s="46" t="s">
        <v>1142</v>
      </c>
      <c r="I692" s="46" t="s">
        <v>715</v>
      </c>
      <c r="J692" s="40" t="s">
        <v>21</v>
      </c>
      <c r="K692" s="41" t="s">
        <v>22</v>
      </c>
      <c r="L692" s="42" t="s">
        <v>23</v>
      </c>
      <c r="M692" s="43" t="s">
        <v>24</v>
      </c>
      <c r="N692" s="42" t="s">
        <v>25</v>
      </c>
      <c r="O692" s="42" t="s">
        <v>21</v>
      </c>
      <c r="P692" s="44"/>
    </row>
    <row r="693" spans="1:16" x14ac:dyDescent="0.25">
      <c r="A693" t="str">
        <f t="shared" si="10"/>
        <v>ALR_ERRORE_COMUNICAZIONE_PERMANENTE-Allarme Comunicazione Reverberi Permanente</v>
      </c>
      <c r="B693" t="str">
        <f>VLOOKUP(A693,'EXPORT IRIS PROD 13-11-2024'!A:A,1,0)</f>
        <v>ALR_ERRORE_COMUNICAZIONE_PERMANENTE-Allarme Comunicazione Reverberi Permanente</v>
      </c>
      <c r="C693" t="str">
        <f>VLOOKUP(F693,'EXPORT IRIS PROD 13-11-2024'!F:F,1,0)</f>
        <v>ALR_ERRORE_COMUNICAZIONE_PERMANENTE</v>
      </c>
      <c r="D693" t="str">
        <f>VLOOKUP(G693,'EXPORT IRIS PROD 13-11-2024'!D:D,1,0)</f>
        <v>Allarme Comunicazione Reverberi Permanente</v>
      </c>
      <c r="E693" s="37" t="s">
        <v>115</v>
      </c>
      <c r="F693" s="38" t="s">
        <v>1284</v>
      </c>
      <c r="G693" s="45" t="s">
        <v>1285</v>
      </c>
      <c r="H693" s="46" t="s">
        <v>1142</v>
      </c>
      <c r="I693" s="46" t="s">
        <v>1286</v>
      </c>
      <c r="J693" s="40" t="s">
        <v>21</v>
      </c>
      <c r="K693" s="41" t="s">
        <v>22</v>
      </c>
      <c r="L693" s="42" t="s">
        <v>23</v>
      </c>
      <c r="M693" s="43" t="s">
        <v>24</v>
      </c>
      <c r="N693" s="42" t="s">
        <v>25</v>
      </c>
      <c r="O693" s="42" t="s">
        <v>21</v>
      </c>
      <c r="P693" s="44"/>
    </row>
    <row r="694" spans="1:16" x14ac:dyDescent="0.25">
      <c r="A694" t="str">
        <f t="shared" si="10"/>
        <v>ALR_ERRORE_COMUNICAZIONE_RINFORZO-Allarme Comunicazione Reverberi Rinforzo</v>
      </c>
      <c r="B694" t="str">
        <f>VLOOKUP(A694,'EXPORT IRIS PROD 13-11-2024'!A:A,1,0)</f>
        <v>ALR_ERRORE_COMUNICAZIONE_RINFORZO-Allarme Comunicazione Reverberi Rinforzo</v>
      </c>
      <c r="C694" t="str">
        <f>VLOOKUP(F694,'EXPORT IRIS PROD 13-11-2024'!F:F,1,0)</f>
        <v>ALR_ERRORE_COMUNICAZIONE_RINFORZO</v>
      </c>
      <c r="D694" t="str">
        <f>VLOOKUP(G694,'EXPORT IRIS PROD 13-11-2024'!D:D,1,0)</f>
        <v>Allarme Comunicazione Reverberi Rinforzo</v>
      </c>
      <c r="E694" s="37" t="s">
        <v>85</v>
      </c>
      <c r="F694" s="38" t="s">
        <v>1287</v>
      </c>
      <c r="G694" s="45" t="s">
        <v>1288</v>
      </c>
      <c r="H694" s="46" t="s">
        <v>50</v>
      </c>
      <c r="I694" s="46" t="s">
        <v>445</v>
      </c>
      <c r="J694" s="40" t="s">
        <v>21</v>
      </c>
      <c r="K694" s="41" t="s">
        <v>22</v>
      </c>
      <c r="L694" s="42" t="s">
        <v>23</v>
      </c>
      <c r="M694" s="43" t="s">
        <v>24</v>
      </c>
      <c r="N694" s="42" t="s">
        <v>25</v>
      </c>
      <c r="O694" s="42" t="s">
        <v>21</v>
      </c>
      <c r="P694" s="44"/>
    </row>
    <row r="695" spans="1:16" x14ac:dyDescent="0.25">
      <c r="A695" t="str">
        <f t="shared" si="10"/>
        <v>ALR_ERRORE_ESTERNO-Allarme errore esterno</v>
      </c>
      <c r="B695" t="str">
        <f>VLOOKUP(A695,'EXPORT IRIS PROD 13-11-2024'!A:A,1,0)</f>
        <v>ALR_ERRORE_ESTERNO-Allarme errore esterno</v>
      </c>
      <c r="C695" t="str">
        <f>VLOOKUP(F695,'EXPORT IRIS PROD 13-11-2024'!F:F,1,0)</f>
        <v>ALR_ERRORE_ESTERNO</v>
      </c>
      <c r="D695" t="str">
        <f>VLOOKUP(G695,'EXPORT IRIS PROD 13-11-2024'!D:D,1,0)</f>
        <v>Allarme errore esterno</v>
      </c>
      <c r="E695" s="37" t="s">
        <v>863</v>
      </c>
      <c r="F695" s="38" t="s">
        <v>1289</v>
      </c>
      <c r="G695" s="45" t="s">
        <v>1290</v>
      </c>
      <c r="H695" s="46" t="s">
        <v>274</v>
      </c>
      <c r="I695" s="46" t="s">
        <v>1174</v>
      </c>
      <c r="J695" s="40" t="s">
        <v>21</v>
      </c>
      <c r="K695" s="41" t="s">
        <v>22</v>
      </c>
      <c r="L695" s="42" t="s">
        <v>23</v>
      </c>
      <c r="M695" s="43" t="s">
        <v>24</v>
      </c>
      <c r="N695" s="42" t="s">
        <v>25</v>
      </c>
      <c r="O695" s="42" t="s">
        <v>21</v>
      </c>
      <c r="P695" s="44"/>
    </row>
    <row r="696" spans="1:16" x14ac:dyDescent="0.25">
      <c r="A696" t="str">
        <f t="shared" si="10"/>
        <v>ALR_ERRORE_ESTERNO-Allarme errore esterno</v>
      </c>
      <c r="B696" t="str">
        <f>VLOOKUP(A696,'EXPORT IRIS PROD 13-11-2024'!A:A,1,0)</f>
        <v>ALR_ERRORE_ESTERNO-Allarme errore esterno</v>
      </c>
      <c r="C696" t="str">
        <f>VLOOKUP(F696,'EXPORT IRIS PROD 13-11-2024'!F:F,1,0)</f>
        <v>ALR_ERRORE_ESTERNO</v>
      </c>
      <c r="D696" t="str">
        <f>VLOOKUP(G696,'EXPORT IRIS PROD 13-11-2024'!D:D,1,0)</f>
        <v>Allarme errore esterno</v>
      </c>
      <c r="E696" s="37" t="s">
        <v>53</v>
      </c>
      <c r="F696" s="38" t="s">
        <v>1289</v>
      </c>
      <c r="G696" s="45" t="s">
        <v>1290</v>
      </c>
      <c r="H696" s="46" t="s">
        <v>56</v>
      </c>
      <c r="I696" s="46" t="s">
        <v>177</v>
      </c>
      <c r="J696" s="40" t="s">
        <v>21</v>
      </c>
      <c r="K696" s="41" t="s">
        <v>22</v>
      </c>
      <c r="L696" s="42" t="s">
        <v>23</v>
      </c>
      <c r="M696" s="43" t="s">
        <v>24</v>
      </c>
      <c r="N696" s="42" t="s">
        <v>25</v>
      </c>
      <c r="O696" s="42" t="s">
        <v>21</v>
      </c>
      <c r="P696" s="44"/>
    </row>
    <row r="697" spans="1:16" x14ac:dyDescent="0.25">
      <c r="A697" t="str">
        <f t="shared" si="10"/>
        <v>ALR_ERRORE_LOGICO-Allarme errore logico</v>
      </c>
      <c r="B697" t="str">
        <f>VLOOKUP(A697,'EXPORT IRIS PROD 13-11-2024'!A:A,1,0)</f>
        <v>ALR_ERRORE_LOGICO-Allarme errore logico</v>
      </c>
      <c r="C697" t="str">
        <f>VLOOKUP(F697,'EXPORT IRIS PROD 13-11-2024'!F:F,1,0)</f>
        <v>ALR_ERRORE_LOGICO</v>
      </c>
      <c r="D697" t="str">
        <f>VLOOKUP(G697,'EXPORT IRIS PROD 13-11-2024'!D:D,1,0)</f>
        <v>Allarme errore logico</v>
      </c>
      <c r="E697" s="37" t="s">
        <v>53</v>
      </c>
      <c r="F697" s="38" t="s">
        <v>1291</v>
      </c>
      <c r="G697" s="45" t="s">
        <v>1292</v>
      </c>
      <c r="H697" s="46" t="s">
        <v>56</v>
      </c>
      <c r="I697" s="46" t="s">
        <v>104</v>
      </c>
      <c r="J697" s="40" t="s">
        <v>21</v>
      </c>
      <c r="K697" s="41" t="s">
        <v>22</v>
      </c>
      <c r="L697" s="42" t="s">
        <v>23</v>
      </c>
      <c r="M697" s="43" t="s">
        <v>24</v>
      </c>
      <c r="N697" s="42" t="s">
        <v>25</v>
      </c>
      <c r="O697" s="42" t="s">
        <v>21</v>
      </c>
      <c r="P697" s="44"/>
    </row>
    <row r="698" spans="1:16" x14ac:dyDescent="0.25">
      <c r="A698" t="str">
        <f t="shared" si="10"/>
        <v>ALR_ERRORE_LOGICO-Allarme errore logico</v>
      </c>
      <c r="B698" t="str">
        <f>VLOOKUP(A698,'EXPORT IRIS PROD 13-11-2024'!A:A,1,0)</f>
        <v>ALR_ERRORE_LOGICO-Allarme errore logico</v>
      </c>
      <c r="C698" t="str">
        <f>VLOOKUP(F698,'EXPORT IRIS PROD 13-11-2024'!F:F,1,0)</f>
        <v>ALR_ERRORE_LOGICO</v>
      </c>
      <c r="D698" t="str">
        <f>VLOOKUP(G698,'EXPORT IRIS PROD 13-11-2024'!D:D,1,0)</f>
        <v>Allarme errore logico</v>
      </c>
      <c r="E698" s="37" t="s">
        <v>16</v>
      </c>
      <c r="F698" s="38" t="s">
        <v>1291</v>
      </c>
      <c r="G698" s="45" t="s">
        <v>1292</v>
      </c>
      <c r="H698" s="46" t="s">
        <v>1156</v>
      </c>
      <c r="I698" s="46" t="s">
        <v>167</v>
      </c>
      <c r="J698" s="40" t="s">
        <v>21</v>
      </c>
      <c r="K698" s="41" t="s">
        <v>22</v>
      </c>
      <c r="L698" s="42" t="s">
        <v>23</v>
      </c>
      <c r="M698" s="43" t="s">
        <v>24</v>
      </c>
      <c r="N698" s="42" t="s">
        <v>25</v>
      </c>
      <c r="O698" s="42" t="s">
        <v>21</v>
      </c>
      <c r="P698" s="44"/>
    </row>
    <row r="699" spans="1:16" x14ac:dyDescent="0.25">
      <c r="A699" t="str">
        <f t="shared" si="10"/>
        <v>ALR_ERRORE_LOGICO-Allarme errore logico</v>
      </c>
      <c r="B699" t="str">
        <f>VLOOKUP(A699,'EXPORT IRIS PROD 13-11-2024'!A:A,1,0)</f>
        <v>ALR_ERRORE_LOGICO-Allarme errore logico</v>
      </c>
      <c r="C699" t="str">
        <f>VLOOKUP(F699,'EXPORT IRIS PROD 13-11-2024'!F:F,1,0)</f>
        <v>ALR_ERRORE_LOGICO</v>
      </c>
      <c r="D699" t="str">
        <f>VLOOKUP(G699,'EXPORT IRIS PROD 13-11-2024'!D:D,1,0)</f>
        <v>Allarme errore logico</v>
      </c>
      <c r="E699" s="37" t="s">
        <v>53</v>
      </c>
      <c r="F699" s="38" t="s">
        <v>1291</v>
      </c>
      <c r="G699" s="45" t="s">
        <v>1292</v>
      </c>
      <c r="H699" s="46" t="s">
        <v>56</v>
      </c>
      <c r="I699" s="46" t="s">
        <v>104</v>
      </c>
      <c r="J699" s="40" t="s">
        <v>21</v>
      </c>
      <c r="K699" s="41" t="s">
        <v>22</v>
      </c>
      <c r="L699" s="42" t="s">
        <v>23</v>
      </c>
      <c r="M699" s="43" t="s">
        <v>24</v>
      </c>
      <c r="N699" s="42" t="s">
        <v>25</v>
      </c>
      <c r="O699" s="42" t="s">
        <v>21</v>
      </c>
      <c r="P699" s="44"/>
    </row>
    <row r="700" spans="1:16" x14ac:dyDescent="0.25">
      <c r="A700" t="str">
        <f t="shared" si="10"/>
        <v>ALR_ERRORE_LOGICO-Allarme errore logico</v>
      </c>
      <c r="B700" t="str">
        <f>VLOOKUP(A700,'EXPORT IRIS PROD 13-11-2024'!A:A,1,0)</f>
        <v>ALR_ERRORE_LOGICO-Allarme errore logico</v>
      </c>
      <c r="C700" t="str">
        <f>VLOOKUP(F700,'EXPORT IRIS PROD 13-11-2024'!F:F,1,0)</f>
        <v>ALR_ERRORE_LOGICO</v>
      </c>
      <c r="D700" t="str">
        <f>VLOOKUP(G700,'EXPORT IRIS PROD 13-11-2024'!D:D,1,0)</f>
        <v>Allarme errore logico</v>
      </c>
      <c r="E700" s="37" t="s">
        <v>16</v>
      </c>
      <c r="F700" s="38" t="s">
        <v>1291</v>
      </c>
      <c r="G700" s="45" t="s">
        <v>1292</v>
      </c>
      <c r="H700" s="46" t="s">
        <v>1156</v>
      </c>
      <c r="I700" s="46" t="s">
        <v>167</v>
      </c>
      <c r="J700" s="40" t="s">
        <v>21</v>
      </c>
      <c r="K700" s="41" t="s">
        <v>22</v>
      </c>
      <c r="L700" s="42" t="s">
        <v>23</v>
      </c>
      <c r="M700" s="43" t="s">
        <v>24</v>
      </c>
      <c r="N700" s="42" t="s">
        <v>25</v>
      </c>
      <c r="O700" s="42" t="s">
        <v>21</v>
      </c>
      <c r="P700" s="44"/>
    </row>
    <row r="701" spans="1:16" x14ac:dyDescent="0.25">
      <c r="A701" t="str">
        <f t="shared" si="10"/>
        <v>ALR_ERRORE_LOGICO-Allarme errore logico</v>
      </c>
      <c r="B701" t="str">
        <f>VLOOKUP(A701,'EXPORT IRIS PROD 13-11-2024'!A:A,1,0)</f>
        <v>ALR_ERRORE_LOGICO-Allarme errore logico</v>
      </c>
      <c r="C701" t="str">
        <f>VLOOKUP(F701,'EXPORT IRIS PROD 13-11-2024'!F:F,1,0)</f>
        <v>ALR_ERRORE_LOGICO</v>
      </c>
      <c r="D701" t="str">
        <f>VLOOKUP(G701,'EXPORT IRIS PROD 13-11-2024'!D:D,1,0)</f>
        <v>Allarme errore logico</v>
      </c>
      <c r="E701" s="37" t="s">
        <v>85</v>
      </c>
      <c r="F701" s="38" t="s">
        <v>1291</v>
      </c>
      <c r="G701" s="45" t="s">
        <v>1292</v>
      </c>
      <c r="H701" s="46" t="s">
        <v>274</v>
      </c>
      <c r="I701" s="46" t="s">
        <v>1293</v>
      </c>
      <c r="J701" s="40" t="s">
        <v>21</v>
      </c>
      <c r="K701" s="41" t="s">
        <v>22</v>
      </c>
      <c r="L701" s="42" t="s">
        <v>23</v>
      </c>
      <c r="M701" s="43" t="s">
        <v>24</v>
      </c>
      <c r="N701" s="42" t="s">
        <v>25</v>
      </c>
      <c r="O701" s="42" t="s">
        <v>21</v>
      </c>
      <c r="P701" s="44"/>
    </row>
    <row r="702" spans="1:16" x14ac:dyDescent="0.25">
      <c r="A702" t="str">
        <f t="shared" si="10"/>
        <v>ALR_ERRORE_LOGICO-Allarme errore logico</v>
      </c>
      <c r="B702" t="str">
        <f>VLOOKUP(A702,'EXPORT IRIS PROD 13-11-2024'!A:A,1,0)</f>
        <v>ALR_ERRORE_LOGICO-Allarme errore logico</v>
      </c>
      <c r="C702" t="str">
        <f>VLOOKUP(F702,'EXPORT IRIS PROD 13-11-2024'!F:F,1,0)</f>
        <v>ALR_ERRORE_LOGICO</v>
      </c>
      <c r="D702" t="str">
        <f>VLOOKUP(G702,'EXPORT IRIS PROD 13-11-2024'!D:D,1,0)</f>
        <v>Allarme errore logico</v>
      </c>
      <c r="E702" s="37" t="s">
        <v>863</v>
      </c>
      <c r="F702" s="38" t="s">
        <v>1291</v>
      </c>
      <c r="G702" s="45" t="s">
        <v>1292</v>
      </c>
      <c r="H702" s="46" t="s">
        <v>274</v>
      </c>
      <c r="I702" s="46" t="s">
        <v>1294</v>
      </c>
      <c r="J702" s="40" t="s">
        <v>21</v>
      </c>
      <c r="K702" s="41" t="s">
        <v>22</v>
      </c>
      <c r="L702" s="42" t="s">
        <v>23</v>
      </c>
      <c r="M702" s="43" t="s">
        <v>24</v>
      </c>
      <c r="N702" s="42" t="s">
        <v>25</v>
      </c>
      <c r="O702" s="42" t="s">
        <v>21</v>
      </c>
      <c r="P702" s="44"/>
    </row>
    <row r="703" spans="1:16" x14ac:dyDescent="0.25">
      <c r="A703" t="str">
        <f t="shared" si="10"/>
        <v>ALR_ERRORE_MARCIA-Allarme errore marcia ventilatore</v>
      </c>
      <c r="B703" t="str">
        <f>VLOOKUP(A703,'EXPORT IRIS PROD 13-11-2024'!A:A,1,0)</f>
        <v>ALR_ERRORE_MARCIA-Allarme errore marcia ventilatore</v>
      </c>
      <c r="C703" t="str">
        <f>VLOOKUP(F703,'EXPORT IRIS PROD 13-11-2024'!F:F,1,0)</f>
        <v>ALR_ERRORE_MARCIA</v>
      </c>
      <c r="D703" t="str">
        <f>VLOOKUP(G703,'EXPORT IRIS PROD 13-11-2024'!D:D,1,0)</f>
        <v>Allarme errore marcia ventilatore</v>
      </c>
      <c r="E703" s="37" t="s">
        <v>85</v>
      </c>
      <c r="F703" s="38" t="s">
        <v>1295</v>
      </c>
      <c r="G703" s="45" t="s">
        <v>1296</v>
      </c>
      <c r="H703" s="46" t="s">
        <v>274</v>
      </c>
      <c r="I703" s="46" t="s">
        <v>1293</v>
      </c>
      <c r="J703" s="40" t="s">
        <v>21</v>
      </c>
      <c r="K703" s="41" t="s">
        <v>22</v>
      </c>
      <c r="L703" s="42" t="s">
        <v>23</v>
      </c>
      <c r="M703" s="43" t="s">
        <v>24</v>
      </c>
      <c r="N703" s="42" t="s">
        <v>25</v>
      </c>
      <c r="O703" s="42" t="s">
        <v>21</v>
      </c>
      <c r="P703" s="44"/>
    </row>
    <row r="704" spans="1:16" x14ac:dyDescent="0.25">
      <c r="A704" t="str">
        <f t="shared" si="10"/>
        <v xml:space="preserve">ALR_ESTERNO_02-Allarme Esterno 02 </v>
      </c>
      <c r="B704" t="str">
        <f>VLOOKUP(A704,'EXPORT IRIS PROD 13-11-2024'!A:A,1,0)</f>
        <v xml:space="preserve">ALR_ESTERNO_02-Allarme Esterno 02 </v>
      </c>
      <c r="C704" t="str">
        <f>VLOOKUP(F704,'EXPORT IRIS PROD 13-11-2024'!F:F,1,0)</f>
        <v>ALR_ESTERNO_02</v>
      </c>
      <c r="D704" t="str">
        <f>VLOOKUP(G704,'EXPORT IRIS PROD 13-11-2024'!D:D,1,0)</f>
        <v xml:space="preserve">Allarme Esterno 02 </v>
      </c>
      <c r="E704" s="37" t="s">
        <v>85</v>
      </c>
      <c r="F704" s="38" t="s">
        <v>1297</v>
      </c>
      <c r="G704" s="45" t="s">
        <v>1298</v>
      </c>
      <c r="H704" s="46" t="s">
        <v>50</v>
      </c>
      <c r="I704" s="46" t="s">
        <v>1189</v>
      </c>
      <c r="J704" s="40" t="s">
        <v>21</v>
      </c>
      <c r="K704" s="41" t="s">
        <v>22</v>
      </c>
      <c r="L704" s="42" t="s">
        <v>23</v>
      </c>
      <c r="M704" s="43" t="s">
        <v>24</v>
      </c>
      <c r="N704" s="42" t="s">
        <v>25</v>
      </c>
      <c r="O704" s="42" t="s">
        <v>21</v>
      </c>
      <c r="P704" s="44"/>
    </row>
    <row r="705" spans="1:16" x14ac:dyDescent="0.25">
      <c r="A705" t="str">
        <f t="shared" si="10"/>
        <v>ALR_FATTIBILITA_CMD_DA_CAMPO-Allarme fattibilità comandi da campo</v>
      </c>
      <c r="B705" s="87" t="e">
        <f>VLOOKUP(A705,'EXPORT IRIS PROD 13-11-2024'!A:A,1,0)</f>
        <v>#N/A</v>
      </c>
      <c r="C705" t="str">
        <f>VLOOKUP(F705,'EXPORT IRIS PROD 13-11-2024'!F:F,1,0)</f>
        <v>ALR_FATTIBILITA_CMD_DA_CAMPO</v>
      </c>
      <c r="D705" s="87" t="e">
        <f>VLOOKUP(G705,'EXPORT IRIS PROD 13-11-2024'!D:D,1,0)</f>
        <v>#N/A</v>
      </c>
      <c r="E705" s="37" t="s">
        <v>85</v>
      </c>
      <c r="F705" s="38" t="s">
        <v>1299</v>
      </c>
      <c r="G705" s="45" t="s">
        <v>1300</v>
      </c>
      <c r="H705" s="46" t="s">
        <v>50</v>
      </c>
      <c r="I705" s="46" t="s">
        <v>124</v>
      </c>
      <c r="J705" s="40" t="s">
        <v>21</v>
      </c>
      <c r="K705" s="41" t="s">
        <v>22</v>
      </c>
      <c r="L705" s="42" t="s">
        <v>23</v>
      </c>
      <c r="M705" s="43" t="s">
        <v>24</v>
      </c>
      <c r="N705" s="42" t="s">
        <v>25</v>
      </c>
      <c r="O705" s="42" t="s">
        <v>21</v>
      </c>
      <c r="P705" s="44"/>
    </row>
    <row r="706" spans="1:16" x14ac:dyDescent="0.25">
      <c r="A706" t="str">
        <f t="shared" si="10"/>
        <v>ALR_FATTIBILITA_CMD_DA_SUPERVISIONE-Allarme fattibilità comandi da supervisione</v>
      </c>
      <c r="B706" t="str">
        <f>VLOOKUP(A706,'EXPORT IRIS PROD 13-11-2024'!A:A,1,0)</f>
        <v>ALR_FATTIBILITA_CMD_DA_SUPERVISIONE-Allarme fattibilità comandi da supervisione</v>
      </c>
      <c r="C706" t="str">
        <f>VLOOKUP(F706,'EXPORT IRIS PROD 13-11-2024'!F:F,1,0)</f>
        <v>ALR_FATTIBILITA_CMD_DA_SUPERVISIONE</v>
      </c>
      <c r="D706" t="str">
        <f>VLOOKUP(G706,'EXPORT IRIS PROD 13-11-2024'!D:D,1,0)</f>
        <v>Allarme fattibilità comandi da supervisione</v>
      </c>
      <c r="E706" s="37" t="s">
        <v>85</v>
      </c>
      <c r="F706" s="38" t="s">
        <v>1301</v>
      </c>
      <c r="G706" s="45" t="s">
        <v>1302</v>
      </c>
      <c r="H706" s="46" t="s">
        <v>50</v>
      </c>
      <c r="I706" s="46" t="s">
        <v>124</v>
      </c>
      <c r="J706" s="40" t="s">
        <v>21</v>
      </c>
      <c r="K706" s="41" t="s">
        <v>22</v>
      </c>
      <c r="L706" s="42" t="s">
        <v>23</v>
      </c>
      <c r="M706" s="43" t="s">
        <v>24</v>
      </c>
      <c r="N706" s="42" t="s">
        <v>25</v>
      </c>
      <c r="O706" s="42" t="s">
        <v>21</v>
      </c>
      <c r="P706" s="44"/>
    </row>
    <row r="707" spans="1:16" x14ac:dyDescent="0.25">
      <c r="A707" t="str">
        <f t="shared" ref="A707:A770" si="11">CONCATENATE(F707,"-",G707)</f>
        <v>ALR_FC-Allarme freccia-croce</v>
      </c>
      <c r="B707" t="str">
        <f>VLOOKUP(A707,'EXPORT IRIS PROD 13-11-2024'!A:A,1,0)</f>
        <v>ALR_FC-Allarme freccia-croce</v>
      </c>
      <c r="C707" t="str">
        <f>VLOOKUP(F707,'EXPORT IRIS PROD 13-11-2024'!F:F,1,0)</f>
        <v>ALR_FC</v>
      </c>
      <c r="D707" t="str">
        <f>VLOOKUP(G707,'EXPORT IRIS PROD 13-11-2024'!D:D,1,0)</f>
        <v>Allarme freccia-croce</v>
      </c>
      <c r="E707" s="37" t="s">
        <v>109</v>
      </c>
      <c r="F707" s="38" t="s">
        <v>1303</v>
      </c>
      <c r="G707" s="45" t="s">
        <v>1304</v>
      </c>
      <c r="H707" s="46" t="s">
        <v>111</v>
      </c>
      <c r="I707" s="46" t="s">
        <v>1100</v>
      </c>
      <c r="J707" s="40" t="s">
        <v>21</v>
      </c>
      <c r="K707" s="41" t="s">
        <v>22</v>
      </c>
      <c r="L707" s="42" t="s">
        <v>23</v>
      </c>
      <c r="M707" s="43" t="s">
        <v>24</v>
      </c>
      <c r="N707" s="42" t="s">
        <v>25</v>
      </c>
      <c r="O707" s="42" t="s">
        <v>21</v>
      </c>
      <c r="P707" s="44"/>
    </row>
    <row r="708" spans="1:16" x14ac:dyDescent="0.25">
      <c r="A708" t="str">
        <f t="shared" si="11"/>
        <v>ALR_FINECORSA_STACCO-Allarme finecorsa stacco</v>
      </c>
      <c r="B708" t="str">
        <f>VLOOKUP(A708,'EXPORT IRIS PROD 13-11-2024'!A:A,1,0)</f>
        <v>ALR_FINECORSA_STACCO-Allarme finecorsa stacco</v>
      </c>
      <c r="C708" t="str">
        <f>VLOOKUP(F708,'EXPORT IRIS PROD 13-11-2024'!F:F,1,0)</f>
        <v>ALR_FINECORSA_STACCO</v>
      </c>
      <c r="D708" t="str">
        <f>VLOOKUP(G708,'EXPORT IRIS PROD 13-11-2024'!D:D,1,0)</f>
        <v>Allarme finecorsa stacco</v>
      </c>
      <c r="E708" s="37" t="s">
        <v>85</v>
      </c>
      <c r="F708" s="38" t="s">
        <v>1305</v>
      </c>
      <c r="G708" s="45" t="s">
        <v>1306</v>
      </c>
      <c r="H708" s="46" t="s">
        <v>50</v>
      </c>
      <c r="I708" s="46" t="s">
        <v>124</v>
      </c>
      <c r="J708" s="40" t="s">
        <v>31</v>
      </c>
      <c r="K708" s="41" t="s">
        <v>32</v>
      </c>
      <c r="L708" s="42">
        <v>3</v>
      </c>
      <c r="M708" s="43" t="s">
        <v>33</v>
      </c>
      <c r="N708" s="42" t="s">
        <v>34</v>
      </c>
      <c r="O708" s="42" t="s">
        <v>31</v>
      </c>
      <c r="P708" s="44"/>
    </row>
    <row r="709" spans="1:16" x14ac:dyDescent="0.25">
      <c r="A709" t="str">
        <f t="shared" si="11"/>
        <v>ALR_FLUSSOSTATO-Allarme flussostato</v>
      </c>
      <c r="B709" t="str">
        <f>VLOOKUP(A709,'EXPORT IRIS PROD 13-11-2024'!A:A,1,0)</f>
        <v>ALR_FLUSSOSTATO-Allarme flussostato</v>
      </c>
      <c r="C709" t="str">
        <f>VLOOKUP(F709,'EXPORT IRIS PROD 13-11-2024'!F:F,1,0)</f>
        <v>ALR_FLUSSOSTATO</v>
      </c>
      <c r="D709" t="str">
        <f>VLOOKUP(G709,'EXPORT IRIS PROD 13-11-2024'!D:D,1,0)</f>
        <v>Allarme flussostato</v>
      </c>
      <c r="E709" s="37" t="s">
        <v>863</v>
      </c>
      <c r="F709" s="38" t="s">
        <v>1307</v>
      </c>
      <c r="G709" s="45" t="s">
        <v>1308</v>
      </c>
      <c r="H709" s="46" t="s">
        <v>274</v>
      </c>
      <c r="I709" s="46" t="s">
        <v>1309</v>
      </c>
      <c r="J709" s="40" t="s">
        <v>21</v>
      </c>
      <c r="K709" s="41" t="s">
        <v>22</v>
      </c>
      <c r="L709" s="42" t="s">
        <v>23</v>
      </c>
      <c r="M709" s="43" t="s">
        <v>24</v>
      </c>
      <c r="N709" s="42" t="s">
        <v>25</v>
      </c>
      <c r="O709" s="42" t="s">
        <v>21</v>
      </c>
      <c r="P709" s="44"/>
    </row>
    <row r="710" spans="1:16" x14ac:dyDescent="0.25">
      <c r="A710" t="str">
        <f t="shared" si="11"/>
        <v>ALR_FORZA_REMOTO-Allarme forzatura remoto</v>
      </c>
      <c r="B710" t="str">
        <f>VLOOKUP(A710,'EXPORT IRIS PROD 13-11-2024'!A:A,1,0)</f>
        <v>ALR_FORZA_REMOTO-Allarme forzatura remoto</v>
      </c>
      <c r="C710" t="str">
        <f>VLOOKUP(F710,'EXPORT IRIS PROD 13-11-2024'!F:F,1,0)</f>
        <v>ALR_FORZA_REMOTO</v>
      </c>
      <c r="D710" t="str">
        <f>VLOOKUP(G710,'EXPORT IRIS PROD 13-11-2024'!D:D,1,0)</f>
        <v>Allarme forzatura remoto</v>
      </c>
      <c r="E710" s="37" t="s">
        <v>16</v>
      </c>
      <c r="F710" s="38" t="s">
        <v>321</v>
      </c>
      <c r="G710" s="38" t="s">
        <v>322</v>
      </c>
      <c r="H710" s="39" t="s">
        <v>1142</v>
      </c>
      <c r="I710" s="39" t="s">
        <v>257</v>
      </c>
      <c r="J710" s="40" t="s">
        <v>21</v>
      </c>
      <c r="K710" s="41" t="s">
        <v>22</v>
      </c>
      <c r="L710" s="42" t="s">
        <v>23</v>
      </c>
      <c r="M710" s="43" t="s">
        <v>24</v>
      </c>
      <c r="N710" s="42" t="s">
        <v>25</v>
      </c>
      <c r="O710" s="42" t="s">
        <v>21</v>
      </c>
      <c r="P710" s="44"/>
    </row>
    <row r="711" spans="1:16" x14ac:dyDescent="0.25">
      <c r="A711" t="str">
        <f t="shared" si="11"/>
        <v>ALR_FREQUENZA_IN_USCITA-Allarme frequenza in uscita</v>
      </c>
      <c r="B711" t="str">
        <f>VLOOKUP(A711,'EXPORT IRIS PROD 13-11-2024'!A:A,1,0)</f>
        <v>ALR_FREQUENZA_IN_USCITA-Allarme frequenza in uscita</v>
      </c>
      <c r="C711" t="str">
        <f>VLOOKUP(F711,'EXPORT IRIS PROD 13-11-2024'!F:F,1,0)</f>
        <v>ALR_FREQUENZA_IN_USCITA</v>
      </c>
      <c r="D711" t="str">
        <f>VLOOKUP(G711,'EXPORT IRIS PROD 13-11-2024'!D:D,1,0)</f>
        <v>Allarme frequenza in uscita</v>
      </c>
      <c r="E711" s="37" t="s">
        <v>53</v>
      </c>
      <c r="F711" s="38" t="s">
        <v>1310</v>
      </c>
      <c r="G711" s="38" t="s">
        <v>1311</v>
      </c>
      <c r="H711" s="39" t="s">
        <v>56</v>
      </c>
      <c r="I711" s="39" t="s">
        <v>104</v>
      </c>
      <c r="J711" s="40" t="s">
        <v>21</v>
      </c>
      <c r="K711" s="41" t="s">
        <v>22</v>
      </c>
      <c r="L711" s="42" t="s">
        <v>23</v>
      </c>
      <c r="M711" s="43" t="s">
        <v>24</v>
      </c>
      <c r="N711" s="42" t="s">
        <v>25</v>
      </c>
      <c r="O711" s="42" t="s">
        <v>21</v>
      </c>
      <c r="P711" s="44"/>
    </row>
    <row r="712" spans="1:16" x14ac:dyDescent="0.25">
      <c r="A712" t="str">
        <f t="shared" si="11"/>
        <v>ALR_FUSIBILE_DA_QE-Allarme fusibile da QE</v>
      </c>
      <c r="B712" t="str">
        <f>VLOOKUP(A712,'EXPORT IRIS PROD 13-11-2024'!A:A,1,0)</f>
        <v>ALR_FUSIBILE_DA_QE-Allarme fusibile da QE</v>
      </c>
      <c r="C712" t="str">
        <f>VLOOKUP(F712,'EXPORT IRIS PROD 13-11-2024'!F:F,1,0)</f>
        <v>ALR_FUSIBILE_DA_QE</v>
      </c>
      <c r="D712" t="str">
        <f>VLOOKUP(G712,'EXPORT IRIS PROD 13-11-2024'!D:D,1,0)</f>
        <v>Allarme fusibile da QE</v>
      </c>
      <c r="E712" s="37" t="s">
        <v>1088</v>
      </c>
      <c r="F712" s="38" t="s">
        <v>1312</v>
      </c>
      <c r="G712" s="45" t="s">
        <v>1313</v>
      </c>
      <c r="H712" s="46" t="s">
        <v>1113</v>
      </c>
      <c r="I712" s="46" t="s">
        <v>1091</v>
      </c>
      <c r="J712" s="40" t="s">
        <v>21</v>
      </c>
      <c r="K712" s="41" t="s">
        <v>22</v>
      </c>
      <c r="L712" s="42" t="s">
        <v>23</v>
      </c>
      <c r="M712" s="43" t="s">
        <v>24</v>
      </c>
      <c r="N712" s="42" t="s">
        <v>25</v>
      </c>
      <c r="O712" s="42" t="s">
        <v>21</v>
      </c>
      <c r="P712" s="44"/>
    </row>
    <row r="713" spans="1:16" x14ac:dyDescent="0.25">
      <c r="A713" t="str">
        <f t="shared" si="11"/>
        <v>ALR_FUSIBILE_DA_QE-Allarme fusibile da QE</v>
      </c>
      <c r="B713" t="str">
        <f>VLOOKUP(A713,'EXPORT IRIS PROD 13-11-2024'!A:A,1,0)</f>
        <v>ALR_FUSIBILE_DA_QE-Allarme fusibile da QE</v>
      </c>
      <c r="C713" t="str">
        <f>VLOOKUP(F713,'EXPORT IRIS PROD 13-11-2024'!F:F,1,0)</f>
        <v>ALR_FUSIBILE_DA_QE</v>
      </c>
      <c r="D713" t="str">
        <f>VLOOKUP(G713,'EXPORT IRIS PROD 13-11-2024'!D:D,1,0)</f>
        <v>Allarme fusibile da QE</v>
      </c>
      <c r="E713" s="37" t="s">
        <v>53</v>
      </c>
      <c r="F713" s="38" t="s">
        <v>1312</v>
      </c>
      <c r="G713" s="45" t="s">
        <v>1313</v>
      </c>
      <c r="H713" s="46" t="s">
        <v>1106</v>
      </c>
      <c r="I713" s="46" t="s">
        <v>114</v>
      </c>
      <c r="J713" s="40" t="s">
        <v>21</v>
      </c>
      <c r="K713" s="41" t="s">
        <v>22</v>
      </c>
      <c r="L713" s="42" t="s">
        <v>23</v>
      </c>
      <c r="M713" s="43" t="s">
        <v>24</v>
      </c>
      <c r="N713" s="42" t="s">
        <v>25</v>
      </c>
      <c r="O713" s="42" t="s">
        <v>21</v>
      </c>
      <c r="P713" s="44"/>
    </row>
    <row r="714" spans="1:16" x14ac:dyDescent="0.25">
      <c r="A714" t="str">
        <f t="shared" si="11"/>
        <v>ALR_FUSIBILE_DA_TR-Allarme fusibile da TR</v>
      </c>
      <c r="B714" t="str">
        <f>VLOOKUP(A714,'EXPORT IRIS PROD 13-11-2024'!A:A,1,0)</f>
        <v>ALR_FUSIBILE_DA_TR-Allarme fusibile da TR</v>
      </c>
      <c r="C714" t="str">
        <f>VLOOKUP(F714,'EXPORT IRIS PROD 13-11-2024'!F:F,1,0)</f>
        <v>ALR_FUSIBILE_DA_TR</v>
      </c>
      <c r="D714" t="str">
        <f>VLOOKUP(G714,'EXPORT IRIS PROD 13-11-2024'!D:D,1,0)</f>
        <v>Allarme fusibile da TR</v>
      </c>
      <c r="E714" s="37" t="s">
        <v>53</v>
      </c>
      <c r="F714" s="38" t="s">
        <v>1314</v>
      </c>
      <c r="G714" s="45" t="s">
        <v>1315</v>
      </c>
      <c r="H714" s="46" t="s">
        <v>1106</v>
      </c>
      <c r="I714" s="46" t="s">
        <v>1316</v>
      </c>
      <c r="J714" s="40" t="s">
        <v>21</v>
      </c>
      <c r="K714" s="41" t="s">
        <v>22</v>
      </c>
      <c r="L714" s="42" t="s">
        <v>23</v>
      </c>
      <c r="M714" s="43" t="s">
        <v>24</v>
      </c>
      <c r="N714" s="42" t="s">
        <v>25</v>
      </c>
      <c r="O714" s="42" t="s">
        <v>21</v>
      </c>
      <c r="P714" s="44"/>
    </row>
    <row r="715" spans="1:16" x14ac:dyDescent="0.25">
      <c r="A715" t="str">
        <f t="shared" si="11"/>
        <v>ALR_GE_SOVRACCARICO-Allarme GE sovraccarico</v>
      </c>
      <c r="B715" t="str">
        <f>VLOOKUP(A715,'EXPORT IRIS PROD 13-11-2024'!A:A,1,0)</f>
        <v>ALR_GE_SOVRACCARICO-Allarme GE sovraccarico</v>
      </c>
      <c r="C715" t="str">
        <f>VLOOKUP(F715,'EXPORT IRIS PROD 13-11-2024'!F:F,1,0)</f>
        <v>ALR_GE_SOVRACCARICO</v>
      </c>
      <c r="D715" t="str">
        <f>VLOOKUP(G715,'EXPORT IRIS PROD 13-11-2024'!D:D,1,0)</f>
        <v>Allarme GE sovraccarico</v>
      </c>
      <c r="E715" s="37" t="s">
        <v>53</v>
      </c>
      <c r="F715" s="38" t="s">
        <v>1317</v>
      </c>
      <c r="G715" s="38" t="s">
        <v>1318</v>
      </c>
      <c r="H715" s="39" t="s">
        <v>56</v>
      </c>
      <c r="I715" s="39" t="s">
        <v>57</v>
      </c>
      <c r="J715" s="40" t="s">
        <v>21</v>
      </c>
      <c r="K715" s="41" t="s">
        <v>22</v>
      </c>
      <c r="L715" s="42" t="s">
        <v>23</v>
      </c>
      <c r="M715" s="43" t="s">
        <v>24</v>
      </c>
      <c r="N715" s="42" t="s">
        <v>25</v>
      </c>
      <c r="O715" s="42" t="s">
        <v>21</v>
      </c>
      <c r="P715" s="44"/>
    </row>
    <row r="716" spans="1:16" x14ac:dyDescent="0.25">
      <c r="A716" t="str">
        <f t="shared" si="11"/>
        <v>ALR_GENERALE_2_IMP-Allarme generale dispositivo</v>
      </c>
      <c r="B716" t="str">
        <f>VLOOKUP(A716,'EXPORT IRIS PROD 13-11-2024'!A:A,1,0)</f>
        <v>ALR_GENERALE_2_IMP-Allarme generale dispositivo</v>
      </c>
      <c r="C716" t="str">
        <f>VLOOKUP(F716,'EXPORT IRIS PROD 13-11-2024'!F:F,1,0)</f>
        <v>ALR_GENERALE_2_IMP</v>
      </c>
      <c r="D716" t="str">
        <f>VLOOKUP(G716,'EXPORT IRIS PROD 13-11-2024'!D:D,1,0)</f>
        <v>Allarme generale dispositivo</v>
      </c>
      <c r="E716" s="37" t="s">
        <v>85</v>
      </c>
      <c r="F716" s="38" t="s">
        <v>348</v>
      </c>
      <c r="G716" s="45" t="s">
        <v>347</v>
      </c>
      <c r="H716" s="46" t="s">
        <v>1319</v>
      </c>
      <c r="I716" s="46" t="s">
        <v>124</v>
      </c>
      <c r="J716" s="40" t="s">
        <v>21</v>
      </c>
      <c r="K716" s="41" t="s">
        <v>22</v>
      </c>
      <c r="L716" s="42" t="s">
        <v>23</v>
      </c>
      <c r="M716" s="43" t="s">
        <v>24</v>
      </c>
      <c r="N716" s="42" t="s">
        <v>25</v>
      </c>
      <c r="O716" s="42" t="s">
        <v>21</v>
      </c>
      <c r="P716" s="44"/>
    </row>
    <row r="717" spans="1:16" x14ac:dyDescent="0.25">
      <c r="A717" t="str">
        <f t="shared" si="11"/>
        <v>ALR_GENERALE_2_IMP-Allarme generale dispositivo</v>
      </c>
      <c r="B717" t="str">
        <f>VLOOKUP(A717,'EXPORT IRIS PROD 13-11-2024'!A:A,1,0)</f>
        <v>ALR_GENERALE_2_IMP-Allarme generale dispositivo</v>
      </c>
      <c r="C717" t="str">
        <f>VLOOKUP(F717,'EXPORT IRIS PROD 13-11-2024'!F:F,1,0)</f>
        <v>ALR_GENERALE_2_IMP</v>
      </c>
      <c r="D717" t="str">
        <f>VLOOKUP(G717,'EXPORT IRIS PROD 13-11-2024'!D:D,1,0)</f>
        <v>Allarme generale dispositivo</v>
      </c>
      <c r="E717" s="37" t="s">
        <v>105</v>
      </c>
      <c r="F717" s="38" t="s">
        <v>348</v>
      </c>
      <c r="G717" s="45" t="s">
        <v>347</v>
      </c>
      <c r="H717" s="46" t="s">
        <v>274</v>
      </c>
      <c r="I717" s="46" t="s">
        <v>1258</v>
      </c>
      <c r="J717" s="40" t="s">
        <v>21</v>
      </c>
      <c r="K717" s="41" t="s">
        <v>22</v>
      </c>
      <c r="L717" s="42" t="s">
        <v>23</v>
      </c>
      <c r="M717" s="43" t="s">
        <v>24</v>
      </c>
      <c r="N717" s="42" t="s">
        <v>25</v>
      </c>
      <c r="O717" s="42" t="s">
        <v>21</v>
      </c>
      <c r="P717" s="44"/>
    </row>
    <row r="718" spans="1:16" x14ac:dyDescent="0.25">
      <c r="A718" t="str">
        <f t="shared" si="11"/>
        <v>ALR_GENERALE_2_IMP-Allarme generale dispositivo</v>
      </c>
      <c r="B718" t="str">
        <f>VLOOKUP(A718,'EXPORT IRIS PROD 13-11-2024'!A:A,1,0)</f>
        <v>ALR_GENERALE_2_IMP-Allarme generale dispositivo</v>
      </c>
      <c r="C718" t="str">
        <f>VLOOKUP(F718,'EXPORT IRIS PROD 13-11-2024'!F:F,1,0)</f>
        <v>ALR_GENERALE_2_IMP</v>
      </c>
      <c r="D718" t="str">
        <f>VLOOKUP(G718,'EXPORT IRIS PROD 13-11-2024'!D:D,1,0)</f>
        <v>Allarme generale dispositivo</v>
      </c>
      <c r="E718" s="37" t="s">
        <v>115</v>
      </c>
      <c r="F718" s="38" t="s">
        <v>348</v>
      </c>
      <c r="G718" s="45" t="s">
        <v>347</v>
      </c>
      <c r="H718" s="46" t="s">
        <v>1142</v>
      </c>
      <c r="I718" s="46" t="s">
        <v>715</v>
      </c>
      <c r="J718" s="40" t="s">
        <v>21</v>
      </c>
      <c r="K718" s="41" t="s">
        <v>22</v>
      </c>
      <c r="L718" s="42" t="s">
        <v>23</v>
      </c>
      <c r="M718" s="43" t="s">
        <v>24</v>
      </c>
      <c r="N718" s="42" t="s">
        <v>25</v>
      </c>
      <c r="O718" s="42" t="s">
        <v>21</v>
      </c>
      <c r="P718" s="44"/>
    </row>
    <row r="719" spans="1:16" x14ac:dyDescent="0.25">
      <c r="A719" t="str">
        <f t="shared" si="11"/>
        <v>ALR_GENERALE_2_IMP-Allarme generale dispositivo</v>
      </c>
      <c r="B719" t="str">
        <f>VLOOKUP(A719,'EXPORT IRIS PROD 13-11-2024'!A:A,1,0)</f>
        <v>ALR_GENERALE_2_IMP-Allarme generale dispositivo</v>
      </c>
      <c r="C719" t="str">
        <f>VLOOKUP(F719,'EXPORT IRIS PROD 13-11-2024'!F:F,1,0)</f>
        <v>ALR_GENERALE_2_IMP</v>
      </c>
      <c r="D719" t="str">
        <f>VLOOKUP(G719,'EXPORT IRIS PROD 13-11-2024'!D:D,1,0)</f>
        <v>Allarme generale dispositivo</v>
      </c>
      <c r="E719" s="37" t="s">
        <v>115</v>
      </c>
      <c r="F719" s="38" t="s">
        <v>348</v>
      </c>
      <c r="G719" s="45" t="s">
        <v>347</v>
      </c>
      <c r="H719" s="46" t="s">
        <v>1142</v>
      </c>
      <c r="I719" s="46" t="s">
        <v>1286</v>
      </c>
      <c r="J719" s="40" t="s">
        <v>21</v>
      </c>
      <c r="K719" s="41" t="s">
        <v>22</v>
      </c>
      <c r="L719" s="42" t="s">
        <v>23</v>
      </c>
      <c r="M719" s="43" t="s">
        <v>24</v>
      </c>
      <c r="N719" s="42" t="s">
        <v>25</v>
      </c>
      <c r="O719" s="42" t="s">
        <v>21</v>
      </c>
      <c r="P719" s="44"/>
    </row>
    <row r="720" spans="1:16" x14ac:dyDescent="0.25">
      <c r="A720" t="str">
        <f t="shared" si="11"/>
        <v>ALR_GENERALE_2_IMP-Allarme generale dispositivo</v>
      </c>
      <c r="B720" t="str">
        <f>VLOOKUP(A720,'EXPORT IRIS PROD 13-11-2024'!A:A,1,0)</f>
        <v>ALR_GENERALE_2_IMP-Allarme generale dispositivo</v>
      </c>
      <c r="C720" t="str">
        <f>VLOOKUP(F720,'EXPORT IRIS PROD 13-11-2024'!F:F,1,0)</f>
        <v>ALR_GENERALE_2_IMP</v>
      </c>
      <c r="D720" t="str">
        <f>VLOOKUP(G720,'EXPORT IRIS PROD 13-11-2024'!D:D,1,0)</f>
        <v>Allarme generale dispositivo</v>
      </c>
      <c r="E720" s="37" t="s">
        <v>89</v>
      </c>
      <c r="F720" s="38" t="s">
        <v>348</v>
      </c>
      <c r="G720" s="45" t="s">
        <v>347</v>
      </c>
      <c r="H720" s="46" t="s">
        <v>29</v>
      </c>
      <c r="I720" s="46" t="s">
        <v>1320</v>
      </c>
      <c r="J720" s="40" t="s">
        <v>21</v>
      </c>
      <c r="K720" s="41" t="s">
        <v>22</v>
      </c>
      <c r="L720" s="42" t="s">
        <v>23</v>
      </c>
      <c r="M720" s="43" t="s">
        <v>24</v>
      </c>
      <c r="N720" s="42" t="s">
        <v>25</v>
      </c>
      <c r="O720" s="42" t="s">
        <v>21</v>
      </c>
      <c r="P720" s="44"/>
    </row>
    <row r="721" spans="1:16" x14ac:dyDescent="0.25">
      <c r="A721" t="str">
        <f t="shared" si="11"/>
        <v>ALR_GENERALE_2_IMP-Allarme generale dispositivo</v>
      </c>
      <c r="B721" t="str">
        <f>VLOOKUP(A721,'EXPORT IRIS PROD 13-11-2024'!A:A,1,0)</f>
        <v>ALR_GENERALE_2_IMP-Allarme generale dispositivo</v>
      </c>
      <c r="C721" t="str">
        <f>VLOOKUP(F721,'EXPORT IRIS PROD 13-11-2024'!F:F,1,0)</f>
        <v>ALR_GENERALE_2_IMP</v>
      </c>
      <c r="D721" t="str">
        <f>VLOOKUP(G721,'EXPORT IRIS PROD 13-11-2024'!D:D,1,0)</f>
        <v>Allarme generale dispositivo</v>
      </c>
      <c r="E721" s="37" t="s">
        <v>89</v>
      </c>
      <c r="F721" s="38" t="s">
        <v>348</v>
      </c>
      <c r="G721" s="45" t="s">
        <v>347</v>
      </c>
      <c r="H721" s="46" t="s">
        <v>29</v>
      </c>
      <c r="I721" s="46" t="s">
        <v>1067</v>
      </c>
      <c r="J721" s="40" t="s">
        <v>21</v>
      </c>
      <c r="K721" s="41" t="s">
        <v>22</v>
      </c>
      <c r="L721" s="42" t="s">
        <v>23</v>
      </c>
      <c r="M721" s="43" t="s">
        <v>24</v>
      </c>
      <c r="N721" s="42" t="s">
        <v>25</v>
      </c>
      <c r="O721" s="42" t="s">
        <v>21</v>
      </c>
      <c r="P721" s="44"/>
    </row>
    <row r="722" spans="1:16" x14ac:dyDescent="0.25">
      <c r="A722" t="str">
        <f t="shared" si="11"/>
        <v>ALR_GENERALE_2_IMP-Allarme generale dispositivo</v>
      </c>
      <c r="B722" t="str">
        <f>VLOOKUP(A722,'EXPORT IRIS PROD 13-11-2024'!A:A,1,0)</f>
        <v>ALR_GENERALE_2_IMP-Allarme generale dispositivo</v>
      </c>
      <c r="C722" t="str">
        <f>VLOOKUP(F722,'EXPORT IRIS PROD 13-11-2024'!F:F,1,0)</f>
        <v>ALR_GENERALE_2_IMP</v>
      </c>
      <c r="D722" t="str">
        <f>VLOOKUP(G722,'EXPORT IRIS PROD 13-11-2024'!D:D,1,0)</f>
        <v>Allarme generale dispositivo</v>
      </c>
      <c r="E722" s="37" t="s">
        <v>109</v>
      </c>
      <c r="F722" s="38" t="s">
        <v>348</v>
      </c>
      <c r="G722" s="45" t="s">
        <v>347</v>
      </c>
      <c r="H722" s="46" t="s">
        <v>111</v>
      </c>
      <c r="I722" s="46" t="s">
        <v>376</v>
      </c>
      <c r="J722" s="40" t="s">
        <v>21</v>
      </c>
      <c r="K722" s="41" t="s">
        <v>22</v>
      </c>
      <c r="L722" s="42" t="s">
        <v>23</v>
      </c>
      <c r="M722" s="43" t="s">
        <v>24</v>
      </c>
      <c r="N722" s="42" t="s">
        <v>25</v>
      </c>
      <c r="O722" s="42" t="s">
        <v>21</v>
      </c>
      <c r="P722" s="44"/>
    </row>
    <row r="723" spans="1:16" x14ac:dyDescent="0.25">
      <c r="A723" t="str">
        <f t="shared" si="11"/>
        <v>ALR_GENERALE_2_IMP-Allarme generale dispositivo</v>
      </c>
      <c r="B723" t="str">
        <f>VLOOKUP(A723,'EXPORT IRIS PROD 13-11-2024'!A:A,1,0)</f>
        <v>ALR_GENERALE_2_IMP-Allarme generale dispositivo</v>
      </c>
      <c r="C723" t="str">
        <f>VLOOKUP(F723,'EXPORT IRIS PROD 13-11-2024'!F:F,1,0)</f>
        <v>ALR_GENERALE_2_IMP</v>
      </c>
      <c r="D723" t="str">
        <f>VLOOKUP(G723,'EXPORT IRIS PROD 13-11-2024'!D:D,1,0)</f>
        <v>Allarme generale dispositivo</v>
      </c>
      <c r="E723" s="37" t="s">
        <v>863</v>
      </c>
      <c r="F723" s="38" t="s">
        <v>348</v>
      </c>
      <c r="G723" s="45" t="s">
        <v>347</v>
      </c>
      <c r="H723" s="46" t="s">
        <v>274</v>
      </c>
      <c r="I723" s="46" t="s">
        <v>1245</v>
      </c>
      <c r="J723" s="40" t="s">
        <v>21</v>
      </c>
      <c r="K723" s="41" t="s">
        <v>22</v>
      </c>
      <c r="L723" s="42" t="s">
        <v>23</v>
      </c>
      <c r="M723" s="43" t="s">
        <v>24</v>
      </c>
      <c r="N723" s="42" t="s">
        <v>25</v>
      </c>
      <c r="O723" s="42" t="s">
        <v>21</v>
      </c>
      <c r="P723" s="44"/>
    </row>
    <row r="724" spans="1:16" x14ac:dyDescent="0.25">
      <c r="A724" t="str">
        <f t="shared" si="11"/>
        <v>ALR_GENERALE_2_IMP-Allarme generale dispositivo</v>
      </c>
      <c r="B724" t="str">
        <f>VLOOKUP(A724,'EXPORT IRIS PROD 13-11-2024'!A:A,1,0)</f>
        <v>ALR_GENERALE_2_IMP-Allarme generale dispositivo</v>
      </c>
      <c r="C724" t="str">
        <f>VLOOKUP(F724,'EXPORT IRIS PROD 13-11-2024'!F:F,1,0)</f>
        <v>ALR_GENERALE_2_IMP</v>
      </c>
      <c r="D724" t="str">
        <f>VLOOKUP(G724,'EXPORT IRIS PROD 13-11-2024'!D:D,1,0)</f>
        <v>Allarme generale dispositivo</v>
      </c>
      <c r="E724" s="37" t="s">
        <v>85</v>
      </c>
      <c r="F724" s="38" t="s">
        <v>348</v>
      </c>
      <c r="G724" s="45" t="s">
        <v>347</v>
      </c>
      <c r="H724" s="46" t="s">
        <v>274</v>
      </c>
      <c r="I724" s="46" t="s">
        <v>1293</v>
      </c>
      <c r="J724" s="40" t="s">
        <v>21</v>
      </c>
      <c r="K724" s="41" t="s">
        <v>22</v>
      </c>
      <c r="L724" s="42" t="s">
        <v>23</v>
      </c>
      <c r="M724" s="43" t="s">
        <v>24</v>
      </c>
      <c r="N724" s="42" t="s">
        <v>25</v>
      </c>
      <c r="O724" s="42" t="s">
        <v>21</v>
      </c>
      <c r="P724" s="44"/>
    </row>
    <row r="725" spans="1:16" x14ac:dyDescent="0.25">
      <c r="A725" t="str">
        <f t="shared" si="11"/>
        <v>ALR_GENERALE_2_IMP-Allarme generale dispositivo</v>
      </c>
      <c r="B725" t="str">
        <f>VLOOKUP(A725,'EXPORT IRIS PROD 13-11-2024'!A:A,1,0)</f>
        <v>ALR_GENERALE_2_IMP-Allarme generale dispositivo</v>
      </c>
      <c r="C725" t="str">
        <f>VLOOKUP(F725,'EXPORT IRIS PROD 13-11-2024'!F:F,1,0)</f>
        <v>ALR_GENERALE_2_IMP</v>
      </c>
      <c r="D725" t="str">
        <f>VLOOKUP(G725,'EXPORT IRIS PROD 13-11-2024'!D:D,1,0)</f>
        <v>Allarme generale dispositivo</v>
      </c>
      <c r="E725" s="37" t="s">
        <v>863</v>
      </c>
      <c r="F725" s="38" t="s">
        <v>348</v>
      </c>
      <c r="G725" s="45" t="s">
        <v>347</v>
      </c>
      <c r="H725" s="46" t="s">
        <v>274</v>
      </c>
      <c r="I725" s="46" t="s">
        <v>1294</v>
      </c>
      <c r="J725" s="40" t="s">
        <v>21</v>
      </c>
      <c r="K725" s="41" t="s">
        <v>22</v>
      </c>
      <c r="L725" s="42" t="s">
        <v>23</v>
      </c>
      <c r="M725" s="43" t="s">
        <v>24</v>
      </c>
      <c r="N725" s="42" t="s">
        <v>25</v>
      </c>
      <c r="O725" s="42" t="s">
        <v>21</v>
      </c>
      <c r="P725" s="44"/>
    </row>
    <row r="726" spans="1:16" x14ac:dyDescent="0.25">
      <c r="A726" t="str">
        <f t="shared" si="11"/>
        <v>ALR_GENERALE_2_IMP-Allarme generale dispositivo</v>
      </c>
      <c r="B726" t="str">
        <f>VLOOKUP(A726,'EXPORT IRIS PROD 13-11-2024'!A:A,1,0)</f>
        <v>ALR_GENERALE_2_IMP-Allarme generale dispositivo</v>
      </c>
      <c r="C726" t="str">
        <f>VLOOKUP(F726,'EXPORT IRIS PROD 13-11-2024'!F:F,1,0)</f>
        <v>ALR_GENERALE_2_IMP</v>
      </c>
      <c r="D726" t="str">
        <f>VLOOKUP(G726,'EXPORT IRIS PROD 13-11-2024'!D:D,1,0)</f>
        <v>Allarme generale dispositivo</v>
      </c>
      <c r="E726" s="37" t="s">
        <v>109</v>
      </c>
      <c r="F726" s="38" t="s">
        <v>348</v>
      </c>
      <c r="G726" s="45" t="s">
        <v>347</v>
      </c>
      <c r="H726" s="46" t="s">
        <v>111</v>
      </c>
      <c r="I726" s="46" t="s">
        <v>1100</v>
      </c>
      <c r="J726" s="40" t="s">
        <v>21</v>
      </c>
      <c r="K726" s="41" t="s">
        <v>22</v>
      </c>
      <c r="L726" s="42" t="s">
        <v>23</v>
      </c>
      <c r="M726" s="43" t="s">
        <v>24</v>
      </c>
      <c r="N726" s="42" t="s">
        <v>25</v>
      </c>
      <c r="O726" s="42" t="s">
        <v>21</v>
      </c>
      <c r="P726" s="44"/>
    </row>
    <row r="727" spans="1:16" x14ac:dyDescent="0.25">
      <c r="A727" t="str">
        <f t="shared" si="11"/>
        <v>ALR_GENERALE_2_IMP-Allarme generale dispositivo</v>
      </c>
      <c r="B727" t="str">
        <f>VLOOKUP(A727,'EXPORT IRIS PROD 13-11-2024'!A:A,1,0)</f>
        <v>ALR_GENERALE_2_IMP-Allarme generale dispositivo</v>
      </c>
      <c r="C727" t="str">
        <f>VLOOKUP(F727,'EXPORT IRIS PROD 13-11-2024'!F:F,1,0)</f>
        <v>ALR_GENERALE_2_IMP</v>
      </c>
      <c r="D727" t="str">
        <f>VLOOKUP(G727,'EXPORT IRIS PROD 13-11-2024'!D:D,1,0)</f>
        <v>Allarme generale dispositivo</v>
      </c>
      <c r="E727" s="37" t="s">
        <v>198</v>
      </c>
      <c r="F727" s="38" t="s">
        <v>348</v>
      </c>
      <c r="G727" s="45" t="s">
        <v>347</v>
      </c>
      <c r="H727" s="46" t="s">
        <v>201</v>
      </c>
      <c r="I727" s="46" t="s">
        <v>1321</v>
      </c>
      <c r="J727" s="40" t="s">
        <v>21</v>
      </c>
      <c r="K727" s="41" t="s">
        <v>22</v>
      </c>
      <c r="L727" s="42" t="s">
        <v>23</v>
      </c>
      <c r="M727" s="43" t="s">
        <v>24</v>
      </c>
      <c r="N727" s="42" t="s">
        <v>25</v>
      </c>
      <c r="O727" s="42" t="s">
        <v>21</v>
      </c>
      <c r="P727" s="44"/>
    </row>
    <row r="728" spans="1:16" x14ac:dyDescent="0.25">
      <c r="A728" t="str">
        <f t="shared" si="11"/>
        <v>ALR_GENERALE_UPS_QCA-Allarme generale UPS da QCA</v>
      </c>
      <c r="B728" t="str">
        <f>VLOOKUP(A728,'EXPORT IRIS PROD 13-11-2024'!A:A,1,0)</f>
        <v>ALR_GENERALE_UPS_QCA-Allarme generale UPS da QCA</v>
      </c>
      <c r="C728" t="str">
        <f>VLOOKUP(F728,'EXPORT IRIS PROD 13-11-2024'!F:F,1,0)</f>
        <v>ALR_GENERALE_UPS_QCA</v>
      </c>
      <c r="D728" t="str">
        <f>VLOOKUP(G728,'EXPORT IRIS PROD 13-11-2024'!D:D,1,0)</f>
        <v>Allarme generale UPS da QCA</v>
      </c>
      <c r="E728" s="37" t="s">
        <v>53</v>
      </c>
      <c r="F728" s="38" t="s">
        <v>1322</v>
      </c>
      <c r="G728" s="45" t="s">
        <v>1323</v>
      </c>
      <c r="H728" s="46" t="s">
        <v>1106</v>
      </c>
      <c r="I728" s="46" t="s">
        <v>355</v>
      </c>
      <c r="J728" s="40" t="s">
        <v>21</v>
      </c>
      <c r="K728" s="41" t="s">
        <v>22</v>
      </c>
      <c r="L728" s="42" t="s">
        <v>23</v>
      </c>
      <c r="M728" s="43" t="s">
        <v>24</v>
      </c>
      <c r="N728" s="42" t="s">
        <v>25</v>
      </c>
      <c r="O728" s="42" t="s">
        <v>21</v>
      </c>
      <c r="P728" s="44"/>
    </row>
    <row r="729" spans="1:16" x14ac:dyDescent="0.25">
      <c r="A729" t="str">
        <f t="shared" si="11"/>
        <v>ALR_GUASTO_CENTRALINA_SENSORI-Allarme guasto centralina sensori</v>
      </c>
      <c r="B729" t="str">
        <f>VLOOKUP(A729,'EXPORT IRIS PROD 13-11-2024'!A:A,1,0)</f>
        <v>ALR_GUASTO_CENTRALINA_SENSORI-Allarme guasto centralina sensori</v>
      </c>
      <c r="C729" t="str">
        <f>VLOOKUP(F729,'EXPORT IRIS PROD 13-11-2024'!F:F,1,0)</f>
        <v>ALR_GUASTO_CENTRALINA_SENSORI</v>
      </c>
      <c r="D729" t="str">
        <f>VLOOKUP(G729,'EXPORT IRIS PROD 13-11-2024'!D:D,1,0)</f>
        <v>Allarme guasto centralina sensori</v>
      </c>
      <c r="E729" s="37" t="s">
        <v>85</v>
      </c>
      <c r="F729" s="38" t="s">
        <v>1324</v>
      </c>
      <c r="G729" s="45" t="s">
        <v>1325</v>
      </c>
      <c r="H729" s="46" t="s">
        <v>50</v>
      </c>
      <c r="I729" s="46" t="s">
        <v>1326</v>
      </c>
      <c r="J729" s="40" t="s">
        <v>21</v>
      </c>
      <c r="K729" s="41" t="s">
        <v>22</v>
      </c>
      <c r="L729" s="42" t="s">
        <v>23</v>
      </c>
      <c r="M729" s="43" t="s">
        <v>24</v>
      </c>
      <c r="N729" s="42" t="s">
        <v>25</v>
      </c>
      <c r="O729" s="42" t="s">
        <v>21</v>
      </c>
      <c r="P729" s="44"/>
    </row>
    <row r="730" spans="1:16" x14ac:dyDescent="0.25">
      <c r="A730" t="str">
        <f t="shared" si="11"/>
        <v>ALR_GUASTO_DRIVER-Allarme guasto driver</v>
      </c>
      <c r="B730" t="str">
        <f>VLOOKUP(A730,'EXPORT IRIS PROD 13-11-2024'!A:A,1,0)</f>
        <v>ALR_GUASTO_DRIVER-Allarme guasto driver</v>
      </c>
      <c r="C730" t="str">
        <f>VLOOKUP(F730,'EXPORT IRIS PROD 13-11-2024'!F:F,1,0)</f>
        <v>ALR_GUASTO_DRIVER</v>
      </c>
      <c r="D730" t="str">
        <f>VLOOKUP(G730,'EXPORT IRIS PROD 13-11-2024'!D:D,1,0)</f>
        <v>Allarme guasto driver</v>
      </c>
      <c r="E730" s="37" t="s">
        <v>115</v>
      </c>
      <c r="F730" s="38" t="s">
        <v>1327</v>
      </c>
      <c r="G730" s="45" t="s">
        <v>1328</v>
      </c>
      <c r="H730" s="46" t="s">
        <v>1142</v>
      </c>
      <c r="I730" s="46" t="s">
        <v>1286</v>
      </c>
      <c r="J730" s="40" t="s">
        <v>21</v>
      </c>
      <c r="K730" s="41" t="s">
        <v>22</v>
      </c>
      <c r="L730" s="42" t="s">
        <v>23</v>
      </c>
      <c r="M730" s="43" t="s">
        <v>24</v>
      </c>
      <c r="N730" s="42" t="s">
        <v>25</v>
      </c>
      <c r="O730" s="42" t="s">
        <v>21</v>
      </c>
      <c r="P730" s="44"/>
    </row>
    <row r="731" spans="1:16" x14ac:dyDescent="0.25">
      <c r="A731" t="str">
        <f t="shared" si="11"/>
        <v>ALR_GUASTO_LAMPADE-Allarme guasto lampade</v>
      </c>
      <c r="B731" t="str">
        <f>VLOOKUP(A731,'EXPORT IRIS PROD 13-11-2024'!A:A,1,0)</f>
        <v>ALR_GUASTO_LAMPADE-Allarme guasto lampade</v>
      </c>
      <c r="C731" t="str">
        <f>VLOOKUP(F731,'EXPORT IRIS PROD 13-11-2024'!F:F,1,0)</f>
        <v>ALR_GUASTO_LAMPADE</v>
      </c>
      <c r="D731" t="str">
        <f>VLOOKUP(G731,'EXPORT IRIS PROD 13-11-2024'!D:D,1,0)</f>
        <v>Allarme guasto lampade</v>
      </c>
      <c r="E731" s="37" t="s">
        <v>115</v>
      </c>
      <c r="F731" s="38" t="s">
        <v>1329</v>
      </c>
      <c r="G731" s="45" t="s">
        <v>1330</v>
      </c>
      <c r="H731" s="46" t="s">
        <v>1142</v>
      </c>
      <c r="I731" s="46" t="s">
        <v>1286</v>
      </c>
      <c r="J731" s="40" t="s">
        <v>21</v>
      </c>
      <c r="K731" s="41" t="s">
        <v>22</v>
      </c>
      <c r="L731" s="42" t="s">
        <v>23</v>
      </c>
      <c r="M731" s="43" t="s">
        <v>24</v>
      </c>
      <c r="N731" s="42" t="s">
        <v>25</v>
      </c>
      <c r="O731" s="42" t="s">
        <v>21</v>
      </c>
      <c r="P731" s="44"/>
    </row>
    <row r="732" spans="1:16" x14ac:dyDescent="0.25">
      <c r="A732" t="str">
        <f t="shared" si="11"/>
        <v>ALR_GUASTO_LAMPADE-Allarme guasto lampade</v>
      </c>
      <c r="B732" t="str">
        <f>VLOOKUP(A732,'EXPORT IRIS PROD 13-11-2024'!A:A,1,0)</f>
        <v>ALR_GUASTO_LAMPADE-Allarme guasto lampade</v>
      </c>
      <c r="C732" t="str">
        <f>VLOOKUP(F732,'EXPORT IRIS PROD 13-11-2024'!F:F,1,0)</f>
        <v>ALR_GUASTO_LAMPADE</v>
      </c>
      <c r="D732" t="str">
        <f>VLOOKUP(G732,'EXPORT IRIS PROD 13-11-2024'!D:D,1,0)</f>
        <v>Allarme guasto lampade</v>
      </c>
      <c r="E732" s="37" t="s">
        <v>863</v>
      </c>
      <c r="F732" s="38" t="s">
        <v>1329</v>
      </c>
      <c r="G732" s="45" t="s">
        <v>1330</v>
      </c>
      <c r="H732" s="46" t="s">
        <v>1331</v>
      </c>
      <c r="I732" s="46" t="s">
        <v>1332</v>
      </c>
      <c r="J732" s="40" t="s">
        <v>21</v>
      </c>
      <c r="K732" s="41" t="s">
        <v>22</v>
      </c>
      <c r="L732" s="42" t="s">
        <v>23</v>
      </c>
      <c r="M732" s="43" t="s">
        <v>24</v>
      </c>
      <c r="N732" s="42" t="s">
        <v>25</v>
      </c>
      <c r="O732" s="42" t="s">
        <v>21</v>
      </c>
      <c r="P732" s="44"/>
    </row>
    <row r="733" spans="1:16" x14ac:dyDescent="0.25">
      <c r="A733" t="str">
        <f t="shared" si="11"/>
        <v>ALR_GUASTO_SIRENA-Allarme guasto sirena</v>
      </c>
      <c r="B733" t="str">
        <f>VLOOKUP(A733,'EXPORT IRIS PROD 13-11-2024'!A:A,1,0)</f>
        <v>ALR_GUASTO_SIRENA-Allarme guasto sirena</v>
      </c>
      <c r="C733" t="str">
        <f>VLOOKUP(F733,'EXPORT IRIS PROD 13-11-2024'!F:F,1,0)</f>
        <v>ALR_GUASTO_SIRENA</v>
      </c>
      <c r="D733" t="str">
        <f>VLOOKUP(G733,'EXPORT IRIS PROD 13-11-2024'!D:D,1,0)</f>
        <v>Allarme guasto sirena</v>
      </c>
      <c r="E733" s="37" t="s">
        <v>105</v>
      </c>
      <c r="F733" s="38" t="s">
        <v>1333</v>
      </c>
      <c r="G733" s="45" t="s">
        <v>1334</v>
      </c>
      <c r="H733" s="46" t="s">
        <v>43</v>
      </c>
      <c r="I733" s="46" t="s">
        <v>44</v>
      </c>
      <c r="J733" s="40" t="s">
        <v>21</v>
      </c>
      <c r="K733" s="41" t="s">
        <v>22</v>
      </c>
      <c r="L733" s="42" t="s">
        <v>23</v>
      </c>
      <c r="M733" s="43" t="s">
        <v>157</v>
      </c>
      <c r="N733" s="42" t="s">
        <v>158</v>
      </c>
      <c r="O733" s="42" t="s">
        <v>21</v>
      </c>
      <c r="P733" s="44"/>
    </row>
    <row r="734" spans="1:16" x14ac:dyDescent="0.25">
      <c r="A734" t="str">
        <f t="shared" si="11"/>
        <v>ALR_GUASTO_TVCC-Allarme guasto telecamera</v>
      </c>
      <c r="B734" t="str">
        <f>VLOOKUP(A734,'EXPORT IRIS PROD 13-11-2024'!A:A,1,0)</f>
        <v>ALR_GUASTO_TVCC-Allarme guasto telecamera</v>
      </c>
      <c r="C734" t="str">
        <f>VLOOKUP(F734,'EXPORT IRIS PROD 13-11-2024'!F:F,1,0)</f>
        <v>ALR_GUASTO_TVCC</v>
      </c>
      <c r="D734" t="str">
        <f>VLOOKUP(G734,'EXPORT IRIS PROD 13-11-2024'!D:D,1,0)</f>
        <v>Allarme guasto telecamera</v>
      </c>
      <c r="E734" s="37" t="s">
        <v>198</v>
      </c>
      <c r="F734" s="38" t="s">
        <v>1335</v>
      </c>
      <c r="G734" s="45" t="s">
        <v>1336</v>
      </c>
      <c r="H734" s="46" t="s">
        <v>1337</v>
      </c>
      <c r="I734" s="46" t="s">
        <v>1338</v>
      </c>
      <c r="J734" s="40" t="s">
        <v>21</v>
      </c>
      <c r="K734" s="41" t="s">
        <v>22</v>
      </c>
      <c r="L734" s="42" t="s">
        <v>23</v>
      </c>
      <c r="M734" s="43" t="s">
        <v>24</v>
      </c>
      <c r="N734" s="42" t="s">
        <v>25</v>
      </c>
      <c r="O734" s="42" t="s">
        <v>21</v>
      </c>
      <c r="P734" s="44"/>
    </row>
    <row r="735" spans="1:16" x14ac:dyDescent="0.25">
      <c r="A735" t="str">
        <f t="shared" si="11"/>
        <v>ALR_GUASTO_VERSO_CE_NORD-Allarme guasto dispositivo verso cabina nord</v>
      </c>
      <c r="B735" t="str">
        <f>VLOOKUP(A735,'EXPORT IRIS PROD 13-11-2024'!A:A,1,0)</f>
        <v>ALR_GUASTO_VERSO_CE_NORD-Allarme guasto dispositivo verso cabina nord</v>
      </c>
      <c r="C735" t="str">
        <f>VLOOKUP(F735,'EXPORT IRIS PROD 13-11-2024'!F:F,1,0)</f>
        <v>ALR_GUASTO_VERSO_CE_NORD</v>
      </c>
      <c r="D735" t="str">
        <f>VLOOKUP(G735,'EXPORT IRIS PROD 13-11-2024'!D:D,1,0)</f>
        <v>Allarme guasto dispositivo verso cabina nord</v>
      </c>
      <c r="E735" s="37" t="s">
        <v>115</v>
      </c>
      <c r="F735" s="38" t="s">
        <v>1339</v>
      </c>
      <c r="G735" s="45" t="s">
        <v>1340</v>
      </c>
      <c r="H735" s="46" t="s">
        <v>1142</v>
      </c>
      <c r="I735" s="46" t="s">
        <v>715</v>
      </c>
      <c r="J735" s="40" t="s">
        <v>21</v>
      </c>
      <c r="K735" s="41" t="s">
        <v>22</v>
      </c>
      <c r="L735" s="42" t="s">
        <v>23</v>
      </c>
      <c r="M735" s="43" t="s">
        <v>24</v>
      </c>
      <c r="N735" s="42" t="s">
        <v>25</v>
      </c>
      <c r="O735" s="42" t="s">
        <v>21</v>
      </c>
      <c r="P735" s="44"/>
    </row>
    <row r="736" spans="1:16" x14ac:dyDescent="0.25">
      <c r="A736" t="str">
        <f t="shared" si="11"/>
        <v>ALR_GUASTO_VERSO_CE_NORD-Allarme guasto dispositivo verso cabina nord</v>
      </c>
      <c r="B736" t="str">
        <f>VLOOKUP(A736,'EXPORT IRIS PROD 13-11-2024'!A:A,1,0)</f>
        <v>ALR_GUASTO_VERSO_CE_NORD-Allarme guasto dispositivo verso cabina nord</v>
      </c>
      <c r="C736" t="str">
        <f>VLOOKUP(F736,'EXPORT IRIS PROD 13-11-2024'!F:F,1,0)</f>
        <v>ALR_GUASTO_VERSO_CE_NORD</v>
      </c>
      <c r="D736" t="str">
        <f>VLOOKUP(G736,'EXPORT IRIS PROD 13-11-2024'!D:D,1,0)</f>
        <v>Allarme guasto dispositivo verso cabina nord</v>
      </c>
      <c r="E736" s="37" t="s">
        <v>16</v>
      </c>
      <c r="F736" s="38" t="s">
        <v>1339</v>
      </c>
      <c r="G736" s="45" t="s">
        <v>1340</v>
      </c>
      <c r="H736" s="46" t="s">
        <v>1156</v>
      </c>
      <c r="I736" s="46" t="s">
        <v>1147</v>
      </c>
      <c r="J736" s="40" t="s">
        <v>21</v>
      </c>
      <c r="K736" s="41" t="s">
        <v>22</v>
      </c>
      <c r="L736" s="42" t="s">
        <v>23</v>
      </c>
      <c r="M736" s="43" t="s">
        <v>24</v>
      </c>
      <c r="N736" s="42" t="s">
        <v>25</v>
      </c>
      <c r="O736" s="42" t="s">
        <v>21</v>
      </c>
      <c r="P736" s="44"/>
    </row>
    <row r="737" spans="1:16" x14ac:dyDescent="0.25">
      <c r="A737" t="str">
        <f t="shared" si="11"/>
        <v>ALR_GUASTO_VERSO_CE_SUD-Allarme guasto dispositivo verso cabina sud</v>
      </c>
      <c r="B737" t="str">
        <f>VLOOKUP(A737,'EXPORT IRIS PROD 13-11-2024'!A:A,1,0)</f>
        <v>ALR_GUASTO_VERSO_CE_SUD-Allarme guasto dispositivo verso cabina sud</v>
      </c>
      <c r="C737" t="str">
        <f>VLOOKUP(F737,'EXPORT IRIS PROD 13-11-2024'!F:F,1,0)</f>
        <v>ALR_GUASTO_VERSO_CE_SUD</v>
      </c>
      <c r="D737" t="str">
        <f>VLOOKUP(G737,'EXPORT IRIS PROD 13-11-2024'!D:D,1,0)</f>
        <v>Allarme guasto dispositivo verso cabina sud</v>
      </c>
      <c r="E737" s="37" t="s">
        <v>115</v>
      </c>
      <c r="F737" s="38" t="s">
        <v>1341</v>
      </c>
      <c r="G737" s="45" t="s">
        <v>1342</v>
      </c>
      <c r="H737" s="46" t="s">
        <v>1142</v>
      </c>
      <c r="I737" s="46" t="s">
        <v>715</v>
      </c>
      <c r="J737" s="40" t="s">
        <v>21</v>
      </c>
      <c r="K737" s="41" t="s">
        <v>22</v>
      </c>
      <c r="L737" s="42" t="s">
        <v>23</v>
      </c>
      <c r="M737" s="43" t="s">
        <v>24</v>
      </c>
      <c r="N737" s="42" t="s">
        <v>25</v>
      </c>
      <c r="O737" s="42" t="s">
        <v>21</v>
      </c>
      <c r="P737" s="44"/>
    </row>
    <row r="738" spans="1:16" x14ac:dyDescent="0.25">
      <c r="A738" t="str">
        <f t="shared" si="11"/>
        <v>ALR_GUASTO_VERSO_CE_SUD-Allarme guasto dispositivo verso cabina sud</v>
      </c>
      <c r="B738" t="str">
        <f>VLOOKUP(A738,'EXPORT IRIS PROD 13-11-2024'!A:A,1,0)</f>
        <v>ALR_GUASTO_VERSO_CE_SUD-Allarme guasto dispositivo verso cabina sud</v>
      </c>
      <c r="C738" t="str">
        <f>VLOOKUP(F738,'EXPORT IRIS PROD 13-11-2024'!F:F,1,0)</f>
        <v>ALR_GUASTO_VERSO_CE_SUD</v>
      </c>
      <c r="D738" t="str">
        <f>VLOOKUP(G738,'EXPORT IRIS PROD 13-11-2024'!D:D,1,0)</f>
        <v>Allarme guasto dispositivo verso cabina sud</v>
      </c>
      <c r="E738" s="37" t="s">
        <v>16</v>
      </c>
      <c r="F738" s="38" t="s">
        <v>1341</v>
      </c>
      <c r="G738" s="45" t="s">
        <v>1342</v>
      </c>
      <c r="H738" s="46" t="s">
        <v>1156</v>
      </c>
      <c r="I738" s="46" t="s">
        <v>1147</v>
      </c>
      <c r="J738" s="40" t="s">
        <v>21</v>
      </c>
      <c r="K738" s="41" t="s">
        <v>22</v>
      </c>
      <c r="L738" s="42" t="s">
        <v>23</v>
      </c>
      <c r="M738" s="43" t="s">
        <v>24</v>
      </c>
      <c r="N738" s="42" t="s">
        <v>25</v>
      </c>
      <c r="O738" s="42" t="s">
        <v>21</v>
      </c>
      <c r="P738" s="44"/>
    </row>
    <row r="739" spans="1:16" x14ac:dyDescent="0.25">
      <c r="A739" t="str">
        <f t="shared" si="11"/>
        <v>ALR_INCENDIO_ALTRA_CANNA-Allarme incendio altra canna</v>
      </c>
      <c r="B739" t="str">
        <f>VLOOKUP(A739,'EXPORT IRIS PROD 13-11-2024'!A:A,1,0)</f>
        <v>ALR_INCENDIO_ALTRA_CANNA-Allarme incendio altra canna</v>
      </c>
      <c r="C739" t="str">
        <f>VLOOKUP(F739,'EXPORT IRIS PROD 13-11-2024'!F:F,1,0)</f>
        <v>ALR_INCENDIO_ALTRA_CANNA</v>
      </c>
      <c r="D739" t="str">
        <f>VLOOKUP(G739,'EXPORT IRIS PROD 13-11-2024'!D:D,1,0)</f>
        <v>Allarme incendio altra canna</v>
      </c>
      <c r="E739" s="37" t="s">
        <v>40</v>
      </c>
      <c r="F739" s="38" t="s">
        <v>1343</v>
      </c>
      <c r="G739" s="45" t="s">
        <v>1344</v>
      </c>
      <c r="H739" s="46" t="s">
        <v>43</v>
      </c>
      <c r="I739" s="46" t="s">
        <v>394</v>
      </c>
      <c r="J739" s="47" t="s">
        <v>31</v>
      </c>
      <c r="K739" s="48" t="s">
        <v>32</v>
      </c>
      <c r="L739" s="43">
        <v>2</v>
      </c>
      <c r="M739" s="43" t="s">
        <v>45</v>
      </c>
      <c r="N739" s="43" t="s">
        <v>46</v>
      </c>
      <c r="O739" s="43" t="s">
        <v>31</v>
      </c>
      <c r="P739" s="49"/>
    </row>
    <row r="740" spans="1:16" x14ac:dyDescent="0.25">
      <c r="A740" t="str">
        <f t="shared" si="11"/>
        <v>ALR_INCENDIO_DA_FORZATURA-Allarme incendio in galleria da forzatura</v>
      </c>
      <c r="B740" t="str">
        <f>VLOOKUP(A740,'EXPORT IRIS PROD 13-11-2024'!A:A,1,0)</f>
        <v>ALR_INCENDIO_DA_FORZATURA-Allarme incendio in galleria da forzatura</v>
      </c>
      <c r="C740" t="str">
        <f>VLOOKUP(F740,'EXPORT IRIS PROD 13-11-2024'!F:F,1,0)</f>
        <v>ALR_INCENDIO_DA_FORZATURA</v>
      </c>
      <c r="D740" t="str">
        <f>VLOOKUP(G740,'EXPORT IRIS PROD 13-11-2024'!D:D,1,0)</f>
        <v>Allarme incendio in galleria da forzatura</v>
      </c>
      <c r="E740" s="37" t="s">
        <v>40</v>
      </c>
      <c r="F740" s="38" t="s">
        <v>1345</v>
      </c>
      <c r="G740" s="45" t="s">
        <v>1346</v>
      </c>
      <c r="H740" s="46" t="s">
        <v>43</v>
      </c>
      <c r="I740" s="46" t="s">
        <v>1347</v>
      </c>
      <c r="J740" s="47" t="s">
        <v>31</v>
      </c>
      <c r="K740" s="48" t="s">
        <v>32</v>
      </c>
      <c r="L740" s="43">
        <v>2</v>
      </c>
      <c r="M740" s="43" t="s">
        <v>45</v>
      </c>
      <c r="N740" s="43" t="s">
        <v>46</v>
      </c>
      <c r="O740" s="43" t="s">
        <v>31</v>
      </c>
      <c r="P740" s="49"/>
    </row>
    <row r="741" spans="1:16" x14ac:dyDescent="0.25">
      <c r="A741" t="str">
        <f t="shared" si="11"/>
        <v>ALR_INCENDIO_VENTILATORE-Allarme incendio ventilatore</v>
      </c>
      <c r="B741" t="str">
        <f>VLOOKUP(A741,'EXPORT IRIS PROD 13-11-2024'!A:A,1,0)</f>
        <v>ALR_INCENDIO_VENTILATORE-Allarme incendio ventilatore</v>
      </c>
      <c r="C741" t="str">
        <f>VLOOKUP(F741,'EXPORT IRIS PROD 13-11-2024'!F:F,1,0)</f>
        <v>ALR_INCENDIO_VENTILATORE</v>
      </c>
      <c r="D741" t="str">
        <f>VLOOKUP(G741,'EXPORT IRIS PROD 13-11-2024'!D:D,1,0)</f>
        <v>Allarme incendio ventilatore</v>
      </c>
      <c r="E741" s="37" t="s">
        <v>280</v>
      </c>
      <c r="F741" s="38" t="s">
        <v>1348</v>
      </c>
      <c r="G741" s="45" t="s">
        <v>1349</v>
      </c>
      <c r="H741" s="46" t="s">
        <v>50</v>
      </c>
      <c r="I741" s="46" t="s">
        <v>124</v>
      </c>
      <c r="J741" s="40" t="s">
        <v>21</v>
      </c>
      <c r="K741" s="41" t="s">
        <v>22</v>
      </c>
      <c r="L741" s="42" t="s">
        <v>23</v>
      </c>
      <c r="M741" s="43" t="s">
        <v>24</v>
      </c>
      <c r="N741" s="42" t="s">
        <v>25</v>
      </c>
      <c r="O741" s="42" t="s">
        <v>21</v>
      </c>
      <c r="P741" s="44"/>
    </row>
    <row r="742" spans="1:16" x14ac:dyDescent="0.25">
      <c r="A742" t="str">
        <f t="shared" si="11"/>
        <v xml:space="preserve">ALR_INCIDENTE_CORSIA_NORD-Allarme incidente corsia Nord </v>
      </c>
      <c r="B742" t="str">
        <f>VLOOKUP(A742,'EXPORT IRIS PROD 13-11-2024'!A:A,1,0)</f>
        <v xml:space="preserve">ALR_INCIDENTE_CORSIA_NORD-Allarme incidente corsia Nord </v>
      </c>
      <c r="C742" t="str">
        <f>VLOOKUP(F742,'EXPORT IRIS PROD 13-11-2024'!F:F,1,0)</f>
        <v>ALR_INCIDENTE_CORSIA_NORD</v>
      </c>
      <c r="D742" t="str">
        <f>VLOOKUP(G742,'EXPORT IRIS PROD 13-11-2024'!D:D,1,0)</f>
        <v xml:space="preserve">Allarme incidente corsia Nord </v>
      </c>
      <c r="E742" s="37" t="s">
        <v>26</v>
      </c>
      <c r="F742" s="38" t="s">
        <v>1350</v>
      </c>
      <c r="G742" s="45" t="s">
        <v>1351</v>
      </c>
      <c r="H742" s="46" t="s">
        <v>29</v>
      </c>
      <c r="I742" s="46" t="s">
        <v>1067</v>
      </c>
      <c r="J742" s="47" t="s">
        <v>31</v>
      </c>
      <c r="K742" s="48" t="s">
        <v>32</v>
      </c>
      <c r="L742" s="43">
        <v>1</v>
      </c>
      <c r="M742" s="43" t="s">
        <v>33</v>
      </c>
      <c r="N742" s="43" t="s">
        <v>34</v>
      </c>
      <c r="O742" s="43" t="s">
        <v>31</v>
      </c>
      <c r="P742" s="44"/>
    </row>
    <row r="743" spans="1:16" x14ac:dyDescent="0.25">
      <c r="A743" t="str">
        <f t="shared" si="11"/>
        <v xml:space="preserve">ALR_INCIDENTE_CORSIA_SUD-Allarme incidente corsia Sud </v>
      </c>
      <c r="B743" t="str">
        <f>VLOOKUP(A743,'EXPORT IRIS PROD 13-11-2024'!A:A,1,0)</f>
        <v xml:space="preserve">ALR_INCIDENTE_CORSIA_SUD-Allarme incidente corsia Sud </v>
      </c>
      <c r="C743" t="str">
        <f>VLOOKUP(F743,'EXPORT IRIS PROD 13-11-2024'!F:F,1,0)</f>
        <v>ALR_INCIDENTE_CORSIA_SUD</v>
      </c>
      <c r="D743" t="str">
        <f>VLOOKUP(G743,'EXPORT IRIS PROD 13-11-2024'!D:D,1,0)</f>
        <v xml:space="preserve">Allarme incidente corsia Sud </v>
      </c>
      <c r="E743" s="37" t="s">
        <v>26</v>
      </c>
      <c r="F743" s="38" t="s">
        <v>1352</v>
      </c>
      <c r="G743" s="45" t="s">
        <v>1353</v>
      </c>
      <c r="H743" s="46" t="s">
        <v>29</v>
      </c>
      <c r="I743" s="46" t="s">
        <v>1067</v>
      </c>
      <c r="J743" s="47" t="s">
        <v>31</v>
      </c>
      <c r="K743" s="48" t="s">
        <v>32</v>
      </c>
      <c r="L743" s="43">
        <v>1</v>
      </c>
      <c r="M743" s="43" t="s">
        <v>33</v>
      </c>
      <c r="N743" s="43" t="s">
        <v>34</v>
      </c>
      <c r="O743" s="43" t="s">
        <v>31</v>
      </c>
      <c r="P743" s="44"/>
    </row>
    <row r="744" spans="1:16" x14ac:dyDescent="0.25">
      <c r="A744" t="str">
        <f t="shared" si="11"/>
        <v>ALR_INCIDENTE_DX-Allarme incidente lato destro</v>
      </c>
      <c r="B744" t="str">
        <f>VLOOKUP(A744,'EXPORT IRIS PROD 13-11-2024'!A:A,1,0)</f>
        <v>ALR_INCIDENTE_DX-Allarme incidente lato destro</v>
      </c>
      <c r="C744" t="str">
        <f>VLOOKUP(F744,'EXPORT IRIS PROD 13-11-2024'!F:F,1,0)</f>
        <v>ALR_INCIDENTE_DX</v>
      </c>
      <c r="D744" t="str">
        <f>VLOOKUP(G744,'EXPORT IRIS PROD 13-11-2024'!D:D,1,0)</f>
        <v>Allarme incidente lato destro</v>
      </c>
      <c r="E744" s="37" t="s">
        <v>26</v>
      </c>
      <c r="F744" s="38" t="s">
        <v>1354</v>
      </c>
      <c r="G744" s="45" t="s">
        <v>1355</v>
      </c>
      <c r="H744" s="46" t="s">
        <v>29</v>
      </c>
      <c r="I744" s="46" t="s">
        <v>1067</v>
      </c>
      <c r="J744" s="47" t="s">
        <v>31</v>
      </c>
      <c r="K744" s="48" t="s">
        <v>32</v>
      </c>
      <c r="L744" s="43">
        <v>1</v>
      </c>
      <c r="M744" s="43" t="s">
        <v>33</v>
      </c>
      <c r="N744" s="43" t="s">
        <v>34</v>
      </c>
      <c r="O744" s="43" t="s">
        <v>31</v>
      </c>
      <c r="P744" s="44"/>
    </row>
    <row r="745" spans="1:16" x14ac:dyDescent="0.25">
      <c r="A745" t="str">
        <f t="shared" si="11"/>
        <v>ALR_INCIDENTE_DX_QUADRI-Allarme incidente lato destro quadri</v>
      </c>
      <c r="B745" t="str">
        <f>VLOOKUP(A745,'EXPORT IRIS PROD 13-11-2024'!A:A,1,0)</f>
        <v>ALR_INCIDENTE_DX_QUADRI-Allarme incidente lato destro quadri</v>
      </c>
      <c r="C745" t="str">
        <f>VLOOKUP(F745,'EXPORT IRIS PROD 13-11-2024'!F:F,1,0)</f>
        <v>ALR_INCIDENTE_DX_QUADRI</v>
      </c>
      <c r="D745" t="str">
        <f>VLOOKUP(G745,'EXPORT IRIS PROD 13-11-2024'!D:D,1,0)</f>
        <v>Allarme incidente lato destro quadri</v>
      </c>
      <c r="E745" s="37" t="s">
        <v>26</v>
      </c>
      <c r="F745" s="38" t="s">
        <v>1356</v>
      </c>
      <c r="G745" s="45" t="s">
        <v>1357</v>
      </c>
      <c r="H745" s="46" t="s">
        <v>29</v>
      </c>
      <c r="I745" s="46" t="s">
        <v>1067</v>
      </c>
      <c r="J745" s="47" t="s">
        <v>31</v>
      </c>
      <c r="K745" s="48" t="s">
        <v>32</v>
      </c>
      <c r="L745" s="43">
        <v>1</v>
      </c>
      <c r="M745" s="43" t="s">
        <v>33</v>
      </c>
      <c r="N745" s="43" t="s">
        <v>34</v>
      </c>
      <c r="O745" s="43" t="s">
        <v>31</v>
      </c>
      <c r="P745" s="44"/>
    </row>
    <row r="746" spans="1:16" x14ac:dyDescent="0.25">
      <c r="A746" t="str">
        <f t="shared" si="11"/>
        <v>ALR_INCIDENTE_SX-Allarme incidente lato sinistro</v>
      </c>
      <c r="B746" t="str">
        <f>VLOOKUP(A746,'EXPORT IRIS PROD 13-11-2024'!A:A,1,0)</f>
        <v>ALR_INCIDENTE_SX-Allarme incidente lato sinistro</v>
      </c>
      <c r="C746" t="str">
        <f>VLOOKUP(F746,'EXPORT IRIS PROD 13-11-2024'!F:F,1,0)</f>
        <v>ALR_INCIDENTE_SX</v>
      </c>
      <c r="D746" t="str">
        <f>VLOOKUP(G746,'EXPORT IRIS PROD 13-11-2024'!D:D,1,0)</f>
        <v>Allarme incidente lato sinistro</v>
      </c>
      <c r="E746" s="37" t="s">
        <v>26</v>
      </c>
      <c r="F746" s="38" t="s">
        <v>1358</v>
      </c>
      <c r="G746" s="45" t="s">
        <v>1359</v>
      </c>
      <c r="H746" s="46" t="s">
        <v>29</v>
      </c>
      <c r="I746" s="46" t="s">
        <v>1067</v>
      </c>
      <c r="J746" s="47" t="s">
        <v>31</v>
      </c>
      <c r="K746" s="48" t="s">
        <v>32</v>
      </c>
      <c r="L746" s="43">
        <v>1</v>
      </c>
      <c r="M746" s="43" t="s">
        <v>33</v>
      </c>
      <c r="N746" s="43" t="s">
        <v>34</v>
      </c>
      <c r="O746" s="43" t="s">
        <v>31</v>
      </c>
      <c r="P746" s="44"/>
    </row>
    <row r="747" spans="1:16" x14ac:dyDescent="0.25">
      <c r="A747" t="str">
        <f t="shared" si="11"/>
        <v>ALR_INCIDENTE_SX_QUADRI-Allarme incidente lato sinistro quadri</v>
      </c>
      <c r="B747" t="str">
        <f>VLOOKUP(A747,'EXPORT IRIS PROD 13-11-2024'!A:A,1,0)</f>
        <v>ALR_INCIDENTE_SX_QUADRI-Allarme incidente lato sinistro quadri</v>
      </c>
      <c r="C747" t="str">
        <f>VLOOKUP(F747,'EXPORT IRIS PROD 13-11-2024'!F:F,1,0)</f>
        <v>ALR_INCIDENTE_SX_QUADRI</v>
      </c>
      <c r="D747" t="str">
        <f>VLOOKUP(G747,'EXPORT IRIS PROD 13-11-2024'!D:D,1,0)</f>
        <v>Allarme incidente lato sinistro quadri</v>
      </c>
      <c r="E747" s="37" t="s">
        <v>26</v>
      </c>
      <c r="F747" s="38" t="s">
        <v>1360</v>
      </c>
      <c r="G747" s="45" t="s">
        <v>1361</v>
      </c>
      <c r="H747" s="46" t="s">
        <v>29</v>
      </c>
      <c r="I747" s="46" t="s">
        <v>1067</v>
      </c>
      <c r="J747" s="47" t="s">
        <v>31</v>
      </c>
      <c r="K747" s="48" t="s">
        <v>32</v>
      </c>
      <c r="L747" s="43">
        <v>1</v>
      </c>
      <c r="M747" s="43" t="s">
        <v>33</v>
      </c>
      <c r="N747" s="43" t="s">
        <v>34</v>
      </c>
      <c r="O747" s="43" t="s">
        <v>31</v>
      </c>
      <c r="P747" s="44"/>
    </row>
    <row r="748" spans="1:16" x14ac:dyDescent="0.25">
      <c r="A748" t="str">
        <f t="shared" si="11"/>
        <v>ALR_INGR_ANALOGICO-Allarme ingresso analogico</v>
      </c>
      <c r="B748" t="str">
        <f>VLOOKUP(A748,'EXPORT IRIS PROD 13-11-2024'!A:A,1,0)</f>
        <v>ALR_INGR_ANALOGICO-Allarme ingresso analogico</v>
      </c>
      <c r="C748" t="str">
        <f>VLOOKUP(F748,'EXPORT IRIS PROD 13-11-2024'!F:F,1,0)</f>
        <v>ALR_INGR_ANALOGICO</v>
      </c>
      <c r="D748" t="str">
        <f>VLOOKUP(G748,'EXPORT IRIS PROD 13-11-2024'!D:D,1,0)</f>
        <v>Allarme ingresso analogico</v>
      </c>
      <c r="E748" s="37" t="s">
        <v>85</v>
      </c>
      <c r="F748" s="38" t="s">
        <v>1362</v>
      </c>
      <c r="G748" s="45" t="s">
        <v>1363</v>
      </c>
      <c r="H748" s="46" t="s">
        <v>50</v>
      </c>
      <c r="I748" s="46" t="s">
        <v>1189</v>
      </c>
      <c r="J748" s="40" t="s">
        <v>21</v>
      </c>
      <c r="K748" s="41" t="s">
        <v>22</v>
      </c>
      <c r="L748" s="42" t="s">
        <v>23</v>
      </c>
      <c r="M748" s="43" t="s">
        <v>24</v>
      </c>
      <c r="N748" s="42" t="s">
        <v>25</v>
      </c>
      <c r="O748" s="42" t="s">
        <v>21</v>
      </c>
      <c r="P748" s="44"/>
    </row>
    <row r="749" spans="1:16" x14ac:dyDescent="0.25">
      <c r="A749" t="str">
        <f t="shared" si="11"/>
        <v>ALR_INGR_ANALOGICO-Allarme ingresso analogico</v>
      </c>
      <c r="B749" t="str">
        <f>VLOOKUP(A749,'EXPORT IRIS PROD 13-11-2024'!A:A,1,0)</f>
        <v>ALR_INGR_ANALOGICO-Allarme ingresso analogico</v>
      </c>
      <c r="C749" t="str">
        <f>VLOOKUP(F749,'EXPORT IRIS PROD 13-11-2024'!F:F,1,0)</f>
        <v>ALR_INGR_ANALOGICO</v>
      </c>
      <c r="D749" t="str">
        <f>VLOOKUP(G749,'EXPORT IRIS PROD 13-11-2024'!D:D,1,0)</f>
        <v>Allarme ingresso analogico</v>
      </c>
      <c r="E749" s="37" t="s">
        <v>85</v>
      </c>
      <c r="F749" s="38" t="s">
        <v>1362</v>
      </c>
      <c r="G749" s="45" t="s">
        <v>1363</v>
      </c>
      <c r="H749" s="46" t="s">
        <v>50</v>
      </c>
      <c r="I749" s="46" t="s">
        <v>124</v>
      </c>
      <c r="J749" s="40" t="s">
        <v>21</v>
      </c>
      <c r="K749" s="41" t="s">
        <v>22</v>
      </c>
      <c r="L749" s="42" t="s">
        <v>23</v>
      </c>
      <c r="M749" s="43" t="s">
        <v>24</v>
      </c>
      <c r="N749" s="42" t="s">
        <v>25</v>
      </c>
      <c r="O749" s="42" t="s">
        <v>21</v>
      </c>
      <c r="P749" s="44"/>
    </row>
    <row r="750" spans="1:16" x14ac:dyDescent="0.25">
      <c r="A750" t="str">
        <f t="shared" si="11"/>
        <v>ALR_INSERIMENTO_UNITA-Allarme inserimento unità</v>
      </c>
      <c r="B750" t="str">
        <f>VLOOKUP(A750,'EXPORT IRIS PROD 13-11-2024'!A:A,1,0)</f>
        <v>ALR_INSERIMENTO_UNITA-Allarme inserimento unità</v>
      </c>
      <c r="C750" t="str">
        <f>VLOOKUP(F750,'EXPORT IRIS PROD 13-11-2024'!F:F,1,0)</f>
        <v>ALR_INSERIMENTO_UNITA</v>
      </c>
      <c r="D750" t="str">
        <f>VLOOKUP(G750,'EXPORT IRIS PROD 13-11-2024'!D:D,1,0)</f>
        <v>Allarme inserimento unità</v>
      </c>
      <c r="E750" s="37" t="s">
        <v>16</v>
      </c>
      <c r="F750" s="38" t="s">
        <v>1364</v>
      </c>
      <c r="G750" s="45" t="s">
        <v>1365</v>
      </c>
      <c r="H750" s="46" t="s">
        <v>1156</v>
      </c>
      <c r="I750" s="46" t="s">
        <v>167</v>
      </c>
      <c r="J750" s="40" t="s">
        <v>21</v>
      </c>
      <c r="K750" s="41" t="s">
        <v>22</v>
      </c>
      <c r="L750" s="42" t="s">
        <v>23</v>
      </c>
      <c r="M750" s="43" t="s">
        <v>24</v>
      </c>
      <c r="N750" s="42" t="s">
        <v>25</v>
      </c>
      <c r="O750" s="42" t="s">
        <v>21</v>
      </c>
      <c r="P750" s="44"/>
    </row>
    <row r="751" spans="1:16" x14ac:dyDescent="0.25">
      <c r="A751" t="str">
        <f t="shared" si="11"/>
        <v xml:space="preserve">ALR_INT-Allarme Interruttore </v>
      </c>
      <c r="B751" t="str">
        <f>VLOOKUP(A751,'EXPORT IRIS PROD 13-11-2024'!A:A,1,0)</f>
        <v xml:space="preserve">ALR_INT-Allarme Interruttore </v>
      </c>
      <c r="C751" t="str">
        <f>VLOOKUP(F751,'EXPORT IRIS PROD 13-11-2024'!F:F,1,0)</f>
        <v>ALR_INT</v>
      </c>
      <c r="D751" t="str">
        <f>VLOOKUP(G751,'EXPORT IRIS PROD 13-11-2024'!D:D,1,0)</f>
        <v xml:space="preserve">Allarme Interruttore </v>
      </c>
      <c r="E751" s="37" t="s">
        <v>53</v>
      </c>
      <c r="F751" s="38" t="s">
        <v>1366</v>
      </c>
      <c r="G751" s="45" t="s">
        <v>1367</v>
      </c>
      <c r="H751" s="46" t="s">
        <v>1106</v>
      </c>
      <c r="I751" s="46" t="s">
        <v>355</v>
      </c>
      <c r="J751" s="40" t="s">
        <v>21</v>
      </c>
      <c r="K751" s="41" t="s">
        <v>22</v>
      </c>
      <c r="L751" s="42" t="s">
        <v>23</v>
      </c>
      <c r="M751" s="43" t="s">
        <v>157</v>
      </c>
      <c r="N751" s="42" t="s">
        <v>158</v>
      </c>
      <c r="O751" s="42" t="s">
        <v>21</v>
      </c>
      <c r="P751" s="44"/>
    </row>
    <row r="752" spans="1:16" x14ac:dyDescent="0.25">
      <c r="A752" t="str">
        <f t="shared" si="11"/>
        <v>ALR_INVERTER_GUASTO-Allarme Inverter guasto</v>
      </c>
      <c r="B752" t="str">
        <f>VLOOKUP(A752,'EXPORT IRIS PROD 13-11-2024'!A:A,1,0)</f>
        <v>ALR_INVERTER_GUASTO-Allarme Inverter guasto</v>
      </c>
      <c r="C752" t="str">
        <f>VLOOKUP(F752,'EXPORT IRIS PROD 13-11-2024'!F:F,1,0)</f>
        <v>ALR_INVERTER_GUASTO</v>
      </c>
      <c r="D752" t="str">
        <f>VLOOKUP(G752,'EXPORT IRIS PROD 13-11-2024'!D:D,1,0)</f>
        <v>Allarme Inverter guasto</v>
      </c>
      <c r="E752" s="37" t="s">
        <v>85</v>
      </c>
      <c r="F752" s="38" t="s">
        <v>1368</v>
      </c>
      <c r="G752" s="45" t="s">
        <v>1369</v>
      </c>
      <c r="H752" s="46" t="s">
        <v>50</v>
      </c>
      <c r="I752" s="46" t="s">
        <v>124</v>
      </c>
      <c r="J752" s="40" t="s">
        <v>21</v>
      </c>
      <c r="K752" s="41" t="s">
        <v>22</v>
      </c>
      <c r="L752" s="42" t="s">
        <v>23</v>
      </c>
      <c r="M752" s="43" t="s">
        <v>24</v>
      </c>
      <c r="N752" s="42" t="s">
        <v>25</v>
      </c>
      <c r="O752" s="42" t="s">
        <v>21</v>
      </c>
      <c r="P752" s="44"/>
    </row>
    <row r="753" spans="1:16" x14ac:dyDescent="0.25">
      <c r="A753" t="str">
        <f t="shared" si="11"/>
        <v>ALR_INVERTER_GUASTO-Allarme Inverter guasto</v>
      </c>
      <c r="B753" t="str">
        <f>VLOOKUP(A753,'EXPORT IRIS PROD 13-11-2024'!A:A,1,0)</f>
        <v>ALR_INVERTER_GUASTO-Allarme Inverter guasto</v>
      </c>
      <c r="C753" t="str">
        <f>VLOOKUP(F753,'EXPORT IRIS PROD 13-11-2024'!F:F,1,0)</f>
        <v>ALR_INVERTER_GUASTO</v>
      </c>
      <c r="D753" t="str">
        <f>VLOOKUP(G753,'EXPORT IRIS PROD 13-11-2024'!D:D,1,0)</f>
        <v>Allarme Inverter guasto</v>
      </c>
      <c r="E753" s="37" t="s">
        <v>53</v>
      </c>
      <c r="F753" s="38" t="s">
        <v>1368</v>
      </c>
      <c r="G753" s="45" t="s">
        <v>1369</v>
      </c>
      <c r="H753" s="46" t="s">
        <v>1106</v>
      </c>
      <c r="I753" s="46" t="s">
        <v>104</v>
      </c>
      <c r="J753" s="40" t="s">
        <v>21</v>
      </c>
      <c r="K753" s="41" t="s">
        <v>22</v>
      </c>
      <c r="L753" s="42" t="s">
        <v>23</v>
      </c>
      <c r="M753" s="43" t="s">
        <v>24</v>
      </c>
      <c r="N753" s="42" t="s">
        <v>25</v>
      </c>
      <c r="O753" s="42" t="s">
        <v>21</v>
      </c>
      <c r="P753" s="44"/>
    </row>
    <row r="754" spans="1:16" x14ac:dyDescent="0.25">
      <c r="A754" t="str">
        <f t="shared" si="11"/>
        <v>ALR_LAVAGGIO_CASO_1_NORD-Allarme lavaggio caso 1 Nord</v>
      </c>
      <c r="B754" t="str">
        <f>VLOOKUP(A754,'EXPORT IRIS PROD 13-11-2024'!A:A,1,0)</f>
        <v>ALR_LAVAGGIO_CASO_1_NORD-Allarme lavaggio caso 1 Nord</v>
      </c>
      <c r="C754" t="str">
        <f>VLOOKUP(F754,'EXPORT IRIS PROD 13-11-2024'!F:F,1,0)</f>
        <v>ALR_LAVAGGIO_CASO_1_NORD</v>
      </c>
      <c r="D754" t="str">
        <f>VLOOKUP(G754,'EXPORT IRIS PROD 13-11-2024'!D:D,1,0)</f>
        <v>Allarme lavaggio caso 1 Nord</v>
      </c>
      <c r="E754" s="37" t="s">
        <v>280</v>
      </c>
      <c r="F754" s="38" t="s">
        <v>1370</v>
      </c>
      <c r="G754" s="45" t="s">
        <v>1371</v>
      </c>
      <c r="H754" s="46" t="s">
        <v>50</v>
      </c>
      <c r="I754" s="46" t="s">
        <v>445</v>
      </c>
      <c r="J754" s="40" t="s">
        <v>21</v>
      </c>
      <c r="K754" s="41" t="s">
        <v>22</v>
      </c>
      <c r="L754" s="42" t="s">
        <v>23</v>
      </c>
      <c r="M754" s="43" t="s">
        <v>24</v>
      </c>
      <c r="N754" s="42" t="s">
        <v>25</v>
      </c>
      <c r="O754" s="42" t="s">
        <v>21</v>
      </c>
      <c r="P754" s="44"/>
    </row>
    <row r="755" spans="1:16" x14ac:dyDescent="0.25">
      <c r="A755" t="str">
        <f t="shared" si="11"/>
        <v>ALR_LAVAGGIO_CASO_1_SUD-Allarme lavaggio caso 1 Sud</v>
      </c>
      <c r="B755" t="str">
        <f>VLOOKUP(A755,'EXPORT IRIS PROD 13-11-2024'!A:A,1,0)</f>
        <v>ALR_LAVAGGIO_CASO_1_SUD-Allarme lavaggio caso 1 Sud</v>
      </c>
      <c r="C755" t="str">
        <f>VLOOKUP(F755,'EXPORT IRIS PROD 13-11-2024'!F:F,1,0)</f>
        <v>ALR_LAVAGGIO_CASO_1_SUD</v>
      </c>
      <c r="D755" t="str">
        <f>VLOOKUP(G755,'EXPORT IRIS PROD 13-11-2024'!D:D,1,0)</f>
        <v>Allarme lavaggio caso 1 Sud</v>
      </c>
      <c r="E755" s="37" t="s">
        <v>280</v>
      </c>
      <c r="F755" s="38" t="s">
        <v>1372</v>
      </c>
      <c r="G755" s="45" t="s">
        <v>1373</v>
      </c>
      <c r="H755" s="46" t="s">
        <v>50</v>
      </c>
      <c r="I755" s="46" t="s">
        <v>445</v>
      </c>
      <c r="J755" s="40" t="s">
        <v>21</v>
      </c>
      <c r="K755" s="41" t="s">
        <v>22</v>
      </c>
      <c r="L755" s="42" t="s">
        <v>23</v>
      </c>
      <c r="M755" s="43" t="s">
        <v>24</v>
      </c>
      <c r="N755" s="42" t="s">
        <v>25</v>
      </c>
      <c r="O755" s="42" t="s">
        <v>21</v>
      </c>
      <c r="P755" s="44"/>
    </row>
    <row r="756" spans="1:16" x14ac:dyDescent="0.25">
      <c r="A756" t="str">
        <f t="shared" si="11"/>
        <v>ALR_LAVAGGIO_CASO_2_NORD-Allarme lavaggio caso 2 Nord</v>
      </c>
      <c r="B756" t="str">
        <f>VLOOKUP(A756,'EXPORT IRIS PROD 13-11-2024'!A:A,1,0)</f>
        <v>ALR_LAVAGGIO_CASO_2_NORD-Allarme lavaggio caso 2 Nord</v>
      </c>
      <c r="C756" t="str">
        <f>VLOOKUP(F756,'EXPORT IRIS PROD 13-11-2024'!F:F,1,0)</f>
        <v>ALR_LAVAGGIO_CASO_2_NORD</v>
      </c>
      <c r="D756" t="str">
        <f>VLOOKUP(G756,'EXPORT IRIS PROD 13-11-2024'!D:D,1,0)</f>
        <v>Allarme lavaggio caso 2 Nord</v>
      </c>
      <c r="E756" s="37" t="s">
        <v>280</v>
      </c>
      <c r="F756" s="38" t="s">
        <v>1374</v>
      </c>
      <c r="G756" s="45" t="s">
        <v>1375</v>
      </c>
      <c r="H756" s="46" t="s">
        <v>50</v>
      </c>
      <c r="I756" s="46" t="s">
        <v>445</v>
      </c>
      <c r="J756" s="40" t="s">
        <v>21</v>
      </c>
      <c r="K756" s="41" t="s">
        <v>22</v>
      </c>
      <c r="L756" s="42" t="s">
        <v>23</v>
      </c>
      <c r="M756" s="43" t="s">
        <v>24</v>
      </c>
      <c r="N756" s="42" t="s">
        <v>25</v>
      </c>
      <c r="O756" s="42" t="s">
        <v>21</v>
      </c>
      <c r="P756" s="44"/>
    </row>
    <row r="757" spans="1:16" x14ac:dyDescent="0.25">
      <c r="A757" t="str">
        <f t="shared" si="11"/>
        <v>ALR_LAVAGGIO_CASO_2_SUD-Allarme lavaggio caso 2 Sud</v>
      </c>
      <c r="B757" t="str">
        <f>VLOOKUP(A757,'EXPORT IRIS PROD 13-11-2024'!A:A,1,0)</f>
        <v>ALR_LAVAGGIO_CASO_2_SUD-Allarme lavaggio caso 2 Sud</v>
      </c>
      <c r="C757" t="str">
        <f>VLOOKUP(F757,'EXPORT IRIS PROD 13-11-2024'!F:F,1,0)</f>
        <v>ALR_LAVAGGIO_CASO_2_SUD</v>
      </c>
      <c r="D757" t="str">
        <f>VLOOKUP(G757,'EXPORT IRIS PROD 13-11-2024'!D:D,1,0)</f>
        <v>Allarme lavaggio caso 2 Sud</v>
      </c>
      <c r="E757" s="37" t="s">
        <v>280</v>
      </c>
      <c r="F757" s="38" t="s">
        <v>1376</v>
      </c>
      <c r="G757" s="45" t="s">
        <v>1377</v>
      </c>
      <c r="H757" s="46" t="s">
        <v>50</v>
      </c>
      <c r="I757" s="46" t="s">
        <v>445</v>
      </c>
      <c r="J757" s="40" t="s">
        <v>21</v>
      </c>
      <c r="K757" s="41" t="s">
        <v>22</v>
      </c>
      <c r="L757" s="42" t="s">
        <v>23</v>
      </c>
      <c r="M757" s="43" t="s">
        <v>24</v>
      </c>
      <c r="N757" s="42" t="s">
        <v>25</v>
      </c>
      <c r="O757" s="42" t="s">
        <v>21</v>
      </c>
      <c r="P757" s="44"/>
    </row>
    <row r="758" spans="1:16" x14ac:dyDescent="0.25">
      <c r="A758" t="str">
        <f t="shared" si="11"/>
        <v>ALR_LAVAGGIO_CASO_3_NORD-Allarme lavaggio caso 3 Nord</v>
      </c>
      <c r="B758" t="str">
        <f>VLOOKUP(A758,'EXPORT IRIS PROD 13-11-2024'!A:A,1,0)</f>
        <v>ALR_LAVAGGIO_CASO_3_NORD-Allarme lavaggio caso 3 Nord</v>
      </c>
      <c r="C758" t="str">
        <f>VLOOKUP(F758,'EXPORT IRIS PROD 13-11-2024'!F:F,1,0)</f>
        <v>ALR_LAVAGGIO_CASO_3_NORD</v>
      </c>
      <c r="D758" t="str">
        <f>VLOOKUP(G758,'EXPORT IRIS PROD 13-11-2024'!D:D,1,0)</f>
        <v>Allarme lavaggio caso 3 Nord</v>
      </c>
      <c r="E758" s="37" t="s">
        <v>280</v>
      </c>
      <c r="F758" s="38" t="s">
        <v>1378</v>
      </c>
      <c r="G758" s="45" t="s">
        <v>1379</v>
      </c>
      <c r="H758" s="46" t="s">
        <v>50</v>
      </c>
      <c r="I758" s="46" t="s">
        <v>445</v>
      </c>
      <c r="J758" s="40" t="s">
        <v>21</v>
      </c>
      <c r="K758" s="41" t="s">
        <v>22</v>
      </c>
      <c r="L758" s="42" t="s">
        <v>23</v>
      </c>
      <c r="M758" s="43" t="s">
        <v>24</v>
      </c>
      <c r="N758" s="42" t="s">
        <v>25</v>
      </c>
      <c r="O758" s="42" t="s">
        <v>21</v>
      </c>
      <c r="P758" s="44"/>
    </row>
    <row r="759" spans="1:16" x14ac:dyDescent="0.25">
      <c r="A759" t="str">
        <f t="shared" si="11"/>
        <v>ALR_LAVAGGIO_CASO_3_SUD-Allarme lavaggio caso 3 Sud</v>
      </c>
      <c r="B759" t="str">
        <f>VLOOKUP(A759,'EXPORT IRIS PROD 13-11-2024'!A:A,1,0)</f>
        <v>ALR_LAVAGGIO_CASO_3_SUD-Allarme lavaggio caso 3 Sud</v>
      </c>
      <c r="C759" t="str">
        <f>VLOOKUP(F759,'EXPORT IRIS PROD 13-11-2024'!F:F,1,0)</f>
        <v>ALR_LAVAGGIO_CASO_3_SUD</v>
      </c>
      <c r="D759" t="str">
        <f>VLOOKUP(G759,'EXPORT IRIS PROD 13-11-2024'!D:D,1,0)</f>
        <v>Allarme lavaggio caso 3 Sud</v>
      </c>
      <c r="E759" s="37" t="s">
        <v>280</v>
      </c>
      <c r="F759" s="38" t="s">
        <v>1380</v>
      </c>
      <c r="G759" s="45" t="s">
        <v>1381</v>
      </c>
      <c r="H759" s="46" t="s">
        <v>50</v>
      </c>
      <c r="I759" s="46" t="s">
        <v>445</v>
      </c>
      <c r="J759" s="40" t="s">
        <v>21</v>
      </c>
      <c r="K759" s="41" t="s">
        <v>22</v>
      </c>
      <c r="L759" s="42" t="s">
        <v>23</v>
      </c>
      <c r="M759" s="43" t="s">
        <v>24</v>
      </c>
      <c r="N759" s="42" t="s">
        <v>25</v>
      </c>
      <c r="O759" s="42" t="s">
        <v>21</v>
      </c>
      <c r="P759" s="44"/>
    </row>
    <row r="760" spans="1:16" x14ac:dyDescent="0.25">
      <c r="A760" t="str">
        <f t="shared" si="11"/>
        <v>ALR_LIVELLO_ACQUA_MINIMO-Allarme livello acqua minimo</v>
      </c>
      <c r="B760" t="str">
        <f>VLOOKUP(A760,'EXPORT IRIS PROD 13-11-2024'!A:A,1,0)</f>
        <v>ALR_LIVELLO_ACQUA_MINIMO-Allarme livello acqua minimo</v>
      </c>
      <c r="C760" t="str">
        <f>VLOOKUP(F760,'EXPORT IRIS PROD 13-11-2024'!F:F,1,0)</f>
        <v>ALR_LIVELLO_ACQUA_MINIMO</v>
      </c>
      <c r="D760" t="str">
        <f>VLOOKUP(G760,'EXPORT IRIS PROD 13-11-2024'!D:D,1,0)</f>
        <v>Allarme livello acqua minimo</v>
      </c>
      <c r="E760" s="37" t="s">
        <v>35</v>
      </c>
      <c r="F760" s="38" t="s">
        <v>1382</v>
      </c>
      <c r="G760" s="45" t="s">
        <v>1383</v>
      </c>
      <c r="H760" s="46" t="s">
        <v>38</v>
      </c>
      <c r="I760" s="46" t="s">
        <v>480</v>
      </c>
      <c r="J760" s="40" t="s">
        <v>21</v>
      </c>
      <c r="K760" s="41" t="s">
        <v>22</v>
      </c>
      <c r="L760" s="42" t="s">
        <v>23</v>
      </c>
      <c r="M760" s="43" t="s">
        <v>24</v>
      </c>
      <c r="N760" s="42" t="s">
        <v>25</v>
      </c>
      <c r="O760" s="42" t="s">
        <v>21</v>
      </c>
      <c r="P760" s="44"/>
    </row>
    <row r="761" spans="1:16" x14ac:dyDescent="0.25">
      <c r="A761" t="str">
        <f t="shared" si="11"/>
        <v>ALR_LIVELLO_ACQUA_PIENO-Allarme livello acqua pieno</v>
      </c>
      <c r="B761" t="str">
        <f>VLOOKUP(A761,'EXPORT IRIS PROD 13-11-2024'!A:A,1,0)</f>
        <v>ALR_LIVELLO_ACQUA_PIENO-Allarme livello acqua pieno</v>
      </c>
      <c r="C761" t="str">
        <f>VLOOKUP(F761,'EXPORT IRIS PROD 13-11-2024'!F:F,1,0)</f>
        <v>ALR_LIVELLO_ACQUA_PIENO</v>
      </c>
      <c r="D761" t="str">
        <f>VLOOKUP(G761,'EXPORT IRIS PROD 13-11-2024'!D:D,1,0)</f>
        <v>Allarme livello acqua pieno</v>
      </c>
      <c r="E761" s="37" t="s">
        <v>35</v>
      </c>
      <c r="F761" s="38" t="s">
        <v>1384</v>
      </c>
      <c r="G761" s="45" t="s">
        <v>1385</v>
      </c>
      <c r="H761" s="46" t="s">
        <v>38</v>
      </c>
      <c r="I761" s="46" t="s">
        <v>480</v>
      </c>
      <c r="J761" s="40" t="s">
        <v>21</v>
      </c>
      <c r="K761" s="41" t="s">
        <v>22</v>
      </c>
      <c r="L761" s="42" t="s">
        <v>23</v>
      </c>
      <c r="M761" s="43" t="s">
        <v>24</v>
      </c>
      <c r="N761" s="42" t="s">
        <v>25</v>
      </c>
      <c r="O761" s="42" t="s">
        <v>21</v>
      </c>
      <c r="P761" s="44"/>
    </row>
    <row r="762" spans="1:16" x14ac:dyDescent="0.25">
      <c r="A762" t="str">
        <f t="shared" si="11"/>
        <v>ALR_LIVELLO_ACQUA_PIENO-Allarme livello acqua pieno</v>
      </c>
      <c r="B762" t="str">
        <f>VLOOKUP(A762,'EXPORT IRIS PROD 13-11-2024'!A:A,1,0)</f>
        <v>ALR_LIVELLO_ACQUA_PIENO-Allarme livello acqua pieno</v>
      </c>
      <c r="C762" t="str">
        <f>VLOOKUP(F762,'EXPORT IRIS PROD 13-11-2024'!F:F,1,0)</f>
        <v>ALR_LIVELLO_ACQUA_PIENO</v>
      </c>
      <c r="D762" t="str">
        <f>VLOOKUP(G762,'EXPORT IRIS PROD 13-11-2024'!D:D,1,0)</f>
        <v>Allarme livello acqua pieno</v>
      </c>
      <c r="E762" s="37" t="s">
        <v>35</v>
      </c>
      <c r="F762" s="38" t="s">
        <v>1384</v>
      </c>
      <c r="G762" s="45" t="s">
        <v>1385</v>
      </c>
      <c r="H762" s="46" t="s">
        <v>38</v>
      </c>
      <c r="I762" s="46" t="s">
        <v>39</v>
      </c>
      <c r="J762" s="40" t="s">
        <v>21</v>
      </c>
      <c r="K762" s="41" t="s">
        <v>22</v>
      </c>
      <c r="L762" s="42" t="s">
        <v>23</v>
      </c>
      <c r="M762" s="43" t="s">
        <v>24</v>
      </c>
      <c r="N762" s="42" t="s">
        <v>25</v>
      </c>
      <c r="O762" s="42" t="s">
        <v>21</v>
      </c>
      <c r="P762" s="44"/>
    </row>
    <row r="763" spans="1:16" x14ac:dyDescent="0.25">
      <c r="A763" t="str">
        <f t="shared" si="11"/>
        <v>ALR_LOGICA_BLOCCATA-Allarme logica bloccata</v>
      </c>
      <c r="B763" t="str">
        <f>VLOOKUP(A763,'EXPORT IRIS PROD 13-11-2024'!A:A,1,0)</f>
        <v>ALR_LOGICA_BLOCCATA-Allarme logica bloccata</v>
      </c>
      <c r="C763" t="str">
        <f>VLOOKUP(F763,'EXPORT IRIS PROD 13-11-2024'!F:F,1,0)</f>
        <v>ALR_LOGICA_BLOCCATA</v>
      </c>
      <c r="D763" t="str">
        <f>VLOOKUP(G763,'EXPORT IRIS PROD 13-11-2024'!D:D,1,0)</f>
        <v>Allarme logica bloccata</v>
      </c>
      <c r="E763" s="37" t="s">
        <v>53</v>
      </c>
      <c r="F763" s="38" t="s">
        <v>1386</v>
      </c>
      <c r="G763" s="45" t="s">
        <v>1387</v>
      </c>
      <c r="H763" s="46" t="s">
        <v>56</v>
      </c>
      <c r="I763" s="46" t="s">
        <v>1198</v>
      </c>
      <c r="J763" s="40" t="s">
        <v>21</v>
      </c>
      <c r="K763" s="41" t="s">
        <v>22</v>
      </c>
      <c r="L763" s="42" t="s">
        <v>23</v>
      </c>
      <c r="M763" s="43" t="s">
        <v>24</v>
      </c>
      <c r="N763" s="42" t="s">
        <v>25</v>
      </c>
      <c r="O763" s="42" t="s">
        <v>21</v>
      </c>
      <c r="P763" s="44"/>
    </row>
    <row r="764" spans="1:16" x14ac:dyDescent="0.25">
      <c r="A764" t="str">
        <f t="shared" si="11"/>
        <v>ALR_MANCANZA_SEGNALE_VIDEO-Allarme mancanza segnale video</v>
      </c>
      <c r="B764" t="str">
        <f>VLOOKUP(A764,'EXPORT IRIS PROD 13-11-2024'!A:A,1,0)</f>
        <v>ALR_MANCANZA_SEGNALE_VIDEO-Allarme mancanza segnale video</v>
      </c>
      <c r="C764" t="str">
        <f>VLOOKUP(F764,'EXPORT IRIS PROD 13-11-2024'!F:F,1,0)</f>
        <v>ALR_MANCANZA_SEGNALE_VIDEO</v>
      </c>
      <c r="D764" t="str">
        <f>VLOOKUP(G764,'EXPORT IRIS PROD 13-11-2024'!D:D,1,0)</f>
        <v>Allarme mancanza segnale video</v>
      </c>
      <c r="E764" s="37" t="s">
        <v>198</v>
      </c>
      <c r="F764" s="38" t="s">
        <v>1388</v>
      </c>
      <c r="G764" s="45" t="s">
        <v>1389</v>
      </c>
      <c r="H764" s="46" t="s">
        <v>201</v>
      </c>
      <c r="I764" s="46" t="s">
        <v>1321</v>
      </c>
      <c r="J764" s="40" t="s">
        <v>21</v>
      </c>
      <c r="K764" s="41" t="s">
        <v>22</v>
      </c>
      <c r="L764" s="42" t="s">
        <v>23</v>
      </c>
      <c r="M764" s="43" t="s">
        <v>24</v>
      </c>
      <c r="N764" s="42" t="s">
        <v>25</v>
      </c>
      <c r="O764" s="42" t="s">
        <v>21</v>
      </c>
      <c r="P764" s="44"/>
    </row>
    <row r="765" spans="1:16" x14ac:dyDescent="0.25">
      <c r="A765" t="str">
        <f t="shared" si="11"/>
        <v>ALR_MANCANZA_SEGNALE_VIDEO-Allarme mancanza segnale video</v>
      </c>
      <c r="B765" t="str">
        <f>VLOOKUP(A765,'EXPORT IRIS PROD 13-11-2024'!A:A,1,0)</f>
        <v>ALR_MANCANZA_SEGNALE_VIDEO-Allarme mancanza segnale video</v>
      </c>
      <c r="C765" t="str">
        <f>VLOOKUP(F765,'EXPORT IRIS PROD 13-11-2024'!F:F,1,0)</f>
        <v>ALR_MANCANZA_SEGNALE_VIDEO</v>
      </c>
      <c r="D765" t="str">
        <f>VLOOKUP(G765,'EXPORT IRIS PROD 13-11-2024'!D:D,1,0)</f>
        <v>Allarme mancanza segnale video</v>
      </c>
      <c r="E765" s="37" t="s">
        <v>198</v>
      </c>
      <c r="F765" s="38" t="s">
        <v>1388</v>
      </c>
      <c r="G765" s="45" t="s">
        <v>1389</v>
      </c>
      <c r="H765" s="46" t="s">
        <v>201</v>
      </c>
      <c r="I765" s="46" t="s">
        <v>1390</v>
      </c>
      <c r="J765" s="40" t="s">
        <v>21</v>
      </c>
      <c r="K765" s="41" t="s">
        <v>22</v>
      </c>
      <c r="L765" s="42" t="s">
        <v>23</v>
      </c>
      <c r="M765" s="43" t="s">
        <v>24</v>
      </c>
      <c r="N765" s="42" t="s">
        <v>25</v>
      </c>
      <c r="O765" s="42" t="s">
        <v>21</v>
      </c>
      <c r="P765" s="44"/>
    </row>
    <row r="766" spans="1:16" x14ac:dyDescent="0.25">
      <c r="A766" t="str">
        <f t="shared" si="11"/>
        <v>ALR_MANCANZA_SEGNALE_VIDEO-Allarme mancanza segnale video</v>
      </c>
      <c r="B766" t="str">
        <f>VLOOKUP(A766,'EXPORT IRIS PROD 13-11-2024'!A:A,1,0)</f>
        <v>ALR_MANCANZA_SEGNALE_VIDEO-Allarme mancanza segnale video</v>
      </c>
      <c r="C766" t="str">
        <f>VLOOKUP(F766,'EXPORT IRIS PROD 13-11-2024'!F:F,1,0)</f>
        <v>ALR_MANCANZA_SEGNALE_VIDEO</v>
      </c>
      <c r="D766" t="str">
        <f>VLOOKUP(G766,'EXPORT IRIS PROD 13-11-2024'!D:D,1,0)</f>
        <v>Allarme mancanza segnale video</v>
      </c>
      <c r="E766" s="37" t="s">
        <v>198</v>
      </c>
      <c r="F766" s="38" t="s">
        <v>1388</v>
      </c>
      <c r="G766" s="45" t="s">
        <v>1389</v>
      </c>
      <c r="H766" s="46" t="s">
        <v>201</v>
      </c>
      <c r="I766" s="46" t="s">
        <v>1391</v>
      </c>
      <c r="J766" s="40" t="s">
        <v>21</v>
      </c>
      <c r="K766" s="41" t="s">
        <v>22</v>
      </c>
      <c r="L766" s="42" t="s">
        <v>23</v>
      </c>
      <c r="M766" s="43" t="s">
        <v>24</v>
      </c>
      <c r="N766" s="42" t="s">
        <v>25</v>
      </c>
      <c r="O766" s="42" t="s">
        <v>21</v>
      </c>
      <c r="P766" s="44"/>
    </row>
    <row r="767" spans="1:16" x14ac:dyDescent="0.25">
      <c r="A767" t="str">
        <f t="shared" si="11"/>
        <v>ALR_MANCATA_APERTURA_INTERRUTTORE-Allarme mancata apertura interruttore</v>
      </c>
      <c r="B767" t="str">
        <f>VLOOKUP(A767,'EXPORT IRIS PROD 13-11-2024'!A:A,1,0)</f>
        <v>ALR_MANCATA_APERTURA_INTERRUTTORE-Allarme mancata apertura interruttore</v>
      </c>
      <c r="C767" t="str">
        <f>VLOOKUP(F767,'EXPORT IRIS PROD 13-11-2024'!F:F,1,0)</f>
        <v>ALR_MANCATA_APERTURA_INTERRUTTORE</v>
      </c>
      <c r="D767" t="str">
        <f>VLOOKUP(G767,'EXPORT IRIS PROD 13-11-2024'!D:D,1,0)</f>
        <v>Allarme mancata apertura interruttore</v>
      </c>
      <c r="E767" s="37" t="s">
        <v>53</v>
      </c>
      <c r="F767" s="38" t="s">
        <v>1392</v>
      </c>
      <c r="G767" s="45" t="s">
        <v>1393</v>
      </c>
      <c r="H767" s="46" t="s">
        <v>56</v>
      </c>
      <c r="I767" s="46" t="s">
        <v>355</v>
      </c>
      <c r="J767" s="40" t="s">
        <v>21</v>
      </c>
      <c r="K767" s="41" t="s">
        <v>22</v>
      </c>
      <c r="L767" s="42" t="s">
        <v>23</v>
      </c>
      <c r="M767" s="43" t="s">
        <v>157</v>
      </c>
      <c r="N767" s="42" t="s">
        <v>158</v>
      </c>
      <c r="O767" s="42" t="s">
        <v>21</v>
      </c>
      <c r="P767" s="44"/>
    </row>
    <row r="768" spans="1:16" x14ac:dyDescent="0.25">
      <c r="A768" t="str">
        <f t="shared" si="11"/>
        <v>ALR_MANCATA_ATTIVAZIONE-Allarme mancata attivazione</v>
      </c>
      <c r="B768" t="str">
        <f>VLOOKUP(A768,'EXPORT IRIS PROD 13-11-2024'!A:A,1,0)</f>
        <v>ALR_MANCATA_ATTIVAZIONE-Allarme mancata attivazione</v>
      </c>
      <c r="C768" t="str">
        <f>VLOOKUP(F768,'EXPORT IRIS PROD 13-11-2024'!F:F,1,0)</f>
        <v>ALR_MANCATA_ATTIVAZIONE</v>
      </c>
      <c r="D768" t="str">
        <f>VLOOKUP(G768,'EXPORT IRIS PROD 13-11-2024'!D:D,1,0)</f>
        <v>Allarme mancata attivazione</v>
      </c>
      <c r="E768" s="37" t="s">
        <v>35</v>
      </c>
      <c r="F768" s="38" t="s">
        <v>1394</v>
      </c>
      <c r="G768" s="45" t="s">
        <v>1395</v>
      </c>
      <c r="H768" s="46" t="s">
        <v>38</v>
      </c>
      <c r="I768" s="46" t="s">
        <v>1396</v>
      </c>
      <c r="J768" s="40" t="s">
        <v>21</v>
      </c>
      <c r="K768" s="41" t="s">
        <v>22</v>
      </c>
      <c r="L768" s="42" t="s">
        <v>23</v>
      </c>
      <c r="M768" s="43" t="s">
        <v>24</v>
      </c>
      <c r="N768" s="42" t="s">
        <v>25</v>
      </c>
      <c r="O768" s="42" t="s">
        <v>21</v>
      </c>
      <c r="P768" s="44"/>
    </row>
    <row r="769" spans="1:16" x14ac:dyDescent="0.25">
      <c r="A769" t="str">
        <f t="shared" si="11"/>
        <v>ALR_MANCATA_ATTIVAZIONE-Allarme mancata attivazione</v>
      </c>
      <c r="B769" t="str">
        <f>VLOOKUP(A769,'EXPORT IRIS PROD 13-11-2024'!A:A,1,0)</f>
        <v>ALR_MANCATA_ATTIVAZIONE-Allarme mancata attivazione</v>
      </c>
      <c r="C769" t="str">
        <f>VLOOKUP(F769,'EXPORT IRIS PROD 13-11-2024'!F:F,1,0)</f>
        <v>ALR_MANCATA_ATTIVAZIONE</v>
      </c>
      <c r="D769" t="str">
        <f>VLOOKUP(G769,'EXPORT IRIS PROD 13-11-2024'!D:D,1,0)</f>
        <v>Allarme mancata attivazione</v>
      </c>
      <c r="E769" s="37" t="s">
        <v>35</v>
      </c>
      <c r="F769" s="38" t="s">
        <v>1394</v>
      </c>
      <c r="G769" s="45" t="s">
        <v>1395</v>
      </c>
      <c r="H769" s="46" t="s">
        <v>38</v>
      </c>
      <c r="I769" s="46" t="s">
        <v>1397</v>
      </c>
      <c r="J769" s="40" t="s">
        <v>21</v>
      </c>
      <c r="K769" s="41" t="s">
        <v>22</v>
      </c>
      <c r="L769" s="42" t="s">
        <v>23</v>
      </c>
      <c r="M769" s="43" t="s">
        <v>24</v>
      </c>
      <c r="N769" s="42" t="s">
        <v>25</v>
      </c>
      <c r="O769" s="42" t="s">
        <v>21</v>
      </c>
      <c r="P769" s="44"/>
    </row>
    <row r="770" spans="1:16" x14ac:dyDescent="0.25">
      <c r="A770" t="str">
        <f t="shared" si="11"/>
        <v>ALR_MANCATA_ATTIVAZIONE-Allarme mancata attivazione</v>
      </c>
      <c r="B770" t="str">
        <f>VLOOKUP(A770,'EXPORT IRIS PROD 13-11-2024'!A:A,1,0)</f>
        <v>ALR_MANCATA_ATTIVAZIONE-Allarme mancata attivazione</v>
      </c>
      <c r="C770" t="str">
        <f>VLOOKUP(F770,'EXPORT IRIS PROD 13-11-2024'!F:F,1,0)</f>
        <v>ALR_MANCATA_ATTIVAZIONE</v>
      </c>
      <c r="D770" t="str">
        <f>VLOOKUP(G770,'EXPORT IRIS PROD 13-11-2024'!D:D,1,0)</f>
        <v>Allarme mancata attivazione</v>
      </c>
      <c r="E770" s="37" t="s">
        <v>863</v>
      </c>
      <c r="F770" s="38" t="s">
        <v>1394</v>
      </c>
      <c r="G770" s="45" t="s">
        <v>1395</v>
      </c>
      <c r="H770" s="46" t="s">
        <v>274</v>
      </c>
      <c r="I770" s="46" t="s">
        <v>1245</v>
      </c>
      <c r="J770" s="40" t="s">
        <v>21</v>
      </c>
      <c r="K770" s="41" t="s">
        <v>22</v>
      </c>
      <c r="L770" s="42" t="s">
        <v>23</v>
      </c>
      <c r="M770" s="43" t="s">
        <v>24</v>
      </c>
      <c r="N770" s="42" t="s">
        <v>25</v>
      </c>
      <c r="O770" s="42" t="s">
        <v>21</v>
      </c>
      <c r="P770" s="44"/>
    </row>
    <row r="771" spans="1:16" x14ac:dyDescent="0.25">
      <c r="A771" t="str">
        <f t="shared" ref="A771:A834" si="12">CONCATENATE(F771,"-",G771)</f>
        <v>ALR_MANCATA_ATTIVAZIONE_CE1-Allarme mancata attivazione CE1</v>
      </c>
      <c r="B771" t="str">
        <f>VLOOKUP(A771,'EXPORT IRIS PROD 13-11-2024'!A:A,1,0)</f>
        <v>ALR_MANCATA_ATTIVAZIONE_CE1-Allarme mancata attivazione CE1</v>
      </c>
      <c r="C771" t="str">
        <f>VLOOKUP(F771,'EXPORT IRIS PROD 13-11-2024'!F:F,1,0)</f>
        <v>ALR_MANCATA_ATTIVAZIONE_CE1</v>
      </c>
      <c r="D771" t="str">
        <f>VLOOKUP(G771,'EXPORT IRIS PROD 13-11-2024'!D:D,1,0)</f>
        <v>Allarme mancata attivazione CE1</v>
      </c>
      <c r="E771" s="37" t="s">
        <v>115</v>
      </c>
      <c r="F771" s="38" t="s">
        <v>1398</v>
      </c>
      <c r="G771" s="45" t="s">
        <v>1399</v>
      </c>
      <c r="H771" s="46" t="s">
        <v>1142</v>
      </c>
      <c r="I771" s="46" t="s">
        <v>715</v>
      </c>
      <c r="J771" s="40" t="s">
        <v>21</v>
      </c>
      <c r="K771" s="41" t="s">
        <v>22</v>
      </c>
      <c r="L771" s="42" t="s">
        <v>23</v>
      </c>
      <c r="M771" s="43" t="s">
        <v>24</v>
      </c>
      <c r="N771" s="42" t="s">
        <v>25</v>
      </c>
      <c r="O771" s="42" t="s">
        <v>21</v>
      </c>
      <c r="P771" s="44"/>
    </row>
    <row r="772" spans="1:16" x14ac:dyDescent="0.25">
      <c r="A772" t="str">
        <f t="shared" si="12"/>
        <v>ALR_MANCATA_ATTIVAZIONE_CE2-Allarme mancata attivazione CE2</v>
      </c>
      <c r="B772" t="str">
        <f>VLOOKUP(A772,'EXPORT IRIS PROD 13-11-2024'!A:A,1,0)</f>
        <v>ALR_MANCATA_ATTIVAZIONE_CE2-Allarme mancata attivazione CE2</v>
      </c>
      <c r="C772" t="str">
        <f>VLOOKUP(F772,'EXPORT IRIS PROD 13-11-2024'!F:F,1,0)</f>
        <v>ALR_MANCATA_ATTIVAZIONE_CE2</v>
      </c>
      <c r="D772" t="str">
        <f>VLOOKUP(G772,'EXPORT IRIS PROD 13-11-2024'!D:D,1,0)</f>
        <v>Allarme mancata attivazione CE2</v>
      </c>
      <c r="E772" s="37" t="s">
        <v>115</v>
      </c>
      <c r="F772" s="38" t="s">
        <v>1400</v>
      </c>
      <c r="G772" s="45" t="s">
        <v>1401</v>
      </c>
      <c r="H772" s="46" t="s">
        <v>1142</v>
      </c>
      <c r="I772" s="46" t="s">
        <v>715</v>
      </c>
      <c r="J772" s="40" t="s">
        <v>21</v>
      </c>
      <c r="K772" s="41" t="s">
        <v>22</v>
      </c>
      <c r="L772" s="42" t="s">
        <v>23</v>
      </c>
      <c r="M772" s="43" t="s">
        <v>24</v>
      </c>
      <c r="N772" s="42" t="s">
        <v>25</v>
      </c>
      <c r="O772" s="42" t="s">
        <v>21</v>
      </c>
      <c r="P772" s="44"/>
    </row>
    <row r="773" spans="1:16" x14ac:dyDescent="0.25">
      <c r="A773" t="str">
        <f t="shared" si="12"/>
        <v>ALR_MANCATA_CHIUSURA_INTERRUTTORE-Allarme mancata interruttore</v>
      </c>
      <c r="B773" t="str">
        <f>VLOOKUP(A773,'EXPORT IRIS PROD 13-11-2024'!A:A,1,0)</f>
        <v>ALR_MANCATA_CHIUSURA_INTERRUTTORE-Allarme mancata interruttore</v>
      </c>
      <c r="C773" t="str">
        <f>VLOOKUP(F773,'EXPORT IRIS PROD 13-11-2024'!F:F,1,0)</f>
        <v>ALR_MANCATA_CHIUSURA_INTERRUTTORE</v>
      </c>
      <c r="D773" t="str">
        <f>VLOOKUP(G773,'EXPORT IRIS PROD 13-11-2024'!D:D,1,0)</f>
        <v>Allarme mancata interruttore</v>
      </c>
      <c r="E773" s="37" t="s">
        <v>53</v>
      </c>
      <c r="F773" s="38" t="s">
        <v>1402</v>
      </c>
      <c r="G773" s="45" t="s">
        <v>1403</v>
      </c>
      <c r="H773" s="46" t="s">
        <v>56</v>
      </c>
      <c r="I773" s="46" t="s">
        <v>355</v>
      </c>
      <c r="J773" s="40" t="s">
        <v>21</v>
      </c>
      <c r="K773" s="41" t="s">
        <v>22</v>
      </c>
      <c r="L773" s="42" t="s">
        <v>23</v>
      </c>
      <c r="M773" s="43" t="s">
        <v>157</v>
      </c>
      <c r="N773" s="42" t="s">
        <v>158</v>
      </c>
      <c r="O773" s="42" t="s">
        <v>21</v>
      </c>
      <c r="P773" s="44"/>
    </row>
    <row r="774" spans="1:16" x14ac:dyDescent="0.25">
      <c r="A774" t="str">
        <f t="shared" si="12"/>
        <v>ALR_MANCATA_DISATTIVAZIONE-Allarme mancata disattivazione</v>
      </c>
      <c r="B774" t="str">
        <f>VLOOKUP(A774,'EXPORT IRIS PROD 13-11-2024'!A:A,1,0)</f>
        <v>ALR_MANCATA_DISATTIVAZIONE-Allarme mancata disattivazione</v>
      </c>
      <c r="C774" t="str">
        <f>VLOOKUP(F774,'EXPORT IRIS PROD 13-11-2024'!F:F,1,0)</f>
        <v>ALR_MANCATA_DISATTIVAZIONE</v>
      </c>
      <c r="D774" t="str">
        <f>VLOOKUP(G774,'EXPORT IRIS PROD 13-11-2024'!D:D,1,0)</f>
        <v>Allarme mancata disattivazione</v>
      </c>
      <c r="E774" s="37" t="s">
        <v>35</v>
      </c>
      <c r="F774" s="38" t="s">
        <v>1404</v>
      </c>
      <c r="G774" s="45" t="s">
        <v>1405</v>
      </c>
      <c r="H774" s="46" t="s">
        <v>38</v>
      </c>
      <c r="I774" s="46" t="s">
        <v>1396</v>
      </c>
      <c r="J774" s="40" t="s">
        <v>21</v>
      </c>
      <c r="K774" s="41" t="s">
        <v>22</v>
      </c>
      <c r="L774" s="42" t="s">
        <v>23</v>
      </c>
      <c r="M774" s="43" t="s">
        <v>24</v>
      </c>
      <c r="N774" s="42" t="s">
        <v>25</v>
      </c>
      <c r="O774" s="42" t="s">
        <v>21</v>
      </c>
      <c r="P774" s="44"/>
    </row>
    <row r="775" spans="1:16" x14ac:dyDescent="0.25">
      <c r="A775" t="str">
        <f t="shared" si="12"/>
        <v>ALR_MANCATA_DISATTIVAZIONE-Allarme mancata disattivazione</v>
      </c>
      <c r="B775" t="str">
        <f>VLOOKUP(A775,'EXPORT IRIS PROD 13-11-2024'!A:A,1,0)</f>
        <v>ALR_MANCATA_DISATTIVAZIONE-Allarme mancata disattivazione</v>
      </c>
      <c r="C775" t="str">
        <f>VLOOKUP(F775,'EXPORT IRIS PROD 13-11-2024'!F:F,1,0)</f>
        <v>ALR_MANCATA_DISATTIVAZIONE</v>
      </c>
      <c r="D775" t="str">
        <f>VLOOKUP(G775,'EXPORT IRIS PROD 13-11-2024'!D:D,1,0)</f>
        <v>Allarme mancata disattivazione</v>
      </c>
      <c r="E775" s="37" t="s">
        <v>35</v>
      </c>
      <c r="F775" s="38" t="s">
        <v>1404</v>
      </c>
      <c r="G775" s="45" t="s">
        <v>1405</v>
      </c>
      <c r="H775" s="46" t="s">
        <v>38</v>
      </c>
      <c r="I775" s="46" t="s">
        <v>1397</v>
      </c>
      <c r="J775" s="40" t="s">
        <v>21</v>
      </c>
      <c r="K775" s="41" t="s">
        <v>22</v>
      </c>
      <c r="L775" s="42" t="s">
        <v>23</v>
      </c>
      <c r="M775" s="43" t="s">
        <v>24</v>
      </c>
      <c r="N775" s="42" t="s">
        <v>25</v>
      </c>
      <c r="O775" s="42" t="s">
        <v>21</v>
      </c>
      <c r="P775" s="44"/>
    </row>
    <row r="776" spans="1:16" x14ac:dyDescent="0.25">
      <c r="A776" t="str">
        <f t="shared" si="12"/>
        <v>ALR_MANCATA_DISATTIVAZIONE-Allarme mancata disattivazione</v>
      </c>
      <c r="B776" t="str">
        <f>VLOOKUP(A776,'EXPORT IRIS PROD 13-11-2024'!A:A,1,0)</f>
        <v>ALR_MANCATA_DISATTIVAZIONE-Allarme mancata disattivazione</v>
      </c>
      <c r="C776" t="str">
        <f>VLOOKUP(F776,'EXPORT IRIS PROD 13-11-2024'!F:F,1,0)</f>
        <v>ALR_MANCATA_DISATTIVAZIONE</v>
      </c>
      <c r="D776" t="str">
        <f>VLOOKUP(G776,'EXPORT IRIS PROD 13-11-2024'!D:D,1,0)</f>
        <v>Allarme mancata disattivazione</v>
      </c>
      <c r="E776" s="37" t="s">
        <v>863</v>
      </c>
      <c r="F776" s="38" t="s">
        <v>1404</v>
      </c>
      <c r="G776" s="45" t="s">
        <v>1405</v>
      </c>
      <c r="H776" s="46" t="s">
        <v>274</v>
      </c>
      <c r="I776" s="46" t="s">
        <v>1245</v>
      </c>
      <c r="J776" s="40" t="s">
        <v>21</v>
      </c>
      <c r="K776" s="41" t="s">
        <v>22</v>
      </c>
      <c r="L776" s="42" t="s">
        <v>23</v>
      </c>
      <c r="M776" s="43" t="s">
        <v>24</v>
      </c>
      <c r="N776" s="42" t="s">
        <v>25</v>
      </c>
      <c r="O776" s="42" t="s">
        <v>21</v>
      </c>
      <c r="P776" s="44"/>
    </row>
    <row r="777" spans="1:16" x14ac:dyDescent="0.25">
      <c r="A777" t="str">
        <f t="shared" si="12"/>
        <v>ALR_MANCATA_DISATTIVAZIONE_CE1-Allarme mancata disattivazione CE1</v>
      </c>
      <c r="B777" t="str">
        <f>VLOOKUP(A777,'EXPORT IRIS PROD 13-11-2024'!A:A,1,0)</f>
        <v>ALR_MANCATA_DISATTIVAZIONE_CE1-Allarme mancata disattivazione CE1</v>
      </c>
      <c r="C777" t="str">
        <f>VLOOKUP(F777,'EXPORT IRIS PROD 13-11-2024'!F:F,1,0)</f>
        <v>ALR_MANCATA_DISATTIVAZIONE_CE1</v>
      </c>
      <c r="D777" t="str">
        <f>VLOOKUP(G777,'EXPORT IRIS PROD 13-11-2024'!D:D,1,0)</f>
        <v>Allarme mancata disattivazione CE1</v>
      </c>
      <c r="E777" s="37" t="s">
        <v>115</v>
      </c>
      <c r="F777" s="38" t="s">
        <v>1406</v>
      </c>
      <c r="G777" s="45" t="s">
        <v>1407</v>
      </c>
      <c r="H777" s="46" t="s">
        <v>1142</v>
      </c>
      <c r="I777" s="46" t="s">
        <v>715</v>
      </c>
      <c r="J777" s="40" t="s">
        <v>21</v>
      </c>
      <c r="K777" s="41" t="s">
        <v>22</v>
      </c>
      <c r="L777" s="42" t="s">
        <v>23</v>
      </c>
      <c r="M777" s="43" t="s">
        <v>24</v>
      </c>
      <c r="N777" s="42" t="s">
        <v>25</v>
      </c>
      <c r="O777" s="42" t="s">
        <v>21</v>
      </c>
      <c r="P777" s="44"/>
    </row>
    <row r="778" spans="1:16" x14ac:dyDescent="0.25">
      <c r="A778" t="str">
        <f t="shared" si="12"/>
        <v>ALR_MANCATA_DISATTIVAZIONE_CE2-Allarme mancata disattivazione CE2</v>
      </c>
      <c r="B778" t="str">
        <f>VLOOKUP(A778,'EXPORT IRIS PROD 13-11-2024'!A:A,1,0)</f>
        <v>ALR_MANCATA_DISATTIVAZIONE_CE2-Allarme mancata disattivazione CE2</v>
      </c>
      <c r="C778" t="str">
        <f>VLOOKUP(F778,'EXPORT IRIS PROD 13-11-2024'!F:F,1,0)</f>
        <v>ALR_MANCATA_DISATTIVAZIONE_CE2</v>
      </c>
      <c r="D778" t="str">
        <f>VLOOKUP(G778,'EXPORT IRIS PROD 13-11-2024'!D:D,1,0)</f>
        <v>Allarme mancata disattivazione CE2</v>
      </c>
      <c r="E778" s="37" t="s">
        <v>115</v>
      </c>
      <c r="F778" s="38" t="s">
        <v>1408</v>
      </c>
      <c r="G778" s="45" t="s">
        <v>1409</v>
      </c>
      <c r="H778" s="46" t="s">
        <v>1142</v>
      </c>
      <c r="I778" s="46" t="s">
        <v>715</v>
      </c>
      <c r="J778" s="40" t="s">
        <v>21</v>
      </c>
      <c r="K778" s="41" t="s">
        <v>22</v>
      </c>
      <c r="L778" s="42" t="s">
        <v>23</v>
      </c>
      <c r="M778" s="43" t="s">
        <v>24</v>
      </c>
      <c r="N778" s="42" t="s">
        <v>25</v>
      </c>
      <c r="O778" s="42" t="s">
        <v>21</v>
      </c>
      <c r="P778" s="44"/>
    </row>
    <row r="779" spans="1:16" x14ac:dyDescent="0.25">
      <c r="A779" t="str">
        <f t="shared" si="12"/>
        <v>ALR_MANCATO_COMANDO_ACCENSIONE-Allarme mancato comando accensione</v>
      </c>
      <c r="B779" t="str">
        <f>VLOOKUP(A779,'EXPORT IRIS PROD 13-11-2024'!A:A,1,0)</f>
        <v>ALR_MANCATO_COMANDO_ACCENSIONE-Allarme mancato comando accensione</v>
      </c>
      <c r="C779" t="str">
        <f>VLOOKUP(F779,'EXPORT IRIS PROD 13-11-2024'!F:F,1,0)</f>
        <v>ALR_MANCATO_COMANDO_ACCENSIONE</v>
      </c>
      <c r="D779" t="str">
        <f>VLOOKUP(G779,'EXPORT IRIS PROD 13-11-2024'!D:D,1,0)</f>
        <v>Allarme mancato comando accensione</v>
      </c>
      <c r="E779" s="37" t="s">
        <v>85</v>
      </c>
      <c r="F779" s="38" t="s">
        <v>1410</v>
      </c>
      <c r="G779" s="45" t="s">
        <v>1411</v>
      </c>
      <c r="H779" s="46" t="s">
        <v>50</v>
      </c>
      <c r="I779" s="46" t="s">
        <v>124</v>
      </c>
      <c r="J779" s="40" t="s">
        <v>21</v>
      </c>
      <c r="K779" s="41" t="s">
        <v>22</v>
      </c>
      <c r="L779" s="42" t="s">
        <v>23</v>
      </c>
      <c r="M779" s="43" t="s">
        <v>24</v>
      </c>
      <c r="N779" s="42" t="s">
        <v>25</v>
      </c>
      <c r="O779" s="42" t="s">
        <v>21</v>
      </c>
      <c r="P779" s="44"/>
    </row>
    <row r="780" spans="1:16" x14ac:dyDescent="0.25">
      <c r="A780" t="str">
        <f t="shared" si="12"/>
        <v>ALR_MANCATO_COMANDO_ACCENSIONE-Allarme mancato comando accensione</v>
      </c>
      <c r="B780" t="str">
        <f>VLOOKUP(A780,'EXPORT IRIS PROD 13-11-2024'!A:A,1,0)</f>
        <v>ALR_MANCATO_COMANDO_ACCENSIONE-Allarme mancato comando accensione</v>
      </c>
      <c r="C780" t="str">
        <f>VLOOKUP(F780,'EXPORT IRIS PROD 13-11-2024'!F:F,1,0)</f>
        <v>ALR_MANCATO_COMANDO_ACCENSIONE</v>
      </c>
      <c r="D780" t="str">
        <f>VLOOKUP(G780,'EXPORT IRIS PROD 13-11-2024'!D:D,1,0)</f>
        <v>Allarme mancato comando accensione</v>
      </c>
      <c r="E780" s="37" t="s">
        <v>863</v>
      </c>
      <c r="F780" s="38" t="s">
        <v>1410</v>
      </c>
      <c r="G780" s="45" t="s">
        <v>1411</v>
      </c>
      <c r="H780" s="46" t="s">
        <v>274</v>
      </c>
      <c r="I780" s="46" t="s">
        <v>1245</v>
      </c>
      <c r="J780" s="40" t="s">
        <v>21</v>
      </c>
      <c r="K780" s="41" t="s">
        <v>22</v>
      </c>
      <c r="L780" s="42" t="s">
        <v>23</v>
      </c>
      <c r="M780" s="43" t="s">
        <v>24</v>
      </c>
      <c r="N780" s="42" t="s">
        <v>25</v>
      </c>
      <c r="O780" s="42" t="s">
        <v>21</v>
      </c>
      <c r="P780" s="44"/>
    </row>
    <row r="781" spans="1:16" x14ac:dyDescent="0.25">
      <c r="A781" t="str">
        <f t="shared" si="12"/>
        <v>ALR_MANCATO_COMANDO_ACCENSIONE-Allarme mancato comando accensione</v>
      </c>
      <c r="B781" t="str">
        <f>VLOOKUP(A781,'EXPORT IRIS PROD 13-11-2024'!A:A,1,0)</f>
        <v>ALR_MANCATO_COMANDO_ACCENSIONE-Allarme mancato comando accensione</v>
      </c>
      <c r="C781" t="str">
        <f>VLOOKUP(F781,'EXPORT IRIS PROD 13-11-2024'!F:F,1,0)</f>
        <v>ALR_MANCATO_COMANDO_ACCENSIONE</v>
      </c>
      <c r="D781" t="str">
        <f>VLOOKUP(G781,'EXPORT IRIS PROD 13-11-2024'!D:D,1,0)</f>
        <v>Allarme mancato comando accensione</v>
      </c>
      <c r="E781" s="37" t="s">
        <v>35</v>
      </c>
      <c r="F781" s="38" t="s">
        <v>1410</v>
      </c>
      <c r="G781" s="45" t="s">
        <v>1411</v>
      </c>
      <c r="H781" s="46" t="s">
        <v>38</v>
      </c>
      <c r="I781" s="46" t="s">
        <v>39</v>
      </c>
      <c r="J781" s="40" t="s">
        <v>21</v>
      </c>
      <c r="K781" s="41" t="s">
        <v>22</v>
      </c>
      <c r="L781" s="42" t="s">
        <v>23</v>
      </c>
      <c r="M781" s="43" t="s">
        <v>24</v>
      </c>
      <c r="N781" s="42" t="s">
        <v>25</v>
      </c>
      <c r="O781" s="42" t="s">
        <v>21</v>
      </c>
      <c r="P781" s="44"/>
    </row>
    <row r="782" spans="1:16" x14ac:dyDescent="0.25">
      <c r="A782" t="str">
        <f t="shared" si="12"/>
        <v>ALR_MANCATO_COMANDO_ACCENSIONE-Allarme mancato comando accensione</v>
      </c>
      <c r="B782" t="str">
        <f>VLOOKUP(A782,'EXPORT IRIS PROD 13-11-2024'!A:A,1,0)</f>
        <v>ALR_MANCATO_COMANDO_ACCENSIONE-Allarme mancato comando accensione</v>
      </c>
      <c r="C782" t="str">
        <f>VLOOKUP(F782,'EXPORT IRIS PROD 13-11-2024'!F:F,1,0)</f>
        <v>ALR_MANCATO_COMANDO_ACCENSIONE</v>
      </c>
      <c r="D782" t="str">
        <f>VLOOKUP(G782,'EXPORT IRIS PROD 13-11-2024'!D:D,1,0)</f>
        <v>Allarme mancato comando accensione</v>
      </c>
      <c r="E782" s="37" t="s">
        <v>115</v>
      </c>
      <c r="F782" s="38" t="s">
        <v>1410</v>
      </c>
      <c r="G782" s="45" t="s">
        <v>1411</v>
      </c>
      <c r="H782" s="46" t="s">
        <v>1142</v>
      </c>
      <c r="I782" s="46" t="s">
        <v>1204</v>
      </c>
      <c r="J782" s="40" t="s">
        <v>21</v>
      </c>
      <c r="K782" s="41" t="s">
        <v>22</v>
      </c>
      <c r="L782" s="42" t="s">
        <v>23</v>
      </c>
      <c r="M782" s="43" t="s">
        <v>24</v>
      </c>
      <c r="N782" s="42" t="s">
        <v>25</v>
      </c>
      <c r="O782" s="42" t="s">
        <v>21</v>
      </c>
      <c r="P782" s="44"/>
    </row>
    <row r="783" spans="1:16" x14ac:dyDescent="0.25">
      <c r="A783" t="str">
        <f t="shared" si="12"/>
        <v>ALR_MANCATO_COMANDO_ACCENSIONE-Allarme mancato comando accensione</v>
      </c>
      <c r="B783" t="str">
        <f>VLOOKUP(A783,'EXPORT IRIS PROD 13-11-2024'!A:A,1,0)</f>
        <v>ALR_MANCATO_COMANDO_ACCENSIONE-Allarme mancato comando accensione</v>
      </c>
      <c r="C783" t="str">
        <f>VLOOKUP(F783,'EXPORT IRIS PROD 13-11-2024'!F:F,1,0)</f>
        <v>ALR_MANCATO_COMANDO_ACCENSIONE</v>
      </c>
      <c r="D783" t="str">
        <f>VLOOKUP(G783,'EXPORT IRIS PROD 13-11-2024'!D:D,1,0)</f>
        <v>Allarme mancato comando accensione</v>
      </c>
      <c r="E783" s="37" t="s">
        <v>115</v>
      </c>
      <c r="F783" s="38" t="s">
        <v>1410</v>
      </c>
      <c r="G783" s="45" t="s">
        <v>1411</v>
      </c>
      <c r="H783" s="46" t="s">
        <v>1142</v>
      </c>
      <c r="I783" s="46" t="s">
        <v>1412</v>
      </c>
      <c r="J783" s="40" t="s">
        <v>21</v>
      </c>
      <c r="K783" s="41" t="s">
        <v>22</v>
      </c>
      <c r="L783" s="42" t="s">
        <v>23</v>
      </c>
      <c r="M783" s="43" t="s">
        <v>24</v>
      </c>
      <c r="N783" s="42" t="s">
        <v>25</v>
      </c>
      <c r="O783" s="42" t="s">
        <v>21</v>
      </c>
      <c r="P783" s="44"/>
    </row>
    <row r="784" spans="1:16" x14ac:dyDescent="0.25">
      <c r="A784" t="str">
        <f t="shared" si="12"/>
        <v>ALR_MANCATO_COMANDO_ACCENSIONE-Allarme mancato comando accensione</v>
      </c>
      <c r="B784" t="str">
        <f>VLOOKUP(A784,'EXPORT IRIS PROD 13-11-2024'!A:A,1,0)</f>
        <v>ALR_MANCATO_COMANDO_ACCENSIONE-Allarme mancato comando accensione</v>
      </c>
      <c r="C784" t="str">
        <f>VLOOKUP(F784,'EXPORT IRIS PROD 13-11-2024'!F:F,1,0)</f>
        <v>ALR_MANCATO_COMANDO_ACCENSIONE</v>
      </c>
      <c r="D784" t="str">
        <f>VLOOKUP(G784,'EXPORT IRIS PROD 13-11-2024'!D:D,1,0)</f>
        <v>Allarme mancato comando accensione</v>
      </c>
      <c r="E784" s="37" t="s">
        <v>115</v>
      </c>
      <c r="F784" s="38" t="s">
        <v>1410</v>
      </c>
      <c r="G784" s="45" t="s">
        <v>1411</v>
      </c>
      <c r="H784" s="46" t="s">
        <v>1142</v>
      </c>
      <c r="I784" s="46" t="s">
        <v>1413</v>
      </c>
      <c r="J784" s="40" t="s">
        <v>21</v>
      </c>
      <c r="K784" s="41" t="s">
        <v>22</v>
      </c>
      <c r="L784" s="42" t="s">
        <v>23</v>
      </c>
      <c r="M784" s="43" t="s">
        <v>24</v>
      </c>
      <c r="N784" s="42" t="s">
        <v>25</v>
      </c>
      <c r="O784" s="42" t="s">
        <v>21</v>
      </c>
      <c r="P784" s="44"/>
    </row>
    <row r="785" spans="1:16" x14ac:dyDescent="0.25">
      <c r="A785" t="str">
        <f t="shared" si="12"/>
        <v>ALR_MANCATO_COMANDO_DIR_DX-Allarme mancato comando dx</v>
      </c>
      <c r="B785" t="str">
        <f>VLOOKUP(A785,'EXPORT IRIS PROD 13-11-2024'!A:A,1,0)</f>
        <v>ALR_MANCATO_COMANDO_DIR_DX-Allarme mancato comando dx</v>
      </c>
      <c r="C785" t="str">
        <f>VLOOKUP(F785,'EXPORT IRIS PROD 13-11-2024'!F:F,1,0)</f>
        <v>ALR_MANCATO_COMANDO_DIR_DX</v>
      </c>
      <c r="D785" t="str">
        <f>VLOOKUP(G785,'EXPORT IRIS PROD 13-11-2024'!D:D,1,0)</f>
        <v>Allarme mancato comando dx</v>
      </c>
      <c r="E785" s="37" t="s">
        <v>85</v>
      </c>
      <c r="F785" s="38" t="s">
        <v>1414</v>
      </c>
      <c r="G785" s="45" t="s">
        <v>1415</v>
      </c>
      <c r="H785" s="46" t="s">
        <v>50</v>
      </c>
      <c r="I785" s="46" t="s">
        <v>124</v>
      </c>
      <c r="J785" s="40" t="s">
        <v>21</v>
      </c>
      <c r="K785" s="41" t="s">
        <v>22</v>
      </c>
      <c r="L785" s="42" t="s">
        <v>23</v>
      </c>
      <c r="M785" s="43" t="s">
        <v>24</v>
      </c>
      <c r="N785" s="42" t="s">
        <v>25</v>
      </c>
      <c r="O785" s="42" t="s">
        <v>21</v>
      </c>
      <c r="P785" s="44"/>
    </row>
    <row r="786" spans="1:16" x14ac:dyDescent="0.25">
      <c r="A786" t="str">
        <f t="shared" si="12"/>
        <v>ALR_MANCATO_COMANDO_DIR_SX-Allarme mancato comando sx</v>
      </c>
      <c r="B786" t="str">
        <f>VLOOKUP(A786,'EXPORT IRIS PROD 13-11-2024'!A:A,1,0)</f>
        <v>ALR_MANCATO_COMANDO_DIR_SX-Allarme mancato comando sx</v>
      </c>
      <c r="C786" t="str">
        <f>VLOOKUP(F786,'EXPORT IRIS PROD 13-11-2024'!F:F,1,0)</f>
        <v>ALR_MANCATO_COMANDO_DIR_SX</v>
      </c>
      <c r="D786" t="str">
        <f>VLOOKUP(G786,'EXPORT IRIS PROD 13-11-2024'!D:D,1,0)</f>
        <v>Allarme mancato comando sx</v>
      </c>
      <c r="E786" s="37" t="s">
        <v>85</v>
      </c>
      <c r="F786" s="38" t="s">
        <v>1416</v>
      </c>
      <c r="G786" s="45" t="s">
        <v>1417</v>
      </c>
      <c r="H786" s="46" t="s">
        <v>50</v>
      </c>
      <c r="I786" s="46" t="s">
        <v>124</v>
      </c>
      <c r="J786" s="40" t="s">
        <v>21</v>
      </c>
      <c r="K786" s="41" t="s">
        <v>22</v>
      </c>
      <c r="L786" s="42" t="s">
        <v>23</v>
      </c>
      <c r="M786" s="43" t="s">
        <v>24</v>
      </c>
      <c r="N786" s="42" t="s">
        <v>25</v>
      </c>
      <c r="O786" s="42" t="s">
        <v>21</v>
      </c>
      <c r="P786" s="44"/>
    </row>
    <row r="787" spans="1:16" x14ac:dyDescent="0.25">
      <c r="A787" t="str">
        <f t="shared" si="12"/>
        <v>ALR_MANCATO_COMANDO_SPEGNIMENTO-Allarme mancato comando spegnimento</v>
      </c>
      <c r="B787" t="str">
        <f>VLOOKUP(A787,'EXPORT IRIS PROD 13-11-2024'!A:A,1,0)</f>
        <v>ALR_MANCATO_COMANDO_SPEGNIMENTO-Allarme mancato comando spegnimento</v>
      </c>
      <c r="C787" t="str">
        <f>VLOOKUP(F787,'EXPORT IRIS PROD 13-11-2024'!F:F,1,0)</f>
        <v>ALR_MANCATO_COMANDO_SPEGNIMENTO</v>
      </c>
      <c r="D787" t="str">
        <f>VLOOKUP(G787,'EXPORT IRIS PROD 13-11-2024'!D:D,1,0)</f>
        <v>Allarme mancato comando spegnimento</v>
      </c>
      <c r="E787" s="37" t="s">
        <v>85</v>
      </c>
      <c r="F787" s="38" t="s">
        <v>1418</v>
      </c>
      <c r="G787" s="45" t="s">
        <v>1419</v>
      </c>
      <c r="H787" s="46" t="s">
        <v>50</v>
      </c>
      <c r="I787" s="46" t="s">
        <v>124</v>
      </c>
      <c r="J787" s="40" t="s">
        <v>21</v>
      </c>
      <c r="K787" s="41" t="s">
        <v>22</v>
      </c>
      <c r="L787" s="42" t="s">
        <v>23</v>
      </c>
      <c r="M787" s="43" t="s">
        <v>24</v>
      </c>
      <c r="N787" s="42" t="s">
        <v>25</v>
      </c>
      <c r="O787" s="42" t="s">
        <v>21</v>
      </c>
      <c r="P787" s="44"/>
    </row>
    <row r="788" spans="1:16" x14ac:dyDescent="0.25">
      <c r="A788" t="str">
        <f t="shared" si="12"/>
        <v>ALR_MANCATO_COMANDO_SPEGNIMENTO-Allarme mancato comando spegnimento</v>
      </c>
      <c r="B788" t="str">
        <f>VLOOKUP(A788,'EXPORT IRIS PROD 13-11-2024'!A:A,1,0)</f>
        <v>ALR_MANCATO_COMANDO_SPEGNIMENTO-Allarme mancato comando spegnimento</v>
      </c>
      <c r="C788" t="str">
        <f>VLOOKUP(F788,'EXPORT IRIS PROD 13-11-2024'!F:F,1,0)</f>
        <v>ALR_MANCATO_COMANDO_SPEGNIMENTO</v>
      </c>
      <c r="D788" t="str">
        <f>VLOOKUP(G788,'EXPORT IRIS PROD 13-11-2024'!D:D,1,0)</f>
        <v>Allarme mancato comando spegnimento</v>
      </c>
      <c r="E788" s="37" t="s">
        <v>35</v>
      </c>
      <c r="F788" s="38" t="s">
        <v>1418</v>
      </c>
      <c r="G788" s="45" t="s">
        <v>1419</v>
      </c>
      <c r="H788" s="46" t="s">
        <v>38</v>
      </c>
      <c r="I788" s="46" t="s">
        <v>39</v>
      </c>
      <c r="J788" s="40" t="s">
        <v>21</v>
      </c>
      <c r="K788" s="41" t="s">
        <v>22</v>
      </c>
      <c r="L788" s="42" t="s">
        <v>23</v>
      </c>
      <c r="M788" s="43" t="s">
        <v>24</v>
      </c>
      <c r="N788" s="42" t="s">
        <v>25</v>
      </c>
      <c r="O788" s="42" t="s">
        <v>21</v>
      </c>
      <c r="P788" s="44"/>
    </row>
    <row r="789" spans="1:16" x14ac:dyDescent="0.25">
      <c r="A789" t="str">
        <f t="shared" si="12"/>
        <v>ALR_MANCATO_COMANDO_SPEGNIMENTO-Allarme mancato comando spegnimento</v>
      </c>
      <c r="B789" t="str">
        <f>VLOOKUP(A789,'EXPORT IRIS PROD 13-11-2024'!A:A,1,0)</f>
        <v>ALR_MANCATO_COMANDO_SPEGNIMENTO-Allarme mancato comando spegnimento</v>
      </c>
      <c r="C789" t="str">
        <f>VLOOKUP(F789,'EXPORT IRIS PROD 13-11-2024'!F:F,1,0)</f>
        <v>ALR_MANCATO_COMANDO_SPEGNIMENTO</v>
      </c>
      <c r="D789" t="str">
        <f>VLOOKUP(G789,'EXPORT IRIS PROD 13-11-2024'!D:D,1,0)</f>
        <v>Allarme mancato comando spegnimento</v>
      </c>
      <c r="E789" s="37" t="s">
        <v>115</v>
      </c>
      <c r="F789" s="38" t="s">
        <v>1418</v>
      </c>
      <c r="G789" s="45" t="s">
        <v>1419</v>
      </c>
      <c r="H789" s="46" t="s">
        <v>1142</v>
      </c>
      <c r="I789" s="46" t="s">
        <v>1204</v>
      </c>
      <c r="J789" s="40" t="s">
        <v>21</v>
      </c>
      <c r="K789" s="41" t="s">
        <v>22</v>
      </c>
      <c r="L789" s="42" t="s">
        <v>23</v>
      </c>
      <c r="M789" s="43" t="s">
        <v>24</v>
      </c>
      <c r="N789" s="42" t="s">
        <v>25</v>
      </c>
      <c r="O789" s="42" t="s">
        <v>21</v>
      </c>
      <c r="P789" s="44"/>
    </row>
    <row r="790" spans="1:16" x14ac:dyDescent="0.25">
      <c r="A790" t="str">
        <f t="shared" si="12"/>
        <v>ALR_MANCATO_COMANDO_SPEGNIMENTO-Allarme mancato comando spegnimento</v>
      </c>
      <c r="B790" t="str">
        <f>VLOOKUP(A790,'EXPORT IRIS PROD 13-11-2024'!A:A,1,0)</f>
        <v>ALR_MANCATO_COMANDO_SPEGNIMENTO-Allarme mancato comando spegnimento</v>
      </c>
      <c r="C790" t="str">
        <f>VLOOKUP(F790,'EXPORT IRIS PROD 13-11-2024'!F:F,1,0)</f>
        <v>ALR_MANCATO_COMANDO_SPEGNIMENTO</v>
      </c>
      <c r="D790" t="str">
        <f>VLOOKUP(G790,'EXPORT IRIS PROD 13-11-2024'!D:D,1,0)</f>
        <v>Allarme mancato comando spegnimento</v>
      </c>
      <c r="E790" s="37" t="s">
        <v>115</v>
      </c>
      <c r="F790" s="38" t="s">
        <v>1418</v>
      </c>
      <c r="G790" s="45" t="s">
        <v>1419</v>
      </c>
      <c r="H790" s="46" t="s">
        <v>1142</v>
      </c>
      <c r="I790" s="46" t="s">
        <v>1412</v>
      </c>
      <c r="J790" s="40" t="s">
        <v>21</v>
      </c>
      <c r="K790" s="41" t="s">
        <v>22</v>
      </c>
      <c r="L790" s="42" t="s">
        <v>23</v>
      </c>
      <c r="M790" s="43" t="s">
        <v>24</v>
      </c>
      <c r="N790" s="42" t="s">
        <v>25</v>
      </c>
      <c r="O790" s="42" t="s">
        <v>21</v>
      </c>
      <c r="P790" s="44"/>
    </row>
    <row r="791" spans="1:16" x14ac:dyDescent="0.25">
      <c r="A791" t="str">
        <f t="shared" si="12"/>
        <v>ALR_MANCATO_COMANDO_SPEGNIMENTO-Allarme mancato comando spegnimento</v>
      </c>
      <c r="B791" t="str">
        <f>VLOOKUP(A791,'EXPORT IRIS PROD 13-11-2024'!A:A,1,0)</f>
        <v>ALR_MANCATO_COMANDO_SPEGNIMENTO-Allarme mancato comando spegnimento</v>
      </c>
      <c r="C791" t="str">
        <f>VLOOKUP(F791,'EXPORT IRIS PROD 13-11-2024'!F:F,1,0)</f>
        <v>ALR_MANCATO_COMANDO_SPEGNIMENTO</v>
      </c>
      <c r="D791" t="str">
        <f>VLOOKUP(G791,'EXPORT IRIS PROD 13-11-2024'!D:D,1,0)</f>
        <v>Allarme mancato comando spegnimento</v>
      </c>
      <c r="E791" s="37" t="s">
        <v>115</v>
      </c>
      <c r="F791" s="38" t="s">
        <v>1418</v>
      </c>
      <c r="G791" s="45" t="s">
        <v>1419</v>
      </c>
      <c r="H791" s="46" t="s">
        <v>1142</v>
      </c>
      <c r="I791" s="46" t="s">
        <v>1413</v>
      </c>
      <c r="J791" s="40" t="s">
        <v>21</v>
      </c>
      <c r="K791" s="41" t="s">
        <v>22</v>
      </c>
      <c r="L791" s="42" t="s">
        <v>23</v>
      </c>
      <c r="M791" s="43" t="s">
        <v>24</v>
      </c>
      <c r="N791" s="42" t="s">
        <v>25</v>
      </c>
      <c r="O791" s="42" t="s">
        <v>21</v>
      </c>
      <c r="P791" s="44"/>
    </row>
    <row r="792" spans="1:16" x14ac:dyDescent="0.25">
      <c r="A792" t="str">
        <f t="shared" si="12"/>
        <v>ALR_MANCATO_PRERISCALDO_GE-Allarme mancato preriscaldo gruppo elettrogeno</v>
      </c>
      <c r="B792" t="str">
        <f>VLOOKUP(A792,'EXPORT IRIS PROD 13-11-2024'!A:A,1,0)</f>
        <v>ALR_MANCATO_PRERISCALDO_GE-Allarme mancato preriscaldo gruppo elettrogeno</v>
      </c>
      <c r="C792" t="str">
        <f>VLOOKUP(F792,'EXPORT IRIS PROD 13-11-2024'!F:F,1,0)</f>
        <v>ALR_MANCATO_PRERISCALDO_GE</v>
      </c>
      <c r="D792" t="str">
        <f>VLOOKUP(G792,'EXPORT IRIS PROD 13-11-2024'!D:D,1,0)</f>
        <v>Allarme mancato preriscaldo gruppo elettrogeno</v>
      </c>
      <c r="E792" s="37" t="s">
        <v>53</v>
      </c>
      <c r="F792" s="38" t="s">
        <v>1420</v>
      </c>
      <c r="G792" s="45" t="s">
        <v>1421</v>
      </c>
      <c r="H792" s="46" t="s">
        <v>56</v>
      </c>
      <c r="I792" s="46" t="s">
        <v>57</v>
      </c>
      <c r="J792" s="40" t="s">
        <v>21</v>
      </c>
      <c r="K792" s="41" t="s">
        <v>22</v>
      </c>
      <c r="L792" s="42" t="s">
        <v>23</v>
      </c>
      <c r="M792" s="43" t="s">
        <v>24</v>
      </c>
      <c r="N792" s="42" t="s">
        <v>25</v>
      </c>
      <c r="O792" s="42" t="s">
        <v>21</v>
      </c>
      <c r="P792" s="44"/>
    </row>
    <row r="793" spans="1:16" x14ac:dyDescent="0.25">
      <c r="A793" t="str">
        <f t="shared" si="12"/>
        <v>ALR_MASSIMA_CORRENTE-Allarme corrente massima</v>
      </c>
      <c r="B793" t="str">
        <f>VLOOKUP(A793,'EXPORT IRIS PROD 13-11-2024'!A:A,1,0)</f>
        <v>ALR_MASSIMA_CORRENTE-Allarme corrente massima</v>
      </c>
      <c r="C793" t="str">
        <f>VLOOKUP(F793,'EXPORT IRIS PROD 13-11-2024'!F:F,1,0)</f>
        <v>ALR_MASSIMA_CORRENTE</v>
      </c>
      <c r="D793" t="str">
        <f>VLOOKUP(G793,'EXPORT IRIS PROD 13-11-2024'!D:D,1,0)</f>
        <v>Allarme corrente massima</v>
      </c>
      <c r="E793" s="37" t="s">
        <v>1201</v>
      </c>
      <c r="F793" s="38" t="s">
        <v>1422</v>
      </c>
      <c r="G793" s="45" t="s">
        <v>1423</v>
      </c>
      <c r="H793" s="46" t="s">
        <v>965</v>
      </c>
      <c r="I793" s="46" t="s">
        <v>1204</v>
      </c>
      <c r="J793" s="40" t="s">
        <v>21</v>
      </c>
      <c r="K793" s="41" t="s">
        <v>22</v>
      </c>
      <c r="L793" s="42" t="s">
        <v>23</v>
      </c>
      <c r="M793" s="43" t="s">
        <v>24</v>
      </c>
      <c r="N793" s="42" t="s">
        <v>25</v>
      </c>
      <c r="O793" s="42" t="s">
        <v>21</v>
      </c>
      <c r="P793" s="44"/>
    </row>
    <row r="794" spans="1:16" x14ac:dyDescent="0.25">
      <c r="A794" t="str">
        <f t="shared" si="12"/>
        <v>ALR_MAX_TENSIONE-Allarme massima tensione</v>
      </c>
      <c r="B794" t="str">
        <f>VLOOKUP(A794,'EXPORT IRIS PROD 13-11-2024'!A:A,1,0)</f>
        <v>ALR_MAX_TENSIONE-Allarme massima tensione</v>
      </c>
      <c r="C794" t="str">
        <f>VLOOKUP(F794,'EXPORT IRIS PROD 13-11-2024'!F:F,1,0)</f>
        <v>ALR_MAX_TENSIONE</v>
      </c>
      <c r="D794" t="str">
        <f>VLOOKUP(G794,'EXPORT IRIS PROD 13-11-2024'!D:D,1,0)</f>
        <v>Allarme massima tensione</v>
      </c>
      <c r="E794" s="37" t="s">
        <v>1201</v>
      </c>
      <c r="F794" s="38" t="s">
        <v>1424</v>
      </c>
      <c r="G794" s="45" t="s">
        <v>1425</v>
      </c>
      <c r="H794" s="46" t="s">
        <v>1113</v>
      </c>
      <c r="I794" s="46" t="s">
        <v>1204</v>
      </c>
      <c r="J794" s="40" t="s">
        <v>21</v>
      </c>
      <c r="K794" s="41" t="s">
        <v>22</v>
      </c>
      <c r="L794" s="42" t="s">
        <v>23</v>
      </c>
      <c r="M794" s="43" t="s">
        <v>24</v>
      </c>
      <c r="N794" s="42" t="s">
        <v>25</v>
      </c>
      <c r="O794" s="42" t="s">
        <v>21</v>
      </c>
      <c r="P794" s="44"/>
    </row>
    <row r="795" spans="1:16" x14ac:dyDescent="0.25">
      <c r="A795" t="str">
        <f t="shared" si="12"/>
        <v>ALR_MEMORIA-Allarme memoria</v>
      </c>
      <c r="B795" t="str">
        <f>VLOOKUP(A795,'EXPORT IRIS PROD 13-11-2024'!A:A,1,0)</f>
        <v>ALR_MEMORIA-Allarme memoria</v>
      </c>
      <c r="C795" t="str">
        <f>VLOOKUP(F795,'EXPORT IRIS PROD 13-11-2024'!F:F,1,0)</f>
        <v>ALR_MEMORIA</v>
      </c>
      <c r="D795" t="str">
        <f>VLOOKUP(G795,'EXPORT IRIS PROD 13-11-2024'!D:D,1,0)</f>
        <v>Allarme memoria</v>
      </c>
      <c r="E795" s="37" t="s">
        <v>85</v>
      </c>
      <c r="F795" s="38" t="s">
        <v>1426</v>
      </c>
      <c r="G795" s="45" t="s">
        <v>1427</v>
      </c>
      <c r="H795" s="46" t="s">
        <v>50</v>
      </c>
      <c r="I795" s="46" t="s">
        <v>124</v>
      </c>
      <c r="J795" s="40" t="s">
        <v>21</v>
      </c>
      <c r="K795" s="41" t="s">
        <v>22</v>
      </c>
      <c r="L795" s="42" t="s">
        <v>23</v>
      </c>
      <c r="M795" s="43" t="s">
        <v>24</v>
      </c>
      <c r="N795" s="42" t="s">
        <v>25</v>
      </c>
      <c r="O795" s="42" t="s">
        <v>21</v>
      </c>
      <c r="P795" s="44"/>
    </row>
    <row r="796" spans="1:16" x14ac:dyDescent="0.25">
      <c r="A796" t="str">
        <f t="shared" si="12"/>
        <v>ALR_MEMORIA-Allarme memoria</v>
      </c>
      <c r="B796" t="str">
        <f>VLOOKUP(A796,'EXPORT IRIS PROD 13-11-2024'!A:A,1,0)</f>
        <v>ALR_MEMORIA-Allarme memoria</v>
      </c>
      <c r="C796" t="str">
        <f>VLOOKUP(F796,'EXPORT IRIS PROD 13-11-2024'!F:F,1,0)</f>
        <v>ALR_MEMORIA</v>
      </c>
      <c r="D796" t="str">
        <f>VLOOKUP(G796,'EXPORT IRIS PROD 13-11-2024'!D:D,1,0)</f>
        <v>Allarme memoria</v>
      </c>
      <c r="E796" s="37" t="s">
        <v>16</v>
      </c>
      <c r="F796" s="38" t="s">
        <v>1426</v>
      </c>
      <c r="G796" s="45" t="s">
        <v>1427</v>
      </c>
      <c r="H796" s="46" t="s">
        <v>1156</v>
      </c>
      <c r="I796" s="46" t="s">
        <v>167</v>
      </c>
      <c r="J796" s="40" t="s">
        <v>21</v>
      </c>
      <c r="K796" s="41" t="s">
        <v>22</v>
      </c>
      <c r="L796" s="42" t="s">
        <v>23</v>
      </c>
      <c r="M796" s="43" t="s">
        <v>24</v>
      </c>
      <c r="N796" s="42" t="s">
        <v>25</v>
      </c>
      <c r="O796" s="42" t="s">
        <v>21</v>
      </c>
      <c r="P796" s="44"/>
    </row>
    <row r="797" spans="1:16" x14ac:dyDescent="0.25">
      <c r="A797" t="str">
        <f t="shared" si="12"/>
        <v>ALR_MEMORIA-Allarme memoria</v>
      </c>
      <c r="B797" t="str">
        <f>VLOOKUP(A797,'EXPORT IRIS PROD 13-11-2024'!A:A,1,0)</f>
        <v>ALR_MEMORIA-Allarme memoria</v>
      </c>
      <c r="C797" t="str">
        <f>VLOOKUP(F797,'EXPORT IRIS PROD 13-11-2024'!F:F,1,0)</f>
        <v>ALR_MEMORIA</v>
      </c>
      <c r="D797" t="str">
        <f>VLOOKUP(G797,'EXPORT IRIS PROD 13-11-2024'!D:D,1,0)</f>
        <v>Allarme memoria</v>
      </c>
      <c r="E797" s="37" t="s">
        <v>89</v>
      </c>
      <c r="F797" s="38" t="s">
        <v>1426</v>
      </c>
      <c r="G797" s="45" t="s">
        <v>1427</v>
      </c>
      <c r="H797" s="46" t="s">
        <v>29</v>
      </c>
      <c r="I797" s="46" t="s">
        <v>360</v>
      </c>
      <c r="J797" s="40" t="s">
        <v>21</v>
      </c>
      <c r="K797" s="41" t="s">
        <v>22</v>
      </c>
      <c r="L797" s="42" t="s">
        <v>23</v>
      </c>
      <c r="M797" s="43" t="s">
        <v>24</v>
      </c>
      <c r="N797" s="42" t="s">
        <v>25</v>
      </c>
      <c r="O797" s="42" t="s">
        <v>21</v>
      </c>
      <c r="P797" s="44"/>
    </row>
    <row r="798" spans="1:16" x14ac:dyDescent="0.25">
      <c r="A798" t="str">
        <f t="shared" si="12"/>
        <v>ALR_MEMORIA-Allarme memoria</v>
      </c>
      <c r="B798" t="str">
        <f>VLOOKUP(A798,'EXPORT IRIS PROD 13-11-2024'!A:A,1,0)</f>
        <v>ALR_MEMORIA-Allarme memoria</v>
      </c>
      <c r="C798" t="str">
        <f>VLOOKUP(F798,'EXPORT IRIS PROD 13-11-2024'!F:F,1,0)</f>
        <v>ALR_MEMORIA</v>
      </c>
      <c r="D798" t="str">
        <f>VLOOKUP(G798,'EXPORT IRIS PROD 13-11-2024'!D:D,1,0)</f>
        <v>Allarme memoria</v>
      </c>
      <c r="E798" s="37" t="s">
        <v>105</v>
      </c>
      <c r="F798" s="38" t="s">
        <v>1426</v>
      </c>
      <c r="G798" s="45" t="s">
        <v>1427</v>
      </c>
      <c r="H798" s="46" t="s">
        <v>43</v>
      </c>
      <c r="I798" s="46" t="s">
        <v>1347</v>
      </c>
      <c r="J798" s="40" t="s">
        <v>21</v>
      </c>
      <c r="K798" s="41" t="s">
        <v>22</v>
      </c>
      <c r="L798" s="42" t="s">
        <v>23</v>
      </c>
      <c r="M798" s="43" t="s">
        <v>24</v>
      </c>
      <c r="N798" s="42" t="s">
        <v>25</v>
      </c>
      <c r="O798" s="42" t="s">
        <v>21</v>
      </c>
      <c r="P798" s="44"/>
    </row>
    <row r="799" spans="1:16" x14ac:dyDescent="0.25">
      <c r="A799" t="str">
        <f t="shared" si="12"/>
        <v>ALR_MEMORIA-Allarme memoria</v>
      </c>
      <c r="B799" t="str">
        <f>VLOOKUP(A799,'EXPORT IRIS PROD 13-11-2024'!A:A,1,0)</f>
        <v>ALR_MEMORIA-Allarme memoria</v>
      </c>
      <c r="C799" t="str">
        <f>VLOOKUP(F799,'EXPORT IRIS PROD 13-11-2024'!F:F,1,0)</f>
        <v>ALR_MEMORIA</v>
      </c>
      <c r="D799" t="str">
        <f>VLOOKUP(G799,'EXPORT IRIS PROD 13-11-2024'!D:D,1,0)</f>
        <v>Allarme memoria</v>
      </c>
      <c r="E799" s="37" t="s">
        <v>105</v>
      </c>
      <c r="F799" s="38" t="s">
        <v>1426</v>
      </c>
      <c r="G799" s="45" t="s">
        <v>1427</v>
      </c>
      <c r="H799" s="46" t="s">
        <v>43</v>
      </c>
      <c r="I799" s="46" t="s">
        <v>394</v>
      </c>
      <c r="J799" s="40" t="s">
        <v>21</v>
      </c>
      <c r="K799" s="41" t="s">
        <v>22</v>
      </c>
      <c r="L799" s="42" t="s">
        <v>23</v>
      </c>
      <c r="M799" s="43" t="s">
        <v>24</v>
      </c>
      <c r="N799" s="42" t="s">
        <v>25</v>
      </c>
      <c r="O799" s="42" t="s">
        <v>21</v>
      </c>
      <c r="P799" s="44"/>
    </row>
    <row r="800" spans="1:16" x14ac:dyDescent="0.25">
      <c r="A800" t="str">
        <f t="shared" si="12"/>
        <v>ALR_MEMORIA_113-Allarme memoria 113</v>
      </c>
      <c r="B800" t="str">
        <f>VLOOKUP(A800,'EXPORT IRIS PROD 13-11-2024'!A:A,1,0)</f>
        <v>ALR_MEMORIA_113-Allarme memoria 113</v>
      </c>
      <c r="C800" t="str">
        <f>VLOOKUP(F800,'EXPORT IRIS PROD 13-11-2024'!F:F,1,0)</f>
        <v>ALR_MEMORIA_113</v>
      </c>
      <c r="D800" t="str">
        <f>VLOOKUP(G800,'EXPORT IRIS PROD 13-11-2024'!D:D,1,0)</f>
        <v>Allarme memoria 113</v>
      </c>
      <c r="E800" s="37" t="s">
        <v>89</v>
      </c>
      <c r="F800" s="38" t="s">
        <v>1428</v>
      </c>
      <c r="G800" s="45" t="s">
        <v>1429</v>
      </c>
      <c r="H800" s="46" t="s">
        <v>29</v>
      </c>
      <c r="I800" s="46" t="s">
        <v>360</v>
      </c>
      <c r="J800" s="40" t="s">
        <v>21</v>
      </c>
      <c r="K800" s="41" t="s">
        <v>22</v>
      </c>
      <c r="L800" s="42" t="s">
        <v>23</v>
      </c>
      <c r="M800" s="43" t="s">
        <v>24</v>
      </c>
      <c r="N800" s="42" t="s">
        <v>25</v>
      </c>
      <c r="O800" s="42" t="s">
        <v>21</v>
      </c>
      <c r="P800" s="44"/>
    </row>
    <row r="801" spans="1:16" x14ac:dyDescent="0.25">
      <c r="A801" t="str">
        <f t="shared" si="12"/>
        <v>ALR_MEMORIA_115-Allarme memoria 115</v>
      </c>
      <c r="B801" t="str">
        <f>VLOOKUP(A801,'EXPORT IRIS PROD 13-11-2024'!A:A,1,0)</f>
        <v>ALR_MEMORIA_115-Allarme memoria 115</v>
      </c>
      <c r="C801" t="str">
        <f>VLOOKUP(F801,'EXPORT IRIS PROD 13-11-2024'!F:F,1,0)</f>
        <v>ALR_MEMORIA_115</v>
      </c>
      <c r="D801" t="str">
        <f>VLOOKUP(G801,'EXPORT IRIS PROD 13-11-2024'!D:D,1,0)</f>
        <v>Allarme memoria 115</v>
      </c>
      <c r="E801" s="37" t="s">
        <v>89</v>
      </c>
      <c r="F801" s="38" t="s">
        <v>1430</v>
      </c>
      <c r="G801" s="45" t="s">
        <v>1431</v>
      </c>
      <c r="H801" s="46" t="s">
        <v>29</v>
      </c>
      <c r="I801" s="46" t="s">
        <v>360</v>
      </c>
      <c r="J801" s="40" t="s">
        <v>21</v>
      </c>
      <c r="K801" s="41" t="s">
        <v>22</v>
      </c>
      <c r="L801" s="42" t="s">
        <v>23</v>
      </c>
      <c r="M801" s="43" t="s">
        <v>24</v>
      </c>
      <c r="N801" s="42" t="s">
        <v>25</v>
      </c>
      <c r="O801" s="42" t="s">
        <v>21</v>
      </c>
      <c r="P801" s="44"/>
    </row>
    <row r="802" spans="1:16" x14ac:dyDescent="0.25">
      <c r="A802" t="str">
        <f t="shared" si="12"/>
        <v>ALR_MEMORIA_118-Allarme memoria 118</v>
      </c>
      <c r="B802" t="str">
        <f>VLOOKUP(A802,'EXPORT IRIS PROD 13-11-2024'!A:A,1,0)</f>
        <v>ALR_MEMORIA_118-Allarme memoria 118</v>
      </c>
      <c r="C802" t="str">
        <f>VLOOKUP(F802,'EXPORT IRIS PROD 13-11-2024'!F:F,1,0)</f>
        <v>ALR_MEMORIA_118</v>
      </c>
      <c r="D802" t="str">
        <f>VLOOKUP(G802,'EXPORT IRIS PROD 13-11-2024'!D:D,1,0)</f>
        <v>Allarme memoria 118</v>
      </c>
      <c r="E802" s="37" t="s">
        <v>89</v>
      </c>
      <c r="F802" s="38" t="s">
        <v>1432</v>
      </c>
      <c r="G802" s="45" t="s">
        <v>1433</v>
      </c>
      <c r="H802" s="46" t="s">
        <v>29</v>
      </c>
      <c r="I802" s="46" t="s">
        <v>360</v>
      </c>
      <c r="J802" s="40" t="s">
        <v>21</v>
      </c>
      <c r="K802" s="41" t="s">
        <v>22</v>
      </c>
      <c r="L802" s="42" t="s">
        <v>23</v>
      </c>
      <c r="M802" s="43" t="s">
        <v>24</v>
      </c>
      <c r="N802" s="42" t="s">
        <v>25</v>
      </c>
      <c r="O802" s="42" t="s">
        <v>21</v>
      </c>
      <c r="P802" s="44"/>
    </row>
    <row r="803" spans="1:16" x14ac:dyDescent="0.25">
      <c r="A803" t="str">
        <f t="shared" si="12"/>
        <v>ALR_MEMORIA_803116-Allarme memoria SOS soccorso meccanico</v>
      </c>
      <c r="B803" t="str">
        <f>VLOOKUP(A803,'EXPORT IRIS PROD 13-11-2024'!A:A,1,0)</f>
        <v>ALR_MEMORIA_803116-Allarme memoria SOS soccorso meccanico</v>
      </c>
      <c r="C803" t="str">
        <f>VLOOKUP(F803,'EXPORT IRIS PROD 13-11-2024'!F:F,1,0)</f>
        <v>ALR_MEMORIA_803116</v>
      </c>
      <c r="D803" t="str">
        <f>VLOOKUP(G803,'EXPORT IRIS PROD 13-11-2024'!D:D,1,0)</f>
        <v>Allarme memoria SOS soccorso meccanico</v>
      </c>
      <c r="E803" s="37" t="s">
        <v>89</v>
      </c>
      <c r="F803" s="38" t="s">
        <v>1434</v>
      </c>
      <c r="G803" s="45" t="s">
        <v>1435</v>
      </c>
      <c r="H803" s="46" t="s">
        <v>29</v>
      </c>
      <c r="I803" s="46" t="s">
        <v>360</v>
      </c>
      <c r="J803" s="40" t="s">
        <v>21</v>
      </c>
      <c r="K803" s="41" t="s">
        <v>22</v>
      </c>
      <c r="L803" s="42" t="s">
        <v>23</v>
      </c>
      <c r="M803" s="43" t="s">
        <v>24</v>
      </c>
      <c r="N803" s="42" t="s">
        <v>25</v>
      </c>
      <c r="O803" s="42" t="s">
        <v>21</v>
      </c>
      <c r="P803" s="44"/>
    </row>
    <row r="804" spans="1:16" x14ac:dyDescent="0.25">
      <c r="A804" t="str">
        <f t="shared" si="12"/>
        <v>ALR_MEMORIA_CO-Allarme memoria CO</v>
      </c>
      <c r="B804" t="str">
        <f>VLOOKUP(A804,'EXPORT IRIS PROD 13-11-2024'!A:A,1,0)</f>
        <v>ALR_MEMORIA_CO-Allarme memoria CO</v>
      </c>
      <c r="C804" t="str">
        <f>VLOOKUP(F804,'EXPORT IRIS PROD 13-11-2024'!F:F,1,0)</f>
        <v>ALR_MEMORIA_CO</v>
      </c>
      <c r="D804" t="str">
        <f>VLOOKUP(G804,'EXPORT IRIS PROD 13-11-2024'!D:D,1,0)</f>
        <v>Allarme memoria CO</v>
      </c>
      <c r="E804" s="37" t="s">
        <v>85</v>
      </c>
      <c r="F804" s="38" t="s">
        <v>1436</v>
      </c>
      <c r="G804" s="45" t="s">
        <v>1437</v>
      </c>
      <c r="H804" s="46" t="s">
        <v>50</v>
      </c>
      <c r="I804" s="46" t="s">
        <v>1438</v>
      </c>
      <c r="J804" s="40" t="s">
        <v>21</v>
      </c>
      <c r="K804" s="41" t="s">
        <v>22</v>
      </c>
      <c r="L804" s="42" t="s">
        <v>23</v>
      </c>
      <c r="M804" s="43" t="s">
        <v>24</v>
      </c>
      <c r="N804" s="42" t="s">
        <v>25</v>
      </c>
      <c r="O804" s="42" t="s">
        <v>21</v>
      </c>
      <c r="P804" s="44"/>
    </row>
    <row r="805" spans="1:16" x14ac:dyDescent="0.25">
      <c r="A805" t="str">
        <f t="shared" si="12"/>
        <v>ALR_MEMORIA_ESTINTORE_2_ESTRATTO-Allarme memoria estintore 2 estratto</v>
      </c>
      <c r="B805" t="str">
        <f>VLOOKUP(A805,'EXPORT IRIS PROD 13-11-2024'!A:A,1,0)</f>
        <v>ALR_MEMORIA_ESTINTORE_2_ESTRATTO-Allarme memoria estintore 2 estratto</v>
      </c>
      <c r="C805" t="str">
        <f>VLOOKUP(F805,'EXPORT IRIS PROD 13-11-2024'!F:F,1,0)</f>
        <v>ALR_MEMORIA_ESTINTORE_2_ESTRATTO</v>
      </c>
      <c r="D805" t="str">
        <f>VLOOKUP(G805,'EXPORT IRIS PROD 13-11-2024'!D:D,1,0)</f>
        <v>Allarme memoria estintore 2 estratto</v>
      </c>
      <c r="E805" s="37" t="s">
        <v>89</v>
      </c>
      <c r="F805" s="38" t="s">
        <v>1439</v>
      </c>
      <c r="G805" s="45" t="s">
        <v>1440</v>
      </c>
      <c r="H805" s="46" t="s">
        <v>1103</v>
      </c>
      <c r="I805" s="46" t="s">
        <v>360</v>
      </c>
      <c r="J805" s="40" t="s">
        <v>21</v>
      </c>
      <c r="K805" s="41" t="s">
        <v>22</v>
      </c>
      <c r="L805" s="42" t="s">
        <v>23</v>
      </c>
      <c r="M805" s="43" t="s">
        <v>24</v>
      </c>
      <c r="N805" s="42" t="s">
        <v>25</v>
      </c>
      <c r="O805" s="42" t="s">
        <v>21</v>
      </c>
      <c r="P805" s="44"/>
    </row>
    <row r="806" spans="1:16" x14ac:dyDescent="0.25">
      <c r="A806" t="str">
        <f t="shared" si="12"/>
        <v>ALR_MEMORIA_ESTINTORE_ESTRATTO-Allarme memoria estintore estratto</v>
      </c>
      <c r="B806" t="str">
        <f>VLOOKUP(A806,'EXPORT IRIS PROD 13-11-2024'!A:A,1,0)</f>
        <v>ALR_MEMORIA_ESTINTORE_ESTRATTO-Allarme memoria estintore estratto</v>
      </c>
      <c r="C806" t="str">
        <f>VLOOKUP(F806,'EXPORT IRIS PROD 13-11-2024'!F:F,1,0)</f>
        <v>ALR_MEMORIA_ESTINTORE_ESTRATTO</v>
      </c>
      <c r="D806" t="str">
        <f>VLOOKUP(G806,'EXPORT IRIS PROD 13-11-2024'!D:D,1,0)</f>
        <v>Allarme memoria estintore estratto</v>
      </c>
      <c r="E806" s="37" t="s">
        <v>89</v>
      </c>
      <c r="F806" s="38" t="s">
        <v>1441</v>
      </c>
      <c r="G806" s="45" t="s">
        <v>1442</v>
      </c>
      <c r="H806" s="46" t="s">
        <v>29</v>
      </c>
      <c r="I806" s="46" t="s">
        <v>360</v>
      </c>
      <c r="J806" s="40" t="s">
        <v>21</v>
      </c>
      <c r="K806" s="41" t="s">
        <v>22</v>
      </c>
      <c r="L806" s="42" t="s">
        <v>23</v>
      </c>
      <c r="M806" s="43" t="s">
        <v>24</v>
      </c>
      <c r="N806" s="42" t="s">
        <v>25</v>
      </c>
      <c r="O806" s="42" t="s">
        <v>21</v>
      </c>
      <c r="P806" s="44"/>
    </row>
    <row r="807" spans="1:16" x14ac:dyDescent="0.25">
      <c r="A807" t="str">
        <f t="shared" si="12"/>
        <v>ALR_MEMORIA_OP-Allarme memoria OP</v>
      </c>
      <c r="B807" t="str">
        <f>VLOOKUP(A807,'EXPORT IRIS PROD 13-11-2024'!A:A,1,0)</f>
        <v>ALR_MEMORIA_OP-Allarme memoria OP</v>
      </c>
      <c r="C807" t="str">
        <f>VLOOKUP(F807,'EXPORT IRIS PROD 13-11-2024'!F:F,1,0)</f>
        <v>ALR_MEMORIA_OP</v>
      </c>
      <c r="D807" t="str">
        <f>VLOOKUP(G807,'EXPORT IRIS PROD 13-11-2024'!D:D,1,0)</f>
        <v>Allarme memoria OP</v>
      </c>
      <c r="E807" s="37" t="s">
        <v>85</v>
      </c>
      <c r="F807" s="38" t="s">
        <v>1443</v>
      </c>
      <c r="G807" s="45" t="s">
        <v>1444</v>
      </c>
      <c r="H807" s="46" t="s">
        <v>50</v>
      </c>
      <c r="I807" s="46" t="s">
        <v>1445</v>
      </c>
      <c r="J807" s="40" t="s">
        <v>21</v>
      </c>
      <c r="K807" s="41" t="s">
        <v>22</v>
      </c>
      <c r="L807" s="42" t="s">
        <v>23</v>
      </c>
      <c r="M807" s="43" t="s">
        <v>24</v>
      </c>
      <c r="N807" s="42" t="s">
        <v>25</v>
      </c>
      <c r="O807" s="42" t="s">
        <v>21</v>
      </c>
      <c r="P807" s="44"/>
    </row>
    <row r="808" spans="1:16" x14ac:dyDescent="0.25">
      <c r="A808" t="str">
        <f t="shared" si="12"/>
        <v>ALR_MEMORIA_PORTA_MANICHETTA-Allarme memoria porta manichetta aperta</v>
      </c>
      <c r="B808" t="str">
        <f>VLOOKUP(A808,'EXPORT IRIS PROD 13-11-2024'!A:A,1,0)</f>
        <v>ALR_MEMORIA_PORTA_MANICHETTA-Allarme memoria porta manichetta aperta</v>
      </c>
      <c r="C808" t="str">
        <f>VLOOKUP(F808,'EXPORT IRIS PROD 13-11-2024'!F:F,1,0)</f>
        <v>ALR_MEMORIA_PORTA_MANICHETTA</v>
      </c>
      <c r="D808" t="str">
        <f>VLOOKUP(G808,'EXPORT IRIS PROD 13-11-2024'!D:D,1,0)</f>
        <v>Allarme memoria porta manichetta aperta</v>
      </c>
      <c r="E808" s="37" t="s">
        <v>89</v>
      </c>
      <c r="F808" s="38" t="s">
        <v>1446</v>
      </c>
      <c r="G808" s="45" t="s">
        <v>1447</v>
      </c>
      <c r="H808" s="46" t="s">
        <v>1103</v>
      </c>
      <c r="I808" s="46" t="s">
        <v>360</v>
      </c>
      <c r="J808" s="40" t="s">
        <v>21</v>
      </c>
      <c r="K808" s="41" t="s">
        <v>22</v>
      </c>
      <c r="L808" s="42" t="s">
        <v>23</v>
      </c>
      <c r="M808" s="43" t="s">
        <v>24</v>
      </c>
      <c r="N808" s="42" t="s">
        <v>25</v>
      </c>
      <c r="O808" s="42" t="s">
        <v>21</v>
      </c>
      <c r="P808" s="44"/>
    </row>
    <row r="809" spans="1:16" x14ac:dyDescent="0.25">
      <c r="A809" t="str">
        <f t="shared" si="12"/>
        <v>ALR_MEMORIA_PULSANTE_CHIAMATA_SOS-Allarme memoria pulsante chiamata sos</v>
      </c>
      <c r="B809" t="str">
        <f>VLOOKUP(A809,'EXPORT IRIS PROD 13-11-2024'!A:A,1,0)</f>
        <v>ALR_MEMORIA_PULSANTE_CHIAMATA_SOS-Allarme memoria pulsante chiamata sos</v>
      </c>
      <c r="C809" t="str">
        <f>VLOOKUP(F809,'EXPORT IRIS PROD 13-11-2024'!F:F,1,0)</f>
        <v>ALR_MEMORIA_PULSANTE_CHIAMATA_SOS</v>
      </c>
      <c r="D809" t="str">
        <f>VLOOKUP(G809,'EXPORT IRIS PROD 13-11-2024'!D:D,1,0)</f>
        <v>Allarme memoria pulsante chiamata sos</v>
      </c>
      <c r="E809" s="37" t="s">
        <v>89</v>
      </c>
      <c r="F809" s="38" t="s">
        <v>1448</v>
      </c>
      <c r="G809" s="45" t="s">
        <v>1449</v>
      </c>
      <c r="H809" s="46" t="s">
        <v>29</v>
      </c>
      <c r="I809" s="46" t="s">
        <v>360</v>
      </c>
      <c r="J809" s="40" t="s">
        <v>21</v>
      </c>
      <c r="K809" s="41" t="s">
        <v>22</v>
      </c>
      <c r="L809" s="42" t="s">
        <v>23</v>
      </c>
      <c r="M809" s="43" t="s">
        <v>24</v>
      </c>
      <c r="N809" s="42" t="s">
        <v>25</v>
      </c>
      <c r="O809" s="42" t="s">
        <v>21</v>
      </c>
      <c r="P809" s="44"/>
    </row>
    <row r="810" spans="1:16" x14ac:dyDescent="0.25">
      <c r="A810" t="str">
        <f t="shared" si="12"/>
        <v>ALR_MEZZI_PESANTI_DX-Allarme mezzi pesanti lato destro quadri</v>
      </c>
      <c r="B810" t="str">
        <f>VLOOKUP(A810,'EXPORT IRIS PROD 13-11-2024'!A:A,1,0)</f>
        <v>ALR_MEZZI_PESANTI_DX-Allarme mezzi pesanti lato destro quadri</v>
      </c>
      <c r="C810" t="str">
        <f>VLOOKUP(F810,'EXPORT IRIS PROD 13-11-2024'!F:F,1,0)</f>
        <v>ALR_MEZZI_PESANTI_DX</v>
      </c>
      <c r="D810" t="str">
        <f>VLOOKUP(G810,'EXPORT IRIS PROD 13-11-2024'!D:D,1,0)</f>
        <v>Allarme mezzi pesanti lato destro quadri</v>
      </c>
      <c r="E810" s="37" t="s">
        <v>26</v>
      </c>
      <c r="F810" s="38" t="s">
        <v>1450</v>
      </c>
      <c r="G810" s="45" t="s">
        <v>1451</v>
      </c>
      <c r="H810" s="46" t="s">
        <v>29</v>
      </c>
      <c r="I810" s="46" t="s">
        <v>1067</v>
      </c>
      <c r="J810" s="47" t="s">
        <v>31</v>
      </c>
      <c r="K810" s="48" t="s">
        <v>32</v>
      </c>
      <c r="L810" s="43">
        <v>1</v>
      </c>
      <c r="M810" s="43" t="s">
        <v>33</v>
      </c>
      <c r="N810" s="43" t="s">
        <v>34</v>
      </c>
      <c r="O810" s="43" t="s">
        <v>31</v>
      </c>
      <c r="P810" s="44"/>
    </row>
    <row r="811" spans="1:16" x14ac:dyDescent="0.25">
      <c r="A811" t="str">
        <f t="shared" si="12"/>
        <v>ALR_MEZZI_PESANTI_DX_QUADRI-Allarme mezzi pesanti lato destro</v>
      </c>
      <c r="B811" t="str">
        <f>VLOOKUP(A811,'EXPORT IRIS PROD 13-11-2024'!A:A,1,0)</f>
        <v>ALR_MEZZI_PESANTI_DX_QUADRI-Allarme mezzi pesanti lato destro</v>
      </c>
      <c r="C811" t="str">
        <f>VLOOKUP(F811,'EXPORT IRIS PROD 13-11-2024'!F:F,1,0)</f>
        <v>ALR_MEZZI_PESANTI_DX_QUADRI</v>
      </c>
      <c r="D811" t="str">
        <f>VLOOKUP(G811,'EXPORT IRIS PROD 13-11-2024'!D:D,1,0)</f>
        <v>Allarme mezzi pesanti lato destro</v>
      </c>
      <c r="E811" s="37" t="s">
        <v>26</v>
      </c>
      <c r="F811" s="38" t="s">
        <v>1452</v>
      </c>
      <c r="G811" s="45" t="s">
        <v>1453</v>
      </c>
      <c r="H811" s="46" t="s">
        <v>29</v>
      </c>
      <c r="I811" s="46" t="s">
        <v>1067</v>
      </c>
      <c r="J811" s="47" t="s">
        <v>31</v>
      </c>
      <c r="K811" s="48" t="s">
        <v>32</v>
      </c>
      <c r="L811" s="43">
        <v>1</v>
      </c>
      <c r="M811" s="43" t="s">
        <v>33</v>
      </c>
      <c r="N811" s="43" t="s">
        <v>34</v>
      </c>
      <c r="O811" s="43" t="s">
        <v>31</v>
      </c>
      <c r="P811" s="44"/>
    </row>
    <row r="812" spans="1:16" x14ac:dyDescent="0.25">
      <c r="A812" t="str">
        <f t="shared" si="12"/>
        <v>ALR_MEZZI_PESANTI_SX-Allarme mezzi pesanti lato sinistro quadri</v>
      </c>
      <c r="B812" t="str">
        <f>VLOOKUP(A812,'EXPORT IRIS PROD 13-11-2024'!A:A,1,0)</f>
        <v>ALR_MEZZI_PESANTI_SX-Allarme mezzi pesanti lato sinistro quadri</v>
      </c>
      <c r="C812" t="str">
        <f>VLOOKUP(F812,'EXPORT IRIS PROD 13-11-2024'!F:F,1,0)</f>
        <v>ALR_MEZZI_PESANTI_SX</v>
      </c>
      <c r="D812" t="str">
        <f>VLOOKUP(G812,'EXPORT IRIS PROD 13-11-2024'!D:D,1,0)</f>
        <v>Allarme mezzi pesanti lato sinistro quadri</v>
      </c>
      <c r="E812" s="37" t="s">
        <v>26</v>
      </c>
      <c r="F812" s="38" t="s">
        <v>1454</v>
      </c>
      <c r="G812" s="45" t="s">
        <v>1455</v>
      </c>
      <c r="H812" s="46" t="s">
        <v>29</v>
      </c>
      <c r="I812" s="46" t="s">
        <v>1067</v>
      </c>
      <c r="J812" s="47" t="s">
        <v>31</v>
      </c>
      <c r="K812" s="48" t="s">
        <v>32</v>
      </c>
      <c r="L812" s="43">
        <v>1</v>
      </c>
      <c r="M812" s="43" t="s">
        <v>33</v>
      </c>
      <c r="N812" s="43" t="s">
        <v>34</v>
      </c>
      <c r="O812" s="43" t="s">
        <v>31</v>
      </c>
      <c r="P812" s="44"/>
    </row>
    <row r="813" spans="1:16" x14ac:dyDescent="0.25">
      <c r="A813" t="str">
        <f t="shared" si="12"/>
        <v>ALR_MEZZI_PESANTI_SX_QUADRI-Allarme mezzi pesanti lato sinistro</v>
      </c>
      <c r="B813" t="str">
        <f>VLOOKUP(A813,'EXPORT IRIS PROD 13-11-2024'!A:A,1,0)</f>
        <v>ALR_MEZZI_PESANTI_SX_QUADRI-Allarme mezzi pesanti lato sinistro</v>
      </c>
      <c r="C813" t="str">
        <f>VLOOKUP(F813,'EXPORT IRIS PROD 13-11-2024'!F:F,1,0)</f>
        <v>ALR_MEZZI_PESANTI_SX_QUADRI</v>
      </c>
      <c r="D813" t="str">
        <f>VLOOKUP(G813,'EXPORT IRIS PROD 13-11-2024'!D:D,1,0)</f>
        <v>Allarme mezzi pesanti lato sinistro</v>
      </c>
      <c r="E813" s="37" t="s">
        <v>26</v>
      </c>
      <c r="F813" s="38" t="s">
        <v>1456</v>
      </c>
      <c r="G813" s="45" t="s">
        <v>1457</v>
      </c>
      <c r="H813" s="46" t="s">
        <v>29</v>
      </c>
      <c r="I813" s="46" t="s">
        <v>1067</v>
      </c>
      <c r="J813" s="47" t="s">
        <v>31</v>
      </c>
      <c r="K813" s="48" t="s">
        <v>32</v>
      </c>
      <c r="L813" s="43">
        <v>1</v>
      </c>
      <c r="M813" s="43" t="s">
        <v>33</v>
      </c>
      <c r="N813" s="43" t="s">
        <v>34</v>
      </c>
      <c r="O813" s="43" t="s">
        <v>31</v>
      </c>
      <c r="P813" s="44"/>
    </row>
    <row r="814" spans="1:16" x14ac:dyDescent="0.25">
      <c r="A814" t="str">
        <f t="shared" si="12"/>
        <v>ALR_MINIMO_LIVELLO_ASPIRAZIONE-Allarme Minimo Livello Aspirazione</v>
      </c>
      <c r="B814" t="str">
        <f>VLOOKUP(A814,'EXPORT IRIS PROD 13-11-2024'!A:A,1,0)</f>
        <v>ALR_MINIMO_LIVELLO_ASPIRAZIONE-Allarme Minimo Livello Aspirazione</v>
      </c>
      <c r="C814" t="str">
        <f>VLOOKUP(F814,'EXPORT IRIS PROD 13-11-2024'!F:F,1,0)</f>
        <v>ALR_MINIMO_LIVELLO_ASPIRAZIONE</v>
      </c>
      <c r="D814" t="str">
        <f>VLOOKUP(G814,'EXPORT IRIS PROD 13-11-2024'!D:D,1,0)</f>
        <v>Allarme Minimo Livello Aspirazione</v>
      </c>
      <c r="E814" s="37" t="s">
        <v>35</v>
      </c>
      <c r="F814" s="38" t="s">
        <v>1458</v>
      </c>
      <c r="G814" s="45" t="s">
        <v>1459</v>
      </c>
      <c r="H814" s="46" t="s">
        <v>38</v>
      </c>
      <c r="I814" s="46" t="s">
        <v>301</v>
      </c>
      <c r="J814" s="40" t="s">
        <v>21</v>
      </c>
      <c r="K814" s="41" t="s">
        <v>22</v>
      </c>
      <c r="L814" s="42" t="s">
        <v>23</v>
      </c>
      <c r="M814" s="43" t="s">
        <v>24</v>
      </c>
      <c r="N814" s="42" t="s">
        <v>25</v>
      </c>
      <c r="O814" s="42" t="s">
        <v>21</v>
      </c>
      <c r="P814" s="44"/>
    </row>
    <row r="815" spans="1:16" x14ac:dyDescent="0.25">
      <c r="A815" t="str">
        <f t="shared" si="12"/>
        <v>ALR_MISURA_METRICA-Allarme Guasto Misura Metrica</v>
      </c>
      <c r="B815" t="str">
        <f>VLOOKUP(A815,'EXPORT IRIS PROD 13-11-2024'!A:A,1,0)</f>
        <v>ALR_MISURA_METRICA-Allarme Guasto Misura Metrica</v>
      </c>
      <c r="C815" t="str">
        <f>VLOOKUP(F815,'EXPORT IRIS PROD 13-11-2024'!F:F,1,0)</f>
        <v>ALR_MISURA_METRICA</v>
      </c>
      <c r="D815" t="str">
        <f>VLOOKUP(G815,'EXPORT IRIS PROD 13-11-2024'!D:D,1,0)</f>
        <v>Allarme Guasto Misura Metrica</v>
      </c>
      <c r="E815" s="37" t="s">
        <v>105</v>
      </c>
      <c r="F815" s="38" t="s">
        <v>1460</v>
      </c>
      <c r="G815" s="45" t="s">
        <v>1461</v>
      </c>
      <c r="H815" s="46" t="s">
        <v>43</v>
      </c>
      <c r="I815" s="46" t="s">
        <v>394</v>
      </c>
      <c r="J815" s="40" t="s">
        <v>31</v>
      </c>
      <c r="K815" s="41" t="s">
        <v>32</v>
      </c>
      <c r="L815" s="42">
        <v>3</v>
      </c>
      <c r="M815" s="43" t="s">
        <v>33</v>
      </c>
      <c r="N815" s="42" t="s">
        <v>34</v>
      </c>
      <c r="O815" s="42" t="s">
        <v>31</v>
      </c>
      <c r="P815" s="44"/>
    </row>
    <row r="816" spans="1:16" x14ac:dyDescent="0.25">
      <c r="A816" t="str">
        <f t="shared" si="12"/>
        <v>ALR_MOLLE_SCARICHE-Allarme molle scariche</v>
      </c>
      <c r="B816" t="str">
        <f>VLOOKUP(A816,'EXPORT IRIS PROD 13-11-2024'!A:A,1,0)</f>
        <v>ALR_MOLLE_SCARICHE-Allarme molle scariche</v>
      </c>
      <c r="C816" t="str">
        <f>VLOOKUP(F816,'EXPORT IRIS PROD 13-11-2024'!F:F,1,0)</f>
        <v>ALR_MOLLE_SCARICHE</v>
      </c>
      <c r="D816" t="str">
        <f>VLOOKUP(G816,'EXPORT IRIS PROD 13-11-2024'!D:D,1,0)</f>
        <v>Allarme molle scariche</v>
      </c>
      <c r="E816" s="37" t="s">
        <v>53</v>
      </c>
      <c r="F816" s="38" t="s">
        <v>1462</v>
      </c>
      <c r="G816" s="45" t="s">
        <v>1463</v>
      </c>
      <c r="H816" s="46" t="s">
        <v>1106</v>
      </c>
      <c r="I816" s="46" t="s">
        <v>355</v>
      </c>
      <c r="J816" s="40" t="s">
        <v>21</v>
      </c>
      <c r="K816" s="41" t="s">
        <v>22</v>
      </c>
      <c r="L816" s="42" t="s">
        <v>23</v>
      </c>
      <c r="M816" s="43" t="s">
        <v>157</v>
      </c>
      <c r="N816" s="42" t="s">
        <v>158</v>
      </c>
      <c r="O816" s="42" t="s">
        <v>21</v>
      </c>
      <c r="P816" s="44"/>
    </row>
    <row r="817" spans="1:16" x14ac:dyDescent="0.25">
      <c r="A817" t="str">
        <f t="shared" si="12"/>
        <v>ALR_NO-Allarme guasto sensore NO</v>
      </c>
      <c r="B817" t="str">
        <f>VLOOKUP(A817,'EXPORT IRIS PROD 13-11-2024'!A:A,1,0)</f>
        <v>ALR_NO-Allarme guasto sensore NO</v>
      </c>
      <c r="C817" t="str">
        <f>VLOOKUP(F817,'EXPORT IRIS PROD 13-11-2024'!F:F,1,0)</f>
        <v>ALR_NO</v>
      </c>
      <c r="D817" t="str">
        <f>VLOOKUP(G817,'EXPORT IRIS PROD 13-11-2024'!D:D,1,0)</f>
        <v>Allarme guasto sensore NO</v>
      </c>
      <c r="E817" s="37" t="s">
        <v>85</v>
      </c>
      <c r="F817" s="38" t="s">
        <v>1464</v>
      </c>
      <c r="G817" s="45" t="s">
        <v>1465</v>
      </c>
      <c r="H817" s="46" t="s">
        <v>50</v>
      </c>
      <c r="I817" s="46" t="s">
        <v>1466</v>
      </c>
      <c r="J817" s="40" t="s">
        <v>21</v>
      </c>
      <c r="K817" s="41" t="s">
        <v>22</v>
      </c>
      <c r="L817" s="42" t="s">
        <v>23</v>
      </c>
      <c r="M817" s="43" t="s">
        <v>24</v>
      </c>
      <c r="N817" s="42" t="s">
        <v>25</v>
      </c>
      <c r="O817" s="42" t="s">
        <v>21</v>
      </c>
      <c r="P817" s="44"/>
    </row>
    <row r="818" spans="1:16" x14ac:dyDescent="0.25">
      <c r="A818" t="str">
        <f t="shared" si="12"/>
        <v>ALR_NON_PRONTO-Allarme dispositivo non pronto</v>
      </c>
      <c r="B818" t="str">
        <f>VLOOKUP(A818,'EXPORT IRIS PROD 13-11-2024'!A:A,1,0)</f>
        <v>ALR_NON_PRONTO-Allarme dispositivo non pronto</v>
      </c>
      <c r="C818" t="str">
        <f>VLOOKUP(F818,'EXPORT IRIS PROD 13-11-2024'!F:F,1,0)</f>
        <v>ALR_NON_PRONTO</v>
      </c>
      <c r="D818" t="str">
        <f>VLOOKUP(G818,'EXPORT IRIS PROD 13-11-2024'!D:D,1,0)</f>
        <v>Allarme dispositivo non pronto</v>
      </c>
      <c r="E818" s="37" t="s">
        <v>35</v>
      </c>
      <c r="F818" s="38" t="s">
        <v>1467</v>
      </c>
      <c r="G818" s="45" t="s">
        <v>1468</v>
      </c>
      <c r="H818" s="46" t="s">
        <v>38</v>
      </c>
      <c r="I818" s="46" t="s">
        <v>301</v>
      </c>
      <c r="J818" s="40" t="s">
        <v>21</v>
      </c>
      <c r="K818" s="41" t="s">
        <v>22</v>
      </c>
      <c r="L818" s="42" t="s">
        <v>23</v>
      </c>
      <c r="M818" s="43" t="s">
        <v>24</v>
      </c>
      <c r="N818" s="42" t="s">
        <v>25</v>
      </c>
      <c r="O818" s="42" t="s">
        <v>21</v>
      </c>
      <c r="P818" s="44"/>
    </row>
    <row r="819" spans="1:16" x14ac:dyDescent="0.25">
      <c r="A819" t="str">
        <f t="shared" si="12"/>
        <v>ALR_NON_RAGGIUNGIBILE-Dispositivo non raggiungibile</v>
      </c>
      <c r="B819" t="str">
        <f>VLOOKUP(A819,'EXPORT IRIS PROD 13-11-2024'!A:A,1,0)</f>
        <v>ALR_NON_RAGGIUNGIBILE-Dispositivo non raggiungibile</v>
      </c>
      <c r="C819" t="str">
        <f>VLOOKUP(F819,'EXPORT IRIS PROD 13-11-2024'!F:F,1,0)</f>
        <v>ALR_NON_RAGGIUNGIBILE</v>
      </c>
      <c r="D819" t="str">
        <f>VLOOKUP(G819,'EXPORT IRIS PROD 13-11-2024'!D:D,1,0)</f>
        <v>Dispositivo non raggiungibile</v>
      </c>
      <c r="E819" s="37" t="s">
        <v>115</v>
      </c>
      <c r="F819" s="38" t="s">
        <v>1469</v>
      </c>
      <c r="G819" s="45" t="s">
        <v>1470</v>
      </c>
      <c r="H819" s="46" t="s">
        <v>1152</v>
      </c>
      <c r="I819" s="46" t="s">
        <v>1153</v>
      </c>
      <c r="J819" s="40" t="s">
        <v>21</v>
      </c>
      <c r="K819" s="41" t="s">
        <v>22</v>
      </c>
      <c r="L819" s="42" t="s">
        <v>23</v>
      </c>
      <c r="M819" s="43" t="s">
        <v>24</v>
      </c>
      <c r="N819" s="42" t="s">
        <v>25</v>
      </c>
      <c r="O819" s="42" t="s">
        <v>21</v>
      </c>
      <c r="P819" s="44"/>
    </row>
    <row r="820" spans="1:16" x14ac:dyDescent="0.25">
      <c r="A820" t="str">
        <f t="shared" si="12"/>
        <v>ALR_NUM_VENTILATORI_INSUFFICIENTI-Allarme numero ventilatori insufficienti da avviare</v>
      </c>
      <c r="B820" t="str">
        <f>VLOOKUP(A820,'EXPORT IRIS PROD 13-11-2024'!A:A,1,0)</f>
        <v>ALR_NUM_VENTILATORI_INSUFFICIENTI-Allarme numero ventilatori insufficienti da avviare</v>
      </c>
      <c r="C820" t="str">
        <f>VLOOKUP(F820,'EXPORT IRIS PROD 13-11-2024'!F:F,1,0)</f>
        <v>ALR_NUM_VENTILATORI_INSUFFICIENTI</v>
      </c>
      <c r="D820" t="str">
        <f>VLOOKUP(G820,'EXPORT IRIS PROD 13-11-2024'!D:D,1,0)</f>
        <v>Allarme numero ventilatori insufficienti da avviare</v>
      </c>
      <c r="E820" s="37" t="s">
        <v>85</v>
      </c>
      <c r="F820" s="38" t="s">
        <v>1471</v>
      </c>
      <c r="G820" s="38" t="s">
        <v>1472</v>
      </c>
      <c r="H820" s="39" t="s">
        <v>50</v>
      </c>
      <c r="I820" s="39" t="s">
        <v>445</v>
      </c>
      <c r="J820" s="40" t="s">
        <v>21</v>
      </c>
      <c r="K820" s="41" t="s">
        <v>22</v>
      </c>
      <c r="L820" s="42" t="s">
        <v>23</v>
      </c>
      <c r="M820" s="43" t="s">
        <v>24</v>
      </c>
      <c r="N820" s="42" t="s">
        <v>25</v>
      </c>
      <c r="O820" s="42" t="s">
        <v>21</v>
      </c>
      <c r="P820" s="44"/>
    </row>
    <row r="821" spans="1:16" x14ac:dyDescent="0.25">
      <c r="A821" t="str">
        <f t="shared" si="12"/>
        <v>ALR_OGGETTO_DISPERSO_CORSIA_1-Allarme oggetto disperso corsia di emergenza</v>
      </c>
      <c r="B821" t="str">
        <f>VLOOKUP(A821,'EXPORT IRIS PROD 13-11-2024'!A:A,1,0)</f>
        <v>ALR_OGGETTO_DISPERSO_CORSIA_1-Allarme oggetto disperso corsia di emergenza</v>
      </c>
      <c r="C821" t="str">
        <f>VLOOKUP(F821,'EXPORT IRIS PROD 13-11-2024'!F:F,1,0)</f>
        <v>ALR_OGGETTO_DISPERSO_CORSIA_1</v>
      </c>
      <c r="D821" t="str">
        <f>VLOOKUP(G821,'EXPORT IRIS PROD 13-11-2024'!D:D,1,0)</f>
        <v>Allarme oggetto disperso corsia di emergenza</v>
      </c>
      <c r="E821" s="37" t="s">
        <v>528</v>
      </c>
      <c r="F821" s="38" t="s">
        <v>1473</v>
      </c>
      <c r="G821" s="45" t="s">
        <v>1474</v>
      </c>
      <c r="H821" s="46" t="s">
        <v>1337</v>
      </c>
      <c r="I821" s="46" t="s">
        <v>1338</v>
      </c>
      <c r="J821" s="47" t="s">
        <v>31</v>
      </c>
      <c r="K821" s="48" t="s">
        <v>32</v>
      </c>
      <c r="L821" s="43">
        <v>1</v>
      </c>
      <c r="M821" s="43" t="s">
        <v>33</v>
      </c>
      <c r="N821" s="43" t="s">
        <v>34</v>
      </c>
      <c r="O821" s="43" t="s">
        <v>31</v>
      </c>
      <c r="P821" s="44"/>
    </row>
    <row r="822" spans="1:16" x14ac:dyDescent="0.25">
      <c r="A822" t="str">
        <f t="shared" si="12"/>
        <v>ALR_OGGETTO_DISPERSO_CORSIA_1-Allarme oggetto disperso corsia di emergenza</v>
      </c>
      <c r="B822" t="str">
        <f>VLOOKUP(A822,'EXPORT IRIS PROD 13-11-2024'!A:A,1,0)</f>
        <v>ALR_OGGETTO_DISPERSO_CORSIA_1-Allarme oggetto disperso corsia di emergenza</v>
      </c>
      <c r="C822" t="str">
        <f>VLOOKUP(F822,'EXPORT IRIS PROD 13-11-2024'!F:F,1,0)</f>
        <v>ALR_OGGETTO_DISPERSO_CORSIA_1</v>
      </c>
      <c r="D822" t="str">
        <f>VLOOKUP(G822,'EXPORT IRIS PROD 13-11-2024'!D:D,1,0)</f>
        <v>Allarme oggetto disperso corsia di emergenza</v>
      </c>
      <c r="E822" s="37" t="s">
        <v>528</v>
      </c>
      <c r="F822" s="38" t="s">
        <v>1473</v>
      </c>
      <c r="G822" s="45" t="s">
        <v>1474</v>
      </c>
      <c r="H822" s="46" t="s">
        <v>1337</v>
      </c>
      <c r="I822" s="46" t="s">
        <v>1321</v>
      </c>
      <c r="J822" s="47" t="s">
        <v>31</v>
      </c>
      <c r="K822" s="48" t="s">
        <v>32</v>
      </c>
      <c r="L822" s="43">
        <v>1</v>
      </c>
      <c r="M822" s="43" t="s">
        <v>33</v>
      </c>
      <c r="N822" s="43" t="s">
        <v>34</v>
      </c>
      <c r="O822" s="43" t="s">
        <v>31</v>
      </c>
      <c r="P822" s="44"/>
    </row>
    <row r="823" spans="1:16" x14ac:dyDescent="0.25">
      <c r="A823" t="str">
        <f t="shared" si="12"/>
        <v>ALR_OGGETTO_DISPERSO_DIR_NORD-Allarme oggetto disperso dir. nord</v>
      </c>
      <c r="B823" t="str">
        <f>VLOOKUP(A823,'EXPORT IRIS PROD 13-11-2024'!A:A,1,0)</f>
        <v>ALR_OGGETTO_DISPERSO_DIR_NORD-Allarme oggetto disperso dir. nord</v>
      </c>
      <c r="C823" t="str">
        <f>VLOOKUP(F823,'EXPORT IRIS PROD 13-11-2024'!F:F,1,0)</f>
        <v>ALR_OGGETTO_DISPERSO_DIR_NORD</v>
      </c>
      <c r="D823" t="str">
        <f>VLOOKUP(G823,'EXPORT IRIS PROD 13-11-2024'!D:D,1,0)</f>
        <v>Allarme oggetto disperso dir. nord</v>
      </c>
      <c r="E823" s="37" t="s">
        <v>528</v>
      </c>
      <c r="F823" s="38" t="s">
        <v>1475</v>
      </c>
      <c r="G823" s="45" t="s">
        <v>1476</v>
      </c>
      <c r="H823" s="46" t="s">
        <v>1337</v>
      </c>
      <c r="I823" s="46" t="s">
        <v>1338</v>
      </c>
      <c r="J823" s="47" t="s">
        <v>31</v>
      </c>
      <c r="K823" s="48" t="s">
        <v>32</v>
      </c>
      <c r="L823" s="43">
        <v>1</v>
      </c>
      <c r="M823" s="43" t="s">
        <v>33</v>
      </c>
      <c r="N823" s="43" t="s">
        <v>34</v>
      </c>
      <c r="O823" s="43" t="s">
        <v>31</v>
      </c>
      <c r="P823" s="44"/>
    </row>
    <row r="824" spans="1:16" x14ac:dyDescent="0.25">
      <c r="A824" t="str">
        <f t="shared" si="12"/>
        <v>ALR_OGGETTO_DISPERSO_DIR_SUD-Allarme oggetto disperso dir. sud</v>
      </c>
      <c r="B824" t="str">
        <f>VLOOKUP(A824,'EXPORT IRIS PROD 13-11-2024'!A:A,1,0)</f>
        <v>ALR_OGGETTO_DISPERSO_DIR_SUD-Allarme oggetto disperso dir. sud</v>
      </c>
      <c r="C824" t="str">
        <f>VLOOKUP(F824,'EXPORT IRIS PROD 13-11-2024'!F:F,1,0)</f>
        <v>ALR_OGGETTO_DISPERSO_DIR_SUD</v>
      </c>
      <c r="D824" t="str">
        <f>VLOOKUP(G824,'EXPORT IRIS PROD 13-11-2024'!D:D,1,0)</f>
        <v>Allarme oggetto disperso dir. sud</v>
      </c>
      <c r="E824" s="37" t="s">
        <v>528</v>
      </c>
      <c r="F824" s="38" t="s">
        <v>1477</v>
      </c>
      <c r="G824" s="45" t="s">
        <v>1478</v>
      </c>
      <c r="H824" s="46" t="s">
        <v>1337</v>
      </c>
      <c r="I824" s="46" t="s">
        <v>1338</v>
      </c>
      <c r="J824" s="47" t="s">
        <v>31</v>
      </c>
      <c r="K824" s="48" t="s">
        <v>32</v>
      </c>
      <c r="L824" s="43">
        <v>1</v>
      </c>
      <c r="M824" s="43" t="s">
        <v>33</v>
      </c>
      <c r="N824" s="43" t="s">
        <v>34</v>
      </c>
      <c r="O824" s="43" t="s">
        <v>31</v>
      </c>
      <c r="P824" s="44"/>
    </row>
    <row r="825" spans="1:16" x14ac:dyDescent="0.25">
      <c r="A825" t="str">
        <f t="shared" si="12"/>
        <v>ALR_PEDONE_IN_PIAZZOLA_NORD-Allarme pedone in piazzola nord</v>
      </c>
      <c r="B825" t="str">
        <f>VLOOKUP(A825,'EXPORT IRIS PROD 13-11-2024'!A:A,1,0)</f>
        <v>ALR_PEDONE_IN_PIAZZOLA_NORD-Allarme pedone in piazzola nord</v>
      </c>
      <c r="C825" t="str">
        <f>VLOOKUP(F825,'EXPORT IRIS PROD 13-11-2024'!F:F,1,0)</f>
        <v>ALR_PEDONE_IN_PIAZZOLA_NORD</v>
      </c>
      <c r="D825" t="str">
        <f>VLOOKUP(G825,'EXPORT IRIS PROD 13-11-2024'!D:D,1,0)</f>
        <v>Allarme pedone in piazzola nord</v>
      </c>
      <c r="E825" s="37" t="s">
        <v>471</v>
      </c>
      <c r="F825" s="38" t="s">
        <v>1479</v>
      </c>
      <c r="G825" s="45" t="s">
        <v>1480</v>
      </c>
      <c r="H825" s="46" t="s">
        <v>1337</v>
      </c>
      <c r="I825" s="46" t="s">
        <v>1321</v>
      </c>
      <c r="J825" s="47" t="s">
        <v>31</v>
      </c>
      <c r="K825" s="48" t="s">
        <v>32</v>
      </c>
      <c r="L825" s="43">
        <v>1</v>
      </c>
      <c r="M825" s="43" t="s">
        <v>33</v>
      </c>
      <c r="N825" s="43" t="s">
        <v>34</v>
      </c>
      <c r="O825" s="43" t="s">
        <v>31</v>
      </c>
      <c r="P825" s="44"/>
    </row>
    <row r="826" spans="1:16" x14ac:dyDescent="0.25">
      <c r="A826" t="str">
        <f t="shared" si="12"/>
        <v>ALR_PEDONE_IN_PIAZZOLA_SUD-Allarme pedone in piazzola sud</v>
      </c>
      <c r="B826" t="str">
        <f>VLOOKUP(A826,'EXPORT IRIS PROD 13-11-2024'!A:A,1,0)</f>
        <v>ALR_PEDONE_IN_PIAZZOLA_SUD-Allarme pedone in piazzola sud</v>
      </c>
      <c r="C826" t="str">
        <f>VLOOKUP(F826,'EXPORT IRIS PROD 13-11-2024'!F:F,1,0)</f>
        <v>ALR_PEDONE_IN_PIAZZOLA_SUD</v>
      </c>
      <c r="D826" t="str">
        <f>VLOOKUP(G826,'EXPORT IRIS PROD 13-11-2024'!D:D,1,0)</f>
        <v>Allarme pedone in piazzola sud</v>
      </c>
      <c r="E826" s="37" t="s">
        <v>471</v>
      </c>
      <c r="F826" s="38" t="s">
        <v>1481</v>
      </c>
      <c r="G826" s="45" t="s">
        <v>1482</v>
      </c>
      <c r="H826" s="46" t="s">
        <v>1337</v>
      </c>
      <c r="I826" s="46" t="s">
        <v>1321</v>
      </c>
      <c r="J826" s="47" t="s">
        <v>31</v>
      </c>
      <c r="K826" s="48" t="s">
        <v>32</v>
      </c>
      <c r="L826" s="43">
        <v>1</v>
      </c>
      <c r="M826" s="43" t="s">
        <v>33</v>
      </c>
      <c r="N826" s="43" t="s">
        <v>34</v>
      </c>
      <c r="O826" s="43" t="s">
        <v>31</v>
      </c>
      <c r="P826" s="44"/>
    </row>
    <row r="827" spans="1:16" x14ac:dyDescent="0.25">
      <c r="A827" t="str">
        <f t="shared" si="12"/>
        <v>ALR_PERDITA_VIDEO_CORSIA_LENTA-Allarme perdita video corsia lenta</v>
      </c>
      <c r="B827" t="str">
        <f>VLOOKUP(A827,'EXPORT IRIS PROD 13-11-2024'!A:A,1,0)</f>
        <v>ALR_PERDITA_VIDEO_CORSIA_LENTA-Allarme perdita video corsia lenta</v>
      </c>
      <c r="C827" t="str">
        <f>VLOOKUP(F827,'EXPORT IRIS PROD 13-11-2024'!F:F,1,0)</f>
        <v>ALR_PERDITA_VIDEO_CORSIA_LENTA</v>
      </c>
      <c r="D827" t="str">
        <f>VLOOKUP(G827,'EXPORT IRIS PROD 13-11-2024'!D:D,1,0)</f>
        <v>Allarme perdita video corsia lenta</v>
      </c>
      <c r="E827" s="37" t="s">
        <v>198</v>
      </c>
      <c r="F827" s="38" t="s">
        <v>1483</v>
      </c>
      <c r="G827" s="38" t="s">
        <v>1484</v>
      </c>
      <c r="H827" s="39" t="s">
        <v>1337</v>
      </c>
      <c r="I827" s="39" t="s">
        <v>1321</v>
      </c>
      <c r="J827" s="40" t="s">
        <v>21</v>
      </c>
      <c r="K827" s="41" t="s">
        <v>22</v>
      </c>
      <c r="L827" s="42" t="s">
        <v>23</v>
      </c>
      <c r="M827" s="43" t="s">
        <v>24</v>
      </c>
      <c r="N827" s="42" t="s">
        <v>25</v>
      </c>
      <c r="O827" s="42" t="s">
        <v>21</v>
      </c>
      <c r="P827" s="44"/>
    </row>
    <row r="828" spans="1:16" x14ac:dyDescent="0.25">
      <c r="A828" t="str">
        <f t="shared" si="12"/>
        <v>ALR_PICCHETTI-Allarme picchetti</v>
      </c>
      <c r="B828" t="str">
        <f>VLOOKUP(A828,'EXPORT IRIS PROD 13-11-2024'!A:A,1,0)</f>
        <v>ALR_PICCHETTI-Allarme picchetti</v>
      </c>
      <c r="C828" t="str">
        <f>VLOOKUP(F828,'EXPORT IRIS PROD 13-11-2024'!F:F,1,0)</f>
        <v>ALR_PICCHETTI</v>
      </c>
      <c r="D828" t="str">
        <f>VLOOKUP(G828,'EXPORT IRIS PROD 13-11-2024'!D:D,1,0)</f>
        <v>Allarme picchetti</v>
      </c>
      <c r="E828" s="37" t="s">
        <v>115</v>
      </c>
      <c r="F828" s="38" t="s">
        <v>1485</v>
      </c>
      <c r="G828" s="45" t="s">
        <v>1486</v>
      </c>
      <c r="H828" s="46" t="s">
        <v>1142</v>
      </c>
      <c r="I828" s="46" t="s">
        <v>715</v>
      </c>
      <c r="J828" s="40" t="s">
        <v>21</v>
      </c>
      <c r="K828" s="41" t="s">
        <v>22</v>
      </c>
      <c r="L828" s="42" t="s">
        <v>23</v>
      </c>
      <c r="M828" s="43" t="s">
        <v>24</v>
      </c>
      <c r="N828" s="42" t="s">
        <v>25</v>
      </c>
      <c r="O828" s="42" t="s">
        <v>21</v>
      </c>
      <c r="P828" s="44"/>
    </row>
    <row r="829" spans="1:16" x14ac:dyDescent="0.25">
      <c r="A829" t="str">
        <f t="shared" si="12"/>
        <v>ALR_PITTO-Allarme pittogramma PMV</v>
      </c>
      <c r="B829" t="str">
        <f>VLOOKUP(A829,'EXPORT IRIS PROD 13-11-2024'!A:A,1,0)</f>
        <v>ALR_PITTO-Allarme pittogramma PMV</v>
      </c>
      <c r="C829" t="str">
        <f>VLOOKUP(F829,'EXPORT IRIS PROD 13-11-2024'!F:F,1,0)</f>
        <v>ALR_PITTO</v>
      </c>
      <c r="D829" t="str">
        <f>VLOOKUP(G829,'EXPORT IRIS PROD 13-11-2024'!D:D,1,0)</f>
        <v>Allarme pittogramma PMV</v>
      </c>
      <c r="E829" s="37" t="s">
        <v>109</v>
      </c>
      <c r="F829" s="38" t="s">
        <v>1487</v>
      </c>
      <c r="G829" s="45" t="s">
        <v>1488</v>
      </c>
      <c r="H829" s="46" t="s">
        <v>1489</v>
      </c>
      <c r="I829" s="46" t="s">
        <v>1490</v>
      </c>
      <c r="J829" s="40" t="s">
        <v>21</v>
      </c>
      <c r="K829" s="41" t="s">
        <v>22</v>
      </c>
      <c r="L829" s="42" t="s">
        <v>23</v>
      </c>
      <c r="M829" s="43" t="s">
        <v>24</v>
      </c>
      <c r="N829" s="42" t="s">
        <v>25</v>
      </c>
      <c r="O829" s="42" t="s">
        <v>21</v>
      </c>
      <c r="P829" s="44"/>
    </row>
    <row r="830" spans="1:16" x14ac:dyDescent="0.25">
      <c r="A830" t="str">
        <f t="shared" si="12"/>
        <v>ALR_PMV-Allarme pannello messaggio variabile</v>
      </c>
      <c r="B830" t="str">
        <f>VLOOKUP(A830,'EXPORT IRIS PROD 13-11-2024'!A:A,1,0)</f>
        <v>ALR_PMV-Allarme pannello messaggio variabile</v>
      </c>
      <c r="C830" t="str">
        <f>VLOOKUP(F830,'EXPORT IRIS PROD 13-11-2024'!F:F,1,0)</f>
        <v>ALR_PMV</v>
      </c>
      <c r="D830" t="str">
        <f>VLOOKUP(G830,'EXPORT IRIS PROD 13-11-2024'!D:D,1,0)</f>
        <v>Allarme pannello messaggio variabile</v>
      </c>
      <c r="E830" s="37" t="s">
        <v>109</v>
      </c>
      <c r="F830" s="38" t="s">
        <v>1491</v>
      </c>
      <c r="G830" s="45" t="s">
        <v>1492</v>
      </c>
      <c r="H830" s="46" t="s">
        <v>1493</v>
      </c>
      <c r="I830" s="46" t="s">
        <v>1494</v>
      </c>
      <c r="J830" s="40" t="s">
        <v>21</v>
      </c>
      <c r="K830" s="41" t="s">
        <v>22</v>
      </c>
      <c r="L830" s="42" t="s">
        <v>23</v>
      </c>
      <c r="M830" s="43" t="s">
        <v>24</v>
      </c>
      <c r="N830" s="42" t="s">
        <v>25</v>
      </c>
      <c r="O830" s="42" t="s">
        <v>21</v>
      </c>
      <c r="P830" s="44"/>
    </row>
    <row r="831" spans="1:16" x14ac:dyDescent="0.25">
      <c r="A831" t="str">
        <f t="shared" si="12"/>
        <v>ALR_PORTA_APERTA_DX-Allarme porta aperta dx</v>
      </c>
      <c r="B831" t="str">
        <f>VLOOKUP(A831,'EXPORT IRIS PROD 13-11-2024'!A:A,1,0)</f>
        <v>ALR_PORTA_APERTA_DX-Allarme porta aperta dx</v>
      </c>
      <c r="C831" t="str">
        <f>VLOOKUP(F831,'EXPORT IRIS PROD 13-11-2024'!F:F,1,0)</f>
        <v>ALR_PORTA_APERTA_DX</v>
      </c>
      <c r="D831" t="str">
        <f>VLOOKUP(G831,'EXPORT IRIS PROD 13-11-2024'!D:D,1,0)</f>
        <v>Allarme porta aperta dx</v>
      </c>
      <c r="E831" s="37" t="s">
        <v>26</v>
      </c>
      <c r="F831" s="38" t="s">
        <v>1495</v>
      </c>
      <c r="G831" s="45" t="s">
        <v>1496</v>
      </c>
      <c r="H831" s="46" t="s">
        <v>29</v>
      </c>
      <c r="I831" s="46" t="s">
        <v>360</v>
      </c>
      <c r="J831" s="47" t="s">
        <v>31</v>
      </c>
      <c r="K831" s="48" t="s">
        <v>32</v>
      </c>
      <c r="L831" s="43">
        <v>1</v>
      </c>
      <c r="M831" s="43" t="s">
        <v>24</v>
      </c>
      <c r="N831" s="43" t="s">
        <v>25</v>
      </c>
      <c r="O831" s="42" t="s">
        <v>21</v>
      </c>
      <c r="P831" s="52"/>
    </row>
    <row r="832" spans="1:16" x14ac:dyDescent="0.25">
      <c r="A832" t="str">
        <f t="shared" si="12"/>
        <v>ALR_PORTA_APERTA_SX-Allarme porta aperta sx</v>
      </c>
      <c r="B832" t="str">
        <f>VLOOKUP(A832,'EXPORT IRIS PROD 13-11-2024'!A:A,1,0)</f>
        <v>ALR_PORTA_APERTA_SX-Allarme porta aperta sx</v>
      </c>
      <c r="C832" t="str">
        <f>VLOOKUP(F832,'EXPORT IRIS PROD 13-11-2024'!F:F,1,0)</f>
        <v>ALR_PORTA_APERTA_SX</v>
      </c>
      <c r="D832" t="str">
        <f>VLOOKUP(G832,'EXPORT IRIS PROD 13-11-2024'!D:D,1,0)</f>
        <v>Allarme porta aperta sx</v>
      </c>
      <c r="E832" s="37" t="s">
        <v>26</v>
      </c>
      <c r="F832" s="38" t="s">
        <v>1497</v>
      </c>
      <c r="G832" s="45" t="s">
        <v>1498</v>
      </c>
      <c r="H832" s="46" t="s">
        <v>29</v>
      </c>
      <c r="I832" s="46" t="s">
        <v>360</v>
      </c>
      <c r="J832" s="47" t="s">
        <v>31</v>
      </c>
      <c r="K832" s="48" t="s">
        <v>32</v>
      </c>
      <c r="L832" s="43">
        <v>1</v>
      </c>
      <c r="M832" s="43" t="s">
        <v>24</v>
      </c>
      <c r="N832" s="43" t="s">
        <v>25</v>
      </c>
      <c r="O832" s="42" t="s">
        <v>21</v>
      </c>
      <c r="P832" s="52"/>
    </row>
    <row r="833" spans="1:16" x14ac:dyDescent="0.25">
      <c r="A833" t="str">
        <f t="shared" si="12"/>
        <v>ALR_POSIZIONE_INCENDIO_SOPRA_SOGLIA-Allarme posizione incendio sopra soglia</v>
      </c>
      <c r="B833" t="str">
        <f>VLOOKUP(A833,'EXPORT IRIS PROD 13-11-2024'!A:A,1,0)</f>
        <v>ALR_POSIZIONE_INCENDIO_SOPRA_SOGLIA-Allarme posizione incendio sopra soglia</v>
      </c>
      <c r="C833" t="str">
        <f>VLOOKUP(F833,'EXPORT IRIS PROD 13-11-2024'!F:F,1,0)</f>
        <v>ALR_POSIZIONE_INCENDIO_SOPRA_SOGLIA</v>
      </c>
      <c r="D833" t="str">
        <f>VLOOKUP(G833,'EXPORT IRIS PROD 13-11-2024'!D:D,1,0)</f>
        <v>Allarme posizione incendio sopra soglia</v>
      </c>
      <c r="E833" s="37" t="s">
        <v>105</v>
      </c>
      <c r="F833" s="38" t="s">
        <v>1499</v>
      </c>
      <c r="G833" s="45" t="s">
        <v>1500</v>
      </c>
      <c r="H833" s="46" t="s">
        <v>43</v>
      </c>
      <c r="I833" s="46" t="s">
        <v>394</v>
      </c>
      <c r="J833" s="47" t="s">
        <v>21</v>
      </c>
      <c r="K833" s="41" t="s">
        <v>22</v>
      </c>
      <c r="L833" s="59" t="s">
        <v>23</v>
      </c>
      <c r="M833" s="43" t="s">
        <v>33</v>
      </c>
      <c r="N833" s="42" t="s">
        <v>34</v>
      </c>
      <c r="O833" s="42" t="s">
        <v>31</v>
      </c>
      <c r="P833" s="44"/>
    </row>
    <row r="834" spans="1:16" x14ac:dyDescent="0.25">
      <c r="A834" t="str">
        <f t="shared" si="12"/>
        <v>ALR_POSIZIONE_INCENDIO_SOTTO_SOGLIA-Allarme posizione incendio sotto soglia</v>
      </c>
      <c r="B834" t="str">
        <f>VLOOKUP(A834,'EXPORT IRIS PROD 13-11-2024'!A:A,1,0)</f>
        <v>ALR_POSIZIONE_INCENDIO_SOTTO_SOGLIA-Allarme posizione incendio sotto soglia</v>
      </c>
      <c r="C834" t="str">
        <f>VLOOKUP(F834,'EXPORT IRIS PROD 13-11-2024'!F:F,1,0)</f>
        <v>ALR_POSIZIONE_INCENDIO_SOTTO_SOGLIA</v>
      </c>
      <c r="D834" t="str">
        <f>VLOOKUP(G834,'EXPORT IRIS PROD 13-11-2024'!D:D,1,0)</f>
        <v>Allarme posizione incendio sotto soglia</v>
      </c>
      <c r="E834" s="37" t="s">
        <v>105</v>
      </c>
      <c r="F834" s="38" t="s">
        <v>1501</v>
      </c>
      <c r="G834" s="45" t="s">
        <v>1502</v>
      </c>
      <c r="H834" s="46" t="s">
        <v>43</v>
      </c>
      <c r="I834" s="46" t="s">
        <v>394</v>
      </c>
      <c r="J834" s="47" t="s">
        <v>21</v>
      </c>
      <c r="K834" s="41" t="s">
        <v>22</v>
      </c>
      <c r="L834" s="59" t="s">
        <v>23</v>
      </c>
      <c r="M834" s="43" t="s">
        <v>33</v>
      </c>
      <c r="N834" s="42" t="s">
        <v>34</v>
      </c>
      <c r="O834" s="42" t="s">
        <v>31</v>
      </c>
      <c r="P834" s="44"/>
    </row>
    <row r="835" spans="1:16" x14ac:dyDescent="0.25">
      <c r="A835" t="str">
        <f t="shared" ref="A835:A898" si="13">CONCATENATE(F835,"-",G835)</f>
        <v>ALR_PREALLARME_VIBRAZIONe-Preallarme vibrazione</v>
      </c>
      <c r="B835" t="str">
        <f>VLOOKUP(A835,'EXPORT IRIS PROD 13-11-2024'!A:A,1,0)</f>
        <v>ALR_PREALLARME_VIBRAZIONe-Preallarme vibrazione</v>
      </c>
      <c r="C835" t="str">
        <f>VLOOKUP(F835,'EXPORT IRIS PROD 13-11-2024'!F:F,1,0)</f>
        <v>ALR_PREALLARME_VIBRAZIONe</v>
      </c>
      <c r="D835" t="str">
        <f>VLOOKUP(G835,'EXPORT IRIS PROD 13-11-2024'!D:D,1,0)</f>
        <v>Preallarme vibrazione</v>
      </c>
      <c r="E835" s="37" t="s">
        <v>85</v>
      </c>
      <c r="F835" s="38" t="s">
        <v>1503</v>
      </c>
      <c r="G835" s="45" t="s">
        <v>1504</v>
      </c>
      <c r="H835" s="46" t="s">
        <v>50</v>
      </c>
      <c r="I835" s="46" t="s">
        <v>124</v>
      </c>
      <c r="J835" s="40" t="s">
        <v>21</v>
      </c>
      <c r="K835" s="41" t="s">
        <v>22</v>
      </c>
      <c r="L835" s="42" t="s">
        <v>23</v>
      </c>
      <c r="M835" s="43" t="s">
        <v>24</v>
      </c>
      <c r="N835" s="42" t="s">
        <v>25</v>
      </c>
      <c r="O835" s="42" t="s">
        <v>21</v>
      </c>
      <c r="P835" s="44"/>
    </row>
    <row r="836" spans="1:16" x14ac:dyDescent="0.25">
      <c r="A836" t="str">
        <f t="shared" si="13"/>
        <v>ALR_PRESSIONE-Allarme pressione</v>
      </c>
      <c r="B836" t="str">
        <f>VLOOKUP(A836,'EXPORT IRIS PROD 13-11-2024'!A:A,1,0)</f>
        <v>ALR_PRESSIONE-Allarme pressione</v>
      </c>
      <c r="C836" t="str">
        <f>VLOOKUP(F836,'EXPORT IRIS PROD 13-11-2024'!F:F,1,0)</f>
        <v>ALR_PRESSIONE</v>
      </c>
      <c r="D836" t="str">
        <f>VLOOKUP(G836,'EXPORT IRIS PROD 13-11-2024'!D:D,1,0)</f>
        <v>Allarme pressione</v>
      </c>
      <c r="E836" s="37" t="s">
        <v>271</v>
      </c>
      <c r="F836" s="38" t="s">
        <v>602</v>
      </c>
      <c r="G836" s="45" t="s">
        <v>1505</v>
      </c>
      <c r="H836" s="46" t="s">
        <v>274</v>
      </c>
      <c r="I836" s="46" t="s">
        <v>1293</v>
      </c>
      <c r="J836" s="40" t="s">
        <v>21</v>
      </c>
      <c r="K836" s="41" t="s">
        <v>22</v>
      </c>
      <c r="L836" s="42" t="s">
        <v>23</v>
      </c>
      <c r="M836" s="43" t="s">
        <v>24</v>
      </c>
      <c r="N836" s="42" t="s">
        <v>25</v>
      </c>
      <c r="O836" s="42" t="s">
        <v>21</v>
      </c>
      <c r="P836" s="44"/>
    </row>
    <row r="837" spans="1:16" x14ac:dyDescent="0.25">
      <c r="A837" t="str">
        <f t="shared" si="13"/>
        <v>ALR_PRESSIONE-Allarme pressione</v>
      </c>
      <c r="B837" t="str">
        <f>VLOOKUP(A837,'EXPORT IRIS PROD 13-11-2024'!A:A,1,0)</f>
        <v>ALR_PRESSIONE-Allarme pressione</v>
      </c>
      <c r="C837" t="str">
        <f>VLOOKUP(F837,'EXPORT IRIS PROD 13-11-2024'!F:F,1,0)</f>
        <v>ALR_PRESSIONE</v>
      </c>
      <c r="D837" t="str">
        <f>VLOOKUP(G837,'EXPORT IRIS PROD 13-11-2024'!D:D,1,0)</f>
        <v>Allarme pressione</v>
      </c>
      <c r="E837" s="37" t="s">
        <v>53</v>
      </c>
      <c r="F837" s="38" t="s">
        <v>602</v>
      </c>
      <c r="G837" s="45" t="s">
        <v>1505</v>
      </c>
      <c r="H837" s="46" t="s">
        <v>56</v>
      </c>
      <c r="I837" s="46" t="s">
        <v>57</v>
      </c>
      <c r="J837" s="40" t="s">
        <v>21</v>
      </c>
      <c r="K837" s="41" t="s">
        <v>22</v>
      </c>
      <c r="L837" s="42" t="s">
        <v>23</v>
      </c>
      <c r="M837" s="43" t="s">
        <v>24</v>
      </c>
      <c r="N837" s="42" t="s">
        <v>25</v>
      </c>
      <c r="O837" s="42" t="s">
        <v>21</v>
      </c>
      <c r="P837" s="44"/>
    </row>
    <row r="838" spans="1:16" x14ac:dyDescent="0.25">
      <c r="A838" t="str">
        <f t="shared" si="13"/>
        <v>ALR_PRESSIONE-Allarme pressione</v>
      </c>
      <c r="B838" t="str">
        <f>VLOOKUP(A838,'EXPORT IRIS PROD 13-11-2024'!A:A,1,0)</f>
        <v>ALR_PRESSIONE-Allarme pressione</v>
      </c>
      <c r="C838" t="str">
        <f>VLOOKUP(F838,'EXPORT IRIS PROD 13-11-2024'!F:F,1,0)</f>
        <v>ALR_PRESSIONE</v>
      </c>
      <c r="D838" t="str">
        <f>VLOOKUP(G838,'EXPORT IRIS PROD 13-11-2024'!D:D,1,0)</f>
        <v>Allarme pressione</v>
      </c>
      <c r="E838" s="37" t="s">
        <v>35</v>
      </c>
      <c r="F838" s="38" t="s">
        <v>602</v>
      </c>
      <c r="G838" s="45" t="s">
        <v>1505</v>
      </c>
      <c r="H838" s="46" t="s">
        <v>38</v>
      </c>
      <c r="I838" s="46" t="s">
        <v>480</v>
      </c>
      <c r="J838" s="40" t="s">
        <v>21</v>
      </c>
      <c r="K838" s="41" t="s">
        <v>22</v>
      </c>
      <c r="L838" s="42" t="s">
        <v>23</v>
      </c>
      <c r="M838" s="43" t="s">
        <v>24</v>
      </c>
      <c r="N838" s="42" t="s">
        <v>25</v>
      </c>
      <c r="O838" s="42" t="s">
        <v>21</v>
      </c>
      <c r="P838" s="44"/>
    </row>
    <row r="839" spans="1:16" x14ac:dyDescent="0.25">
      <c r="A839" t="str">
        <f t="shared" si="13"/>
        <v>ALR_PRESSIONE-Allarme pressione</v>
      </c>
      <c r="B839" t="str">
        <f>VLOOKUP(A839,'EXPORT IRIS PROD 13-11-2024'!A:A,1,0)</f>
        <v>ALR_PRESSIONE-Allarme pressione</v>
      </c>
      <c r="C839" t="str">
        <f>VLOOKUP(F839,'EXPORT IRIS PROD 13-11-2024'!F:F,1,0)</f>
        <v>ALR_PRESSIONE</v>
      </c>
      <c r="D839" t="str">
        <f>VLOOKUP(G839,'EXPORT IRIS PROD 13-11-2024'!D:D,1,0)</f>
        <v>Allarme pressione</v>
      </c>
      <c r="E839" s="37" t="s">
        <v>85</v>
      </c>
      <c r="F839" s="38" t="s">
        <v>602</v>
      </c>
      <c r="G839" s="45" t="s">
        <v>1505</v>
      </c>
      <c r="H839" s="46" t="s">
        <v>50</v>
      </c>
      <c r="I839" s="46" t="s">
        <v>124</v>
      </c>
      <c r="J839" s="40" t="s">
        <v>21</v>
      </c>
      <c r="K839" s="41" t="s">
        <v>22</v>
      </c>
      <c r="L839" s="42" t="s">
        <v>23</v>
      </c>
      <c r="M839" s="43" t="s">
        <v>24</v>
      </c>
      <c r="N839" s="42" t="s">
        <v>25</v>
      </c>
      <c r="O839" s="42" t="s">
        <v>21</v>
      </c>
      <c r="P839" s="44"/>
    </row>
    <row r="840" spans="1:16" x14ac:dyDescent="0.25">
      <c r="A840" t="str">
        <f t="shared" si="13"/>
        <v>ALR_PRESSURIZZAZIONE-Allarme pressurizzazione</v>
      </c>
      <c r="B840" t="str">
        <f>VLOOKUP(A840,'EXPORT IRIS PROD 13-11-2024'!A:A,1,0)</f>
        <v>ALR_PRESSURIZZAZIONE-Allarme pressurizzazione</v>
      </c>
      <c r="C840" t="str">
        <f>VLOOKUP(F840,'EXPORT IRIS PROD 13-11-2024'!F:F,1,0)</f>
        <v>ALR_PRESSURIZZAZIONE</v>
      </c>
      <c r="D840" t="str">
        <f>VLOOKUP(G840,'EXPORT IRIS PROD 13-11-2024'!D:D,1,0)</f>
        <v>Allarme pressurizzazione</v>
      </c>
      <c r="E840" s="37" t="s">
        <v>271</v>
      </c>
      <c r="F840" s="38" t="s">
        <v>1506</v>
      </c>
      <c r="G840" s="45" t="s">
        <v>1507</v>
      </c>
      <c r="H840" s="46" t="s">
        <v>1331</v>
      </c>
      <c r="I840" s="46" t="s">
        <v>579</v>
      </c>
      <c r="J840" s="40" t="s">
        <v>21</v>
      </c>
      <c r="K840" s="41" t="s">
        <v>22</v>
      </c>
      <c r="L840" s="42" t="s">
        <v>23</v>
      </c>
      <c r="M840" s="43" t="s">
        <v>24</v>
      </c>
      <c r="N840" s="42" t="s">
        <v>25</v>
      </c>
      <c r="O840" s="42" t="s">
        <v>21</v>
      </c>
      <c r="P840" s="44"/>
    </row>
    <row r="841" spans="1:16" x14ac:dyDescent="0.25">
      <c r="A841" t="str">
        <f t="shared" si="13"/>
        <v>ALR_PRESSURIZZAZIONE-Allarme pressurizzazione</v>
      </c>
      <c r="B841" t="str">
        <f>VLOOKUP(A841,'EXPORT IRIS PROD 13-11-2024'!A:A,1,0)</f>
        <v>ALR_PRESSURIZZAZIONE-Allarme pressurizzazione</v>
      </c>
      <c r="C841" t="str">
        <f>VLOOKUP(F841,'EXPORT IRIS PROD 13-11-2024'!F:F,1,0)</f>
        <v>ALR_PRESSURIZZAZIONE</v>
      </c>
      <c r="D841" t="str">
        <f>VLOOKUP(G841,'EXPORT IRIS PROD 13-11-2024'!D:D,1,0)</f>
        <v>Allarme pressurizzazione</v>
      </c>
      <c r="E841" s="37" t="s">
        <v>271</v>
      </c>
      <c r="F841" s="38" t="s">
        <v>1506</v>
      </c>
      <c r="G841" s="45" t="s">
        <v>1507</v>
      </c>
      <c r="H841" s="46" t="s">
        <v>1331</v>
      </c>
      <c r="I841" s="46" t="s">
        <v>1293</v>
      </c>
      <c r="J841" s="40" t="s">
        <v>21</v>
      </c>
      <c r="K841" s="41" t="s">
        <v>22</v>
      </c>
      <c r="L841" s="42" t="s">
        <v>23</v>
      </c>
      <c r="M841" s="43" t="s">
        <v>24</v>
      </c>
      <c r="N841" s="42" t="s">
        <v>25</v>
      </c>
      <c r="O841" s="42" t="s">
        <v>21</v>
      </c>
      <c r="P841" s="44"/>
    </row>
    <row r="842" spans="1:16" x14ac:dyDescent="0.25">
      <c r="A842" t="str">
        <f t="shared" si="13"/>
        <v>ALR_PRESSURIZZAZIONE-Allarme pressurizzazione</v>
      </c>
      <c r="B842" t="str">
        <f>VLOOKUP(A842,'EXPORT IRIS PROD 13-11-2024'!A:A,1,0)</f>
        <v>ALR_PRESSURIZZAZIONE-Allarme pressurizzazione</v>
      </c>
      <c r="C842" t="str">
        <f>VLOOKUP(F842,'EXPORT IRIS PROD 13-11-2024'!F:F,1,0)</f>
        <v>ALR_PRESSURIZZAZIONE</v>
      </c>
      <c r="D842" t="str">
        <f>VLOOKUP(G842,'EXPORT IRIS PROD 13-11-2024'!D:D,1,0)</f>
        <v>Allarme pressurizzazione</v>
      </c>
      <c r="E842" s="37" t="s">
        <v>271</v>
      </c>
      <c r="F842" s="38" t="s">
        <v>1506</v>
      </c>
      <c r="G842" s="45" t="s">
        <v>1507</v>
      </c>
      <c r="H842" s="46" t="s">
        <v>1331</v>
      </c>
      <c r="I842" s="46" t="s">
        <v>1294</v>
      </c>
      <c r="J842" s="40" t="s">
        <v>21</v>
      </c>
      <c r="K842" s="41" t="s">
        <v>22</v>
      </c>
      <c r="L842" s="42" t="s">
        <v>23</v>
      </c>
      <c r="M842" s="43" t="s">
        <v>24</v>
      </c>
      <c r="N842" s="42" t="s">
        <v>25</v>
      </c>
      <c r="O842" s="42" t="s">
        <v>21</v>
      </c>
      <c r="P842" s="44"/>
    </row>
    <row r="843" spans="1:16" x14ac:dyDescent="0.25">
      <c r="A843" t="str">
        <f t="shared" si="13"/>
        <v>ALR_PRIORITA_MICROFONO_ATTIVA-Allarme priorità microfono attiva</v>
      </c>
      <c r="B843" t="str">
        <f>VLOOKUP(A843,'EXPORT IRIS PROD 13-11-2024'!A:A,1,0)</f>
        <v>ALR_PRIORITA_MICROFONO_ATTIVA-Allarme priorità microfono attiva</v>
      </c>
      <c r="C843" t="str">
        <f>VLOOKUP(F843,'EXPORT IRIS PROD 13-11-2024'!F:F,1,0)</f>
        <v>ALR_PRIORITA_MICROFONO_ATTIVA</v>
      </c>
      <c r="D843" t="str">
        <f>VLOOKUP(G843,'EXPORT IRIS PROD 13-11-2024'!D:D,1,0)</f>
        <v>Allarme priorità microfono attiva</v>
      </c>
      <c r="E843" s="37" t="s">
        <v>1109</v>
      </c>
      <c r="F843" s="38" t="s">
        <v>1508</v>
      </c>
      <c r="G843" s="45" t="s">
        <v>1509</v>
      </c>
      <c r="H843" s="46" t="s">
        <v>1186</v>
      </c>
      <c r="I843" s="46" t="s">
        <v>1510</v>
      </c>
      <c r="J843" s="40" t="s">
        <v>31</v>
      </c>
      <c r="K843" s="41" t="s">
        <v>32</v>
      </c>
      <c r="L843" s="43">
        <v>2</v>
      </c>
      <c r="M843" s="43" t="s">
        <v>157</v>
      </c>
      <c r="N843" s="42" t="s">
        <v>158</v>
      </c>
      <c r="O843" s="42" t="s">
        <v>21</v>
      </c>
      <c r="P843" s="44"/>
    </row>
    <row r="844" spans="1:16" x14ac:dyDescent="0.25">
      <c r="A844" t="str">
        <f t="shared" si="13"/>
        <v>ALR_PROTEZIONE_INTERVENUTA_POMPA-Allarme protezione intervenuta pompa</v>
      </c>
      <c r="B844" t="str">
        <f>VLOOKUP(A844,'EXPORT IRIS PROD 13-11-2024'!A:A,1,0)</f>
        <v>ALR_PROTEZIONE_INTERVENUTA_POMPA-Allarme protezione intervenuta pompa</v>
      </c>
      <c r="C844" t="str">
        <f>VLOOKUP(F844,'EXPORT IRIS PROD 13-11-2024'!F:F,1,0)</f>
        <v>ALR_PROTEZIONE_INTERVENUTA_POMPA</v>
      </c>
      <c r="D844" t="str">
        <f>VLOOKUP(G844,'EXPORT IRIS PROD 13-11-2024'!D:D,1,0)</f>
        <v>Allarme protezione intervenuta pompa</v>
      </c>
      <c r="E844" s="37" t="s">
        <v>35</v>
      </c>
      <c r="F844" s="38" t="s">
        <v>1511</v>
      </c>
      <c r="G844" s="45" t="s">
        <v>1512</v>
      </c>
      <c r="H844" s="46" t="s">
        <v>38</v>
      </c>
      <c r="I844" s="46" t="s">
        <v>39</v>
      </c>
      <c r="J844" s="40" t="s">
        <v>21</v>
      </c>
      <c r="K844" s="41" t="s">
        <v>22</v>
      </c>
      <c r="L844" s="42" t="s">
        <v>23</v>
      </c>
      <c r="M844" s="43" t="s">
        <v>24</v>
      </c>
      <c r="N844" s="42" t="s">
        <v>25</v>
      </c>
      <c r="O844" s="42" t="s">
        <v>21</v>
      </c>
      <c r="P844" s="44"/>
    </row>
    <row r="845" spans="1:16" x14ac:dyDescent="0.25">
      <c r="A845" t="str">
        <f t="shared" si="13"/>
        <v xml:space="preserve">ALR_PULSANTE_ARRESTO-Allarme Pulsante D'arresto </v>
      </c>
      <c r="B845" t="str">
        <f>VLOOKUP(A845,'EXPORT IRIS PROD 13-11-2024'!A:A,1,0)</f>
        <v xml:space="preserve">ALR_PULSANTE_ARRESTO-Allarme Pulsante D'arresto </v>
      </c>
      <c r="C845" t="str">
        <f>VLOOKUP(F845,'EXPORT IRIS PROD 13-11-2024'!F:F,1,0)</f>
        <v>ALR_PULSANTE_ARRESTO</v>
      </c>
      <c r="D845" t="str">
        <f>VLOOKUP(G845,'EXPORT IRIS PROD 13-11-2024'!D:D,1,0)</f>
        <v xml:space="preserve">Allarme Pulsante D'arresto </v>
      </c>
      <c r="E845" s="37" t="s">
        <v>85</v>
      </c>
      <c r="F845" s="38" t="s">
        <v>1513</v>
      </c>
      <c r="G845" s="45" t="s">
        <v>1514</v>
      </c>
      <c r="H845" s="46" t="s">
        <v>50</v>
      </c>
      <c r="I845" s="46" t="s">
        <v>124</v>
      </c>
      <c r="J845" s="40" t="s">
        <v>21</v>
      </c>
      <c r="K845" s="41" t="s">
        <v>22</v>
      </c>
      <c r="L845" s="42" t="s">
        <v>23</v>
      </c>
      <c r="M845" s="43" t="s">
        <v>24</v>
      </c>
      <c r="N845" s="42" t="s">
        <v>25</v>
      </c>
      <c r="O845" s="42" t="s">
        <v>21</v>
      </c>
      <c r="P845" s="44"/>
    </row>
    <row r="846" spans="1:16" x14ac:dyDescent="0.25">
      <c r="A846" t="str">
        <f t="shared" si="13"/>
        <v>ALR_QIG_SCATTATO_INT-Allarme interruttore</v>
      </c>
      <c r="B846" t="str">
        <f>VLOOKUP(A846,'EXPORT IRIS PROD 13-11-2024'!A:A,1,0)</f>
        <v>ALR_QIG_SCATTATO_INT-Allarme interruttore</v>
      </c>
      <c r="C846" t="str">
        <f>VLOOKUP(F846,'EXPORT IRIS PROD 13-11-2024'!F:F,1,0)</f>
        <v>ALR_QIG_SCATTATO_INT</v>
      </c>
      <c r="D846" t="str">
        <f>VLOOKUP(G846,'EXPORT IRIS PROD 13-11-2024'!D:D,1,0)</f>
        <v>Allarme interruttore</v>
      </c>
      <c r="E846" s="37" t="s">
        <v>53</v>
      </c>
      <c r="F846" s="38" t="s">
        <v>1515</v>
      </c>
      <c r="G846" s="45" t="s">
        <v>1516</v>
      </c>
      <c r="H846" s="46" t="s">
        <v>1106</v>
      </c>
      <c r="I846" s="46" t="s">
        <v>355</v>
      </c>
      <c r="J846" s="40" t="s">
        <v>21</v>
      </c>
      <c r="K846" s="41" t="s">
        <v>22</v>
      </c>
      <c r="L846" s="42" t="s">
        <v>23</v>
      </c>
      <c r="M846" s="43" t="s">
        <v>157</v>
      </c>
      <c r="N846" s="42" t="s">
        <v>158</v>
      </c>
      <c r="O846" s="42" t="s">
        <v>21</v>
      </c>
      <c r="P846" s="44"/>
    </row>
    <row r="847" spans="1:16" x14ac:dyDescent="0.25">
      <c r="A847" t="str">
        <f t="shared" si="13"/>
        <v>ALR_RICHIESTA_AVVIAMENTO_POMPE-Allarme richiesta avviamento pompe</v>
      </c>
      <c r="B847" t="str">
        <f>VLOOKUP(A847,'EXPORT IRIS PROD 13-11-2024'!A:A,1,0)</f>
        <v>ALR_RICHIESTA_AVVIAMENTO_POMPE-Allarme richiesta avviamento pompe</v>
      </c>
      <c r="C847" t="str">
        <f>VLOOKUP(F847,'EXPORT IRIS PROD 13-11-2024'!F:F,1,0)</f>
        <v>ALR_RICHIESTA_AVVIAMENTO_POMPE</v>
      </c>
      <c r="D847" t="str">
        <f>VLOOKUP(G847,'EXPORT IRIS PROD 13-11-2024'!D:D,1,0)</f>
        <v>Allarme richiesta avviamento pompe</v>
      </c>
      <c r="E847" s="37" t="s">
        <v>298</v>
      </c>
      <c r="F847" s="38" t="s">
        <v>1517</v>
      </c>
      <c r="G847" s="45" t="s">
        <v>1518</v>
      </c>
      <c r="H847" s="46" t="s">
        <v>38</v>
      </c>
      <c r="I847" s="46" t="s">
        <v>1519</v>
      </c>
      <c r="J847" s="40" t="s">
        <v>21</v>
      </c>
      <c r="K847" s="41" t="s">
        <v>22</v>
      </c>
      <c r="L847" s="42" t="s">
        <v>23</v>
      </c>
      <c r="M847" s="43" t="s">
        <v>24</v>
      </c>
      <c r="N847" s="42" t="s">
        <v>25</v>
      </c>
      <c r="O847" s="42" t="s">
        <v>21</v>
      </c>
      <c r="P847" s="52"/>
    </row>
    <row r="848" spans="1:16" x14ac:dyDescent="0.25">
      <c r="A848" t="str">
        <f t="shared" si="13"/>
        <v>ALR_RICHIESTA_SOCCORSO_DIR_NORD-Allarme richiesta soccorso dir. nord</v>
      </c>
      <c r="B848" t="str">
        <f>VLOOKUP(A848,'EXPORT IRIS PROD 13-11-2024'!A:A,1,0)</f>
        <v>ALR_RICHIESTA_SOCCORSO_DIR_NORD-Allarme richiesta soccorso dir. nord</v>
      </c>
      <c r="C848" t="str">
        <f>VLOOKUP(F848,'EXPORT IRIS PROD 13-11-2024'!F:F,1,0)</f>
        <v>ALR_RICHIESTA_SOCCORSO_DIR_NORD</v>
      </c>
      <c r="D848" t="str">
        <f>VLOOKUP(G848,'EXPORT IRIS PROD 13-11-2024'!D:D,1,0)</f>
        <v>Allarme richiesta soccorso dir. nord</v>
      </c>
      <c r="E848" s="37" t="s">
        <v>26</v>
      </c>
      <c r="F848" s="38" t="s">
        <v>1520</v>
      </c>
      <c r="G848" s="45" t="s">
        <v>1521</v>
      </c>
      <c r="H848" s="46" t="s">
        <v>29</v>
      </c>
      <c r="I848" s="46" t="s">
        <v>360</v>
      </c>
      <c r="J848" s="47" t="s">
        <v>31</v>
      </c>
      <c r="K848" s="48" t="s">
        <v>32</v>
      </c>
      <c r="L848" s="43">
        <v>1</v>
      </c>
      <c r="M848" s="43" t="s">
        <v>33</v>
      </c>
      <c r="N848" s="43" t="s">
        <v>34</v>
      </c>
      <c r="O848" s="43" t="s">
        <v>31</v>
      </c>
      <c r="P848" s="44"/>
    </row>
    <row r="849" spans="1:16" x14ac:dyDescent="0.25">
      <c r="A849" t="str">
        <f t="shared" si="13"/>
        <v>ALR_RICHIESTA_SOCCORSO_DIR_NORD-Allarme richiesta soccorso dir. nord</v>
      </c>
      <c r="B849" t="str">
        <f>VLOOKUP(A849,'EXPORT IRIS PROD 13-11-2024'!A:A,1,0)</f>
        <v>ALR_RICHIESTA_SOCCORSO_DIR_NORD-Allarme richiesta soccorso dir. nord</v>
      </c>
      <c r="C849" t="str">
        <f>VLOOKUP(F849,'EXPORT IRIS PROD 13-11-2024'!F:F,1,0)</f>
        <v>ALR_RICHIESTA_SOCCORSO_DIR_NORD</v>
      </c>
      <c r="D849" t="str">
        <f>VLOOKUP(G849,'EXPORT IRIS PROD 13-11-2024'!D:D,1,0)</f>
        <v>Allarme richiesta soccorso dir. nord</v>
      </c>
      <c r="E849" s="37" t="s">
        <v>26</v>
      </c>
      <c r="F849" s="38" t="s">
        <v>1520</v>
      </c>
      <c r="G849" s="45" t="s">
        <v>1521</v>
      </c>
      <c r="H849" s="46" t="s">
        <v>29</v>
      </c>
      <c r="I849" s="46" t="s">
        <v>360</v>
      </c>
      <c r="J849" s="47" t="s">
        <v>31</v>
      </c>
      <c r="K849" s="48" t="s">
        <v>32</v>
      </c>
      <c r="L849" s="43">
        <v>1</v>
      </c>
      <c r="M849" s="43" t="s">
        <v>33</v>
      </c>
      <c r="N849" s="43" t="s">
        <v>34</v>
      </c>
      <c r="O849" s="43" t="s">
        <v>31</v>
      </c>
      <c r="P849" s="44"/>
    </row>
    <row r="850" spans="1:16" x14ac:dyDescent="0.25">
      <c r="A850" t="str">
        <f t="shared" si="13"/>
        <v>ALR_RICHIESTA_SOCCORSO_DIR_NORD_1-Allarme richiesta soccorso dir. nord bypass 1</v>
      </c>
      <c r="B850" t="str">
        <f>VLOOKUP(A850,'EXPORT IRIS PROD 13-11-2024'!A:A,1,0)</f>
        <v>ALR_RICHIESTA_SOCCORSO_DIR_NORD_1-Allarme richiesta soccorso dir. nord bypass 1</v>
      </c>
      <c r="C850" t="str">
        <f>VLOOKUP(F850,'EXPORT IRIS PROD 13-11-2024'!F:F,1,0)</f>
        <v>ALR_RICHIESTA_SOCCORSO_DIR_NORD_1</v>
      </c>
      <c r="D850" t="str">
        <f>VLOOKUP(G850,'EXPORT IRIS PROD 13-11-2024'!D:D,1,0)</f>
        <v>Allarme richiesta soccorso dir. nord bypass 1</v>
      </c>
      <c r="E850" s="37" t="s">
        <v>26</v>
      </c>
      <c r="F850" s="38" t="s">
        <v>1522</v>
      </c>
      <c r="G850" s="45" t="s">
        <v>1523</v>
      </c>
      <c r="H850" s="46" t="s">
        <v>1331</v>
      </c>
      <c r="I850" s="46" t="s">
        <v>1524</v>
      </c>
      <c r="J850" s="47" t="s">
        <v>31</v>
      </c>
      <c r="K850" s="48" t="s">
        <v>32</v>
      </c>
      <c r="L850" s="43">
        <v>1</v>
      </c>
      <c r="M850" s="43" t="s">
        <v>33</v>
      </c>
      <c r="N850" s="43" t="s">
        <v>34</v>
      </c>
      <c r="O850" s="43" t="s">
        <v>31</v>
      </c>
      <c r="P850" s="44"/>
    </row>
    <row r="851" spans="1:16" x14ac:dyDescent="0.25">
      <c r="A851" t="str">
        <f t="shared" si="13"/>
        <v>ALR_RICHIESTA_SOCCORSO_DIR_NORD_2-Allarme richiesta soccorso dir. nord bypass 2</v>
      </c>
      <c r="B851" t="str">
        <f>VLOOKUP(A851,'EXPORT IRIS PROD 13-11-2024'!A:A,1,0)</f>
        <v>ALR_RICHIESTA_SOCCORSO_DIR_NORD_2-Allarme richiesta soccorso dir. nord bypass 2</v>
      </c>
      <c r="C851" t="str">
        <f>VLOOKUP(F851,'EXPORT IRIS PROD 13-11-2024'!F:F,1,0)</f>
        <v>ALR_RICHIESTA_SOCCORSO_DIR_NORD_2</v>
      </c>
      <c r="D851" t="str">
        <f>VLOOKUP(G851,'EXPORT IRIS PROD 13-11-2024'!D:D,1,0)</f>
        <v>Allarme richiesta soccorso dir. nord bypass 2</v>
      </c>
      <c r="E851" s="37" t="s">
        <v>26</v>
      </c>
      <c r="F851" s="38" t="s">
        <v>1525</v>
      </c>
      <c r="G851" s="45" t="s">
        <v>1526</v>
      </c>
      <c r="H851" s="46" t="s">
        <v>1331</v>
      </c>
      <c r="I851" s="46" t="s">
        <v>1524</v>
      </c>
      <c r="J851" s="47" t="s">
        <v>31</v>
      </c>
      <c r="K851" s="48" t="s">
        <v>32</v>
      </c>
      <c r="L851" s="43">
        <v>1</v>
      </c>
      <c r="M851" s="43" t="s">
        <v>33</v>
      </c>
      <c r="N851" s="43" t="s">
        <v>34</v>
      </c>
      <c r="O851" s="43" t="s">
        <v>31</v>
      </c>
      <c r="P851" s="44"/>
    </row>
    <row r="852" spans="1:16" x14ac:dyDescent="0.25">
      <c r="A852" t="str">
        <f t="shared" si="13"/>
        <v>ALR_RICHIESTA_SOCCORSO_DIR_NORD_3-Allarme richiesta soccorso dir. nord bypass 3</v>
      </c>
      <c r="B852" t="str">
        <f>VLOOKUP(A852,'EXPORT IRIS PROD 13-11-2024'!A:A,1,0)</f>
        <v>ALR_RICHIESTA_SOCCORSO_DIR_NORD_3-Allarme richiesta soccorso dir. nord bypass 3</v>
      </c>
      <c r="C852" t="str">
        <f>VLOOKUP(F852,'EXPORT IRIS PROD 13-11-2024'!F:F,1,0)</f>
        <v>ALR_RICHIESTA_SOCCORSO_DIR_NORD_3</v>
      </c>
      <c r="D852" t="str">
        <f>VLOOKUP(G852,'EXPORT IRIS PROD 13-11-2024'!D:D,1,0)</f>
        <v>Allarme richiesta soccorso dir. nord bypass 3</v>
      </c>
      <c r="E852" s="37" t="s">
        <v>26</v>
      </c>
      <c r="F852" s="38" t="s">
        <v>1527</v>
      </c>
      <c r="G852" s="45" t="s">
        <v>1528</v>
      </c>
      <c r="H852" s="46" t="s">
        <v>1331</v>
      </c>
      <c r="I852" s="46" t="s">
        <v>1524</v>
      </c>
      <c r="J852" s="47" t="s">
        <v>31</v>
      </c>
      <c r="K852" s="48" t="s">
        <v>32</v>
      </c>
      <c r="L852" s="43">
        <v>1</v>
      </c>
      <c r="M852" s="43" t="s">
        <v>33</v>
      </c>
      <c r="N852" s="43" t="s">
        <v>34</v>
      </c>
      <c r="O852" s="43" t="s">
        <v>31</v>
      </c>
      <c r="P852" s="44"/>
    </row>
    <row r="853" spans="1:16" x14ac:dyDescent="0.25">
      <c r="A853" t="str">
        <f t="shared" si="13"/>
        <v>ALR_RICHIESTA_SOCCORSO_DIR_SUD-Allarme richiesta soccorso dir. sud</v>
      </c>
      <c r="B853" t="str">
        <f>VLOOKUP(A853,'EXPORT IRIS PROD 13-11-2024'!A:A,1,0)</f>
        <v>ALR_RICHIESTA_SOCCORSO_DIR_SUD-Allarme richiesta soccorso dir. sud</v>
      </c>
      <c r="C853" t="str">
        <f>VLOOKUP(F853,'EXPORT IRIS PROD 13-11-2024'!F:F,1,0)</f>
        <v>ALR_RICHIESTA_SOCCORSO_DIR_SUD</v>
      </c>
      <c r="D853" t="str">
        <f>VLOOKUP(G853,'EXPORT IRIS PROD 13-11-2024'!D:D,1,0)</f>
        <v>Allarme richiesta soccorso dir. sud</v>
      </c>
      <c r="E853" s="37" t="s">
        <v>26</v>
      </c>
      <c r="F853" s="38" t="s">
        <v>1529</v>
      </c>
      <c r="G853" s="45" t="s">
        <v>1530</v>
      </c>
      <c r="H853" s="46" t="s">
        <v>29</v>
      </c>
      <c r="I853" s="46" t="s">
        <v>360</v>
      </c>
      <c r="J853" s="47" t="s">
        <v>31</v>
      </c>
      <c r="K853" s="48" t="s">
        <v>32</v>
      </c>
      <c r="L853" s="43">
        <v>1</v>
      </c>
      <c r="M853" s="43" t="s">
        <v>33</v>
      </c>
      <c r="N853" s="43" t="s">
        <v>34</v>
      </c>
      <c r="O853" s="43" t="s">
        <v>31</v>
      </c>
      <c r="P853" s="44"/>
    </row>
    <row r="854" spans="1:16" x14ac:dyDescent="0.25">
      <c r="A854" t="str">
        <f t="shared" si="13"/>
        <v>ALR_RICHIESTA_SOCCORSO_DIR_SUD-Allarme richiesta soccorso dir. sud</v>
      </c>
      <c r="B854" t="str">
        <f>VLOOKUP(A854,'EXPORT IRIS PROD 13-11-2024'!A:A,1,0)</f>
        <v>ALR_RICHIESTA_SOCCORSO_DIR_SUD-Allarme richiesta soccorso dir. sud</v>
      </c>
      <c r="C854" t="str">
        <f>VLOOKUP(F854,'EXPORT IRIS PROD 13-11-2024'!F:F,1,0)</f>
        <v>ALR_RICHIESTA_SOCCORSO_DIR_SUD</v>
      </c>
      <c r="D854" t="str">
        <f>VLOOKUP(G854,'EXPORT IRIS PROD 13-11-2024'!D:D,1,0)</f>
        <v>Allarme richiesta soccorso dir. sud</v>
      </c>
      <c r="E854" s="37" t="s">
        <v>26</v>
      </c>
      <c r="F854" s="38" t="s">
        <v>1529</v>
      </c>
      <c r="G854" s="45" t="s">
        <v>1530</v>
      </c>
      <c r="H854" s="46" t="s">
        <v>29</v>
      </c>
      <c r="I854" s="46" t="s">
        <v>360</v>
      </c>
      <c r="J854" s="47" t="s">
        <v>31</v>
      </c>
      <c r="K854" s="48" t="s">
        <v>32</v>
      </c>
      <c r="L854" s="43">
        <v>1</v>
      </c>
      <c r="M854" s="43" t="s">
        <v>33</v>
      </c>
      <c r="N854" s="43" t="s">
        <v>34</v>
      </c>
      <c r="O854" s="43" t="s">
        <v>31</v>
      </c>
      <c r="P854" s="44"/>
    </row>
    <row r="855" spans="1:16" x14ac:dyDescent="0.25">
      <c r="A855" t="str">
        <f t="shared" si="13"/>
        <v>ALR_RICHIESTA_SOCCORSO_DIR_SUD_1-Allarme richiesta soccorso dir. sud bypass 1</v>
      </c>
      <c r="B855" t="str">
        <f>VLOOKUP(A855,'EXPORT IRIS PROD 13-11-2024'!A:A,1,0)</f>
        <v>ALR_RICHIESTA_SOCCORSO_DIR_SUD_1-Allarme richiesta soccorso dir. sud bypass 1</v>
      </c>
      <c r="C855" t="str">
        <f>VLOOKUP(F855,'EXPORT IRIS PROD 13-11-2024'!F:F,1,0)</f>
        <v>ALR_RICHIESTA_SOCCORSO_DIR_SUD_1</v>
      </c>
      <c r="D855" t="str">
        <f>VLOOKUP(G855,'EXPORT IRIS PROD 13-11-2024'!D:D,1,0)</f>
        <v>Allarme richiesta soccorso dir. sud bypass 1</v>
      </c>
      <c r="E855" s="37" t="s">
        <v>26</v>
      </c>
      <c r="F855" s="38" t="s">
        <v>1531</v>
      </c>
      <c r="G855" s="45" t="s">
        <v>1532</v>
      </c>
      <c r="H855" s="46" t="s">
        <v>1331</v>
      </c>
      <c r="I855" s="46" t="s">
        <v>1524</v>
      </c>
      <c r="J855" s="47" t="s">
        <v>31</v>
      </c>
      <c r="K855" s="48" t="s">
        <v>32</v>
      </c>
      <c r="L855" s="43">
        <v>1</v>
      </c>
      <c r="M855" s="43" t="s">
        <v>33</v>
      </c>
      <c r="N855" s="43" t="s">
        <v>34</v>
      </c>
      <c r="O855" s="43" t="s">
        <v>31</v>
      </c>
      <c r="P855" s="44"/>
    </row>
    <row r="856" spans="1:16" x14ac:dyDescent="0.25">
      <c r="A856" t="str">
        <f t="shared" si="13"/>
        <v>ALR_RICHIESTA_SOCCORSO_DIR_SUD_2-Allarme richiesta soccorso dir. sud bypass 2</v>
      </c>
      <c r="B856" t="str">
        <f>VLOOKUP(A856,'EXPORT IRIS PROD 13-11-2024'!A:A,1,0)</f>
        <v>ALR_RICHIESTA_SOCCORSO_DIR_SUD_2-Allarme richiesta soccorso dir. sud bypass 2</v>
      </c>
      <c r="C856" t="str">
        <f>VLOOKUP(F856,'EXPORT IRIS PROD 13-11-2024'!F:F,1,0)</f>
        <v>ALR_RICHIESTA_SOCCORSO_DIR_SUD_2</v>
      </c>
      <c r="D856" t="str">
        <f>VLOOKUP(G856,'EXPORT IRIS PROD 13-11-2024'!D:D,1,0)</f>
        <v>Allarme richiesta soccorso dir. sud bypass 2</v>
      </c>
      <c r="E856" s="37" t="s">
        <v>26</v>
      </c>
      <c r="F856" s="38" t="s">
        <v>1533</v>
      </c>
      <c r="G856" s="45" t="s">
        <v>1534</v>
      </c>
      <c r="H856" s="46" t="s">
        <v>1331</v>
      </c>
      <c r="I856" s="46" t="s">
        <v>1524</v>
      </c>
      <c r="J856" s="47" t="s">
        <v>31</v>
      </c>
      <c r="K856" s="48" t="s">
        <v>32</v>
      </c>
      <c r="L856" s="43">
        <v>1</v>
      </c>
      <c r="M856" s="43" t="s">
        <v>33</v>
      </c>
      <c r="N856" s="43" t="s">
        <v>34</v>
      </c>
      <c r="O856" s="43" t="s">
        <v>31</v>
      </c>
      <c r="P856" s="44"/>
    </row>
    <row r="857" spans="1:16" x14ac:dyDescent="0.25">
      <c r="A857" t="str">
        <f t="shared" si="13"/>
        <v>ALR_RICHIESTA_SOCCORSO_DIR_SUD_3-Allarme richiesta soccorso dir. sud bypass 3</v>
      </c>
      <c r="B857" t="str">
        <f>VLOOKUP(A857,'EXPORT IRIS PROD 13-11-2024'!A:A,1,0)</f>
        <v>ALR_RICHIESTA_SOCCORSO_DIR_SUD_3-Allarme richiesta soccorso dir. sud bypass 3</v>
      </c>
      <c r="C857" t="str">
        <f>VLOOKUP(F857,'EXPORT IRIS PROD 13-11-2024'!F:F,1,0)</f>
        <v>ALR_RICHIESTA_SOCCORSO_DIR_SUD_3</v>
      </c>
      <c r="D857" t="str">
        <f>VLOOKUP(G857,'EXPORT IRIS PROD 13-11-2024'!D:D,1,0)</f>
        <v>Allarme richiesta soccorso dir. sud bypass 3</v>
      </c>
      <c r="E857" s="37" t="s">
        <v>26</v>
      </c>
      <c r="F857" s="38" t="s">
        <v>1535</v>
      </c>
      <c r="G857" s="45" t="s">
        <v>1536</v>
      </c>
      <c r="H857" s="46" t="s">
        <v>1331</v>
      </c>
      <c r="I857" s="46" t="s">
        <v>1524</v>
      </c>
      <c r="J857" s="47" t="s">
        <v>31</v>
      </c>
      <c r="K857" s="48" t="s">
        <v>32</v>
      </c>
      <c r="L857" s="43">
        <v>1</v>
      </c>
      <c r="M857" s="43" t="s">
        <v>33</v>
      </c>
      <c r="N857" s="43" t="s">
        <v>34</v>
      </c>
      <c r="O857" s="43" t="s">
        <v>31</v>
      </c>
      <c r="P857" s="44"/>
    </row>
    <row r="858" spans="1:16" x14ac:dyDescent="0.25">
      <c r="A858" t="str">
        <f t="shared" si="13"/>
        <v>ALR_RICHIESTO_AVVIO_POMPA_SOS-Allarme richiesto avvio pompa SOS</v>
      </c>
      <c r="B858" t="str">
        <f>VLOOKUP(A858,'EXPORT IRIS PROD 13-11-2024'!A:A,1,0)</f>
        <v>ALR_RICHIESTO_AVVIO_POMPA_SOS-Allarme richiesto avvio pompa SOS</v>
      </c>
      <c r="C858" t="str">
        <f>VLOOKUP(F858,'EXPORT IRIS PROD 13-11-2024'!F:F,1,0)</f>
        <v>ALR_RICHIESTO_AVVIO_POMPA_SOS</v>
      </c>
      <c r="D858" t="str">
        <f>VLOOKUP(G858,'EXPORT IRIS PROD 13-11-2024'!D:D,1,0)</f>
        <v>Allarme richiesto avvio pompa SOS</v>
      </c>
      <c r="E858" s="37" t="s">
        <v>298</v>
      </c>
      <c r="F858" s="38" t="s">
        <v>1537</v>
      </c>
      <c r="G858" s="45" t="s">
        <v>1538</v>
      </c>
      <c r="H858" s="46" t="s">
        <v>38</v>
      </c>
      <c r="I858" s="46" t="s">
        <v>39</v>
      </c>
      <c r="J858" s="40" t="s">
        <v>21</v>
      </c>
      <c r="K858" s="41" t="s">
        <v>22</v>
      </c>
      <c r="L858" s="42" t="s">
        <v>23</v>
      </c>
      <c r="M858" s="43" t="s">
        <v>24</v>
      </c>
      <c r="N858" s="42" t="s">
        <v>25</v>
      </c>
      <c r="O858" s="42" t="s">
        <v>21</v>
      </c>
      <c r="P858" s="52"/>
    </row>
    <row r="859" spans="1:16" x14ac:dyDescent="0.25">
      <c r="A859" t="str">
        <f t="shared" si="13"/>
        <v>ALR_RIFASAMENTO_QUADRO-Allarme rifasamento quadro</v>
      </c>
      <c r="B859" t="str">
        <f>VLOOKUP(A859,'EXPORT IRIS PROD 13-11-2024'!A:A,1,0)</f>
        <v>ALR_RIFASAMENTO_QUADRO-Allarme rifasamento quadro</v>
      </c>
      <c r="C859" t="str">
        <f>VLOOKUP(F859,'EXPORT IRIS PROD 13-11-2024'!F:F,1,0)</f>
        <v>ALR_RIFASAMENTO_QUADRO</v>
      </c>
      <c r="D859" t="str">
        <f>VLOOKUP(G859,'EXPORT IRIS PROD 13-11-2024'!D:D,1,0)</f>
        <v>Allarme rifasamento quadro</v>
      </c>
      <c r="E859" s="37" t="s">
        <v>53</v>
      </c>
      <c r="F859" s="38" t="s">
        <v>1539</v>
      </c>
      <c r="G859" s="45" t="s">
        <v>1540</v>
      </c>
      <c r="H859" s="46" t="s">
        <v>1106</v>
      </c>
      <c r="I859" s="46" t="s">
        <v>114</v>
      </c>
      <c r="J859" s="40" t="s">
        <v>21</v>
      </c>
      <c r="K859" s="41" t="s">
        <v>22</v>
      </c>
      <c r="L859" s="42" t="s">
        <v>23</v>
      </c>
      <c r="M859" s="43" t="s">
        <v>24</v>
      </c>
      <c r="N859" s="42" t="s">
        <v>25</v>
      </c>
      <c r="O859" s="42" t="s">
        <v>21</v>
      </c>
      <c r="P859" s="44"/>
    </row>
    <row r="860" spans="1:16" x14ac:dyDescent="0.25">
      <c r="A860" t="str">
        <f t="shared" si="13"/>
        <v>ALR_RIFASAMENTO_QUADRO-Allarme rifasamento quadro</v>
      </c>
      <c r="B860" t="str">
        <f>VLOOKUP(A860,'EXPORT IRIS PROD 13-11-2024'!A:A,1,0)</f>
        <v>ALR_RIFASAMENTO_QUADRO-Allarme rifasamento quadro</v>
      </c>
      <c r="C860" t="str">
        <f>VLOOKUP(F860,'EXPORT IRIS PROD 13-11-2024'!F:F,1,0)</f>
        <v>ALR_RIFASAMENTO_QUADRO</v>
      </c>
      <c r="D860" t="str">
        <f>VLOOKUP(G860,'EXPORT IRIS PROD 13-11-2024'!D:D,1,0)</f>
        <v>Allarme rifasamento quadro</v>
      </c>
      <c r="E860" s="37" t="s">
        <v>1541</v>
      </c>
      <c r="F860" s="38" t="s">
        <v>1539</v>
      </c>
      <c r="G860" s="45" t="s">
        <v>1540</v>
      </c>
      <c r="H860" s="46" t="s">
        <v>965</v>
      </c>
      <c r="I860" s="46" t="s">
        <v>1542</v>
      </c>
      <c r="J860" s="40" t="s">
        <v>21</v>
      </c>
      <c r="K860" s="41" t="s">
        <v>22</v>
      </c>
      <c r="L860" s="42" t="s">
        <v>23</v>
      </c>
      <c r="M860" s="43" t="s">
        <v>24</v>
      </c>
      <c r="N860" s="42" t="s">
        <v>25</v>
      </c>
      <c r="O860" s="42" t="s">
        <v>21</v>
      </c>
      <c r="P860" s="44"/>
    </row>
    <row r="861" spans="1:16" x14ac:dyDescent="0.25">
      <c r="A861" t="str">
        <f t="shared" si="13"/>
        <v>ALR_RILEVATORE-Allarme rilevatore</v>
      </c>
      <c r="B861" t="str">
        <f>VLOOKUP(A861,'EXPORT IRIS PROD 13-11-2024'!A:A,1,0)</f>
        <v>ALR_RILEVATORE-Allarme rilevatore</v>
      </c>
      <c r="C861" t="str">
        <f>VLOOKUP(F861,'EXPORT IRIS PROD 13-11-2024'!F:F,1,0)</f>
        <v>ALR_RILEVATORE</v>
      </c>
      <c r="D861" t="str">
        <f>VLOOKUP(G861,'EXPORT IRIS PROD 13-11-2024'!D:D,1,0)</f>
        <v>Allarme rilevatore</v>
      </c>
      <c r="E861" s="37" t="s">
        <v>468</v>
      </c>
      <c r="F861" s="38" t="s">
        <v>1543</v>
      </c>
      <c r="G861" s="45" t="s">
        <v>1544</v>
      </c>
      <c r="H861" s="46" t="s">
        <v>56</v>
      </c>
      <c r="I861" s="46" t="s">
        <v>1545</v>
      </c>
      <c r="J861" s="40" t="s">
        <v>31</v>
      </c>
      <c r="K861" s="41" t="s">
        <v>32</v>
      </c>
      <c r="L861" s="43">
        <v>2</v>
      </c>
      <c r="M861" s="43" t="s">
        <v>33</v>
      </c>
      <c r="N861" s="42" t="s">
        <v>34</v>
      </c>
      <c r="O861" s="42" t="s">
        <v>31</v>
      </c>
      <c r="P861" s="44"/>
    </row>
    <row r="862" spans="1:16" x14ac:dyDescent="0.25">
      <c r="A862" t="str">
        <f t="shared" si="13"/>
        <v>ALR_RILEVATORE_2_IMP-Allarme rilevatore</v>
      </c>
      <c r="B862" t="str">
        <f>VLOOKUP(A862,'EXPORT IRIS PROD 13-11-2024'!A:A,1,0)</f>
        <v>ALR_RILEVATORE_2_IMP-Allarme rilevatore</v>
      </c>
      <c r="C862" t="str">
        <f>VLOOKUP(F862,'EXPORT IRIS PROD 13-11-2024'!F:F,1,0)</f>
        <v>ALR_RILEVATORE_2_IMP</v>
      </c>
      <c r="D862" t="str">
        <f>VLOOKUP(G862,'EXPORT IRIS PROD 13-11-2024'!D:D,1,0)</f>
        <v>Allarme rilevatore</v>
      </c>
      <c r="E862" s="37" t="s">
        <v>105</v>
      </c>
      <c r="F862" s="38" t="s">
        <v>1546</v>
      </c>
      <c r="G862" s="45" t="s">
        <v>1544</v>
      </c>
      <c r="H862" s="46" t="s">
        <v>43</v>
      </c>
      <c r="I862" s="46" t="s">
        <v>44</v>
      </c>
      <c r="J862" s="40" t="s">
        <v>21</v>
      </c>
      <c r="K862" s="41" t="s">
        <v>22</v>
      </c>
      <c r="L862" s="42" t="s">
        <v>23</v>
      </c>
      <c r="M862" s="43" t="s">
        <v>24</v>
      </c>
      <c r="N862" s="42" t="s">
        <v>25</v>
      </c>
      <c r="O862" s="42" t="s">
        <v>21</v>
      </c>
      <c r="P862" s="44"/>
    </row>
    <row r="863" spans="1:16" x14ac:dyDescent="0.25">
      <c r="A863" t="str">
        <f t="shared" si="13"/>
        <v>ALR_RISERVA_GRUPPO_ELETTROGENO-Allarme Gruppo Elettrogeno in riserva</v>
      </c>
      <c r="B863" t="str">
        <f>VLOOKUP(A863,'EXPORT IRIS PROD 13-11-2024'!A:A,1,0)</f>
        <v>ALR_RISERVA_GRUPPO_ELETTROGENO-Allarme Gruppo Elettrogeno in riserva</v>
      </c>
      <c r="C863" t="str">
        <f>VLOOKUP(F863,'EXPORT IRIS PROD 13-11-2024'!F:F,1,0)</f>
        <v>ALR_RISERVA_GRUPPO_ELETTROGENO</v>
      </c>
      <c r="D863" t="str">
        <f>VLOOKUP(G863,'EXPORT IRIS PROD 13-11-2024'!D:D,1,0)</f>
        <v>Allarme Gruppo Elettrogeno in riserva</v>
      </c>
      <c r="E863" s="37" t="s">
        <v>53</v>
      </c>
      <c r="F863" s="38" t="s">
        <v>1547</v>
      </c>
      <c r="G863" s="45" t="s">
        <v>1548</v>
      </c>
      <c r="H863" s="46" t="s">
        <v>1106</v>
      </c>
      <c r="I863" s="46" t="s">
        <v>57</v>
      </c>
      <c r="J863" s="40" t="s">
        <v>21</v>
      </c>
      <c r="K863" s="41" t="s">
        <v>22</v>
      </c>
      <c r="L863" s="42" t="s">
        <v>23</v>
      </c>
      <c r="M863" s="43" t="s">
        <v>24</v>
      </c>
      <c r="N863" s="42" t="s">
        <v>25</v>
      </c>
      <c r="O863" s="42" t="s">
        <v>21</v>
      </c>
      <c r="P863" s="44"/>
    </row>
    <row r="864" spans="1:16" x14ac:dyDescent="0.25">
      <c r="A864" t="str">
        <f t="shared" si="13"/>
        <v>ALR_RISERVA_GRUPPO_ELETTROGENO-Allarme Gruppo Elettrogeno in riserva</v>
      </c>
      <c r="B864" t="str">
        <f>VLOOKUP(A864,'EXPORT IRIS PROD 13-11-2024'!A:A,1,0)</f>
        <v>ALR_RISERVA_GRUPPO_ELETTROGENO-Allarme Gruppo Elettrogeno in riserva</v>
      </c>
      <c r="C864" t="str">
        <f>VLOOKUP(F864,'EXPORT IRIS PROD 13-11-2024'!F:F,1,0)</f>
        <v>ALR_RISERVA_GRUPPO_ELETTROGENO</v>
      </c>
      <c r="D864" t="str">
        <f>VLOOKUP(G864,'EXPORT IRIS PROD 13-11-2024'!D:D,1,0)</f>
        <v>Allarme Gruppo Elettrogeno in riserva</v>
      </c>
      <c r="E864" s="37" t="s">
        <v>53</v>
      </c>
      <c r="F864" s="38" t="s">
        <v>1547</v>
      </c>
      <c r="G864" s="45" t="s">
        <v>1548</v>
      </c>
      <c r="H864" s="46" t="s">
        <v>1106</v>
      </c>
      <c r="I864" s="46" t="s">
        <v>57</v>
      </c>
      <c r="J864" s="40" t="s">
        <v>21</v>
      </c>
      <c r="K864" s="41" t="s">
        <v>22</v>
      </c>
      <c r="L864" s="42" t="s">
        <v>23</v>
      </c>
      <c r="M864" s="43" t="s">
        <v>24</v>
      </c>
      <c r="N864" s="42" t="s">
        <v>25</v>
      </c>
      <c r="O864" s="42" t="s">
        <v>21</v>
      </c>
      <c r="P864" s="44"/>
    </row>
    <row r="865" spans="1:16" x14ac:dyDescent="0.25">
      <c r="A865" t="str">
        <f t="shared" si="13"/>
        <v>ALR_RISERVA_IDRICA_POMPA_SOS-Allarme riserva idrica pompa SOS</v>
      </c>
      <c r="B865" t="str">
        <f>VLOOKUP(A865,'EXPORT IRIS PROD 13-11-2024'!A:A,1,0)</f>
        <v>ALR_RISERVA_IDRICA_POMPA_SOS-Allarme riserva idrica pompa SOS</v>
      </c>
      <c r="C865" t="str">
        <f>VLOOKUP(F865,'EXPORT IRIS PROD 13-11-2024'!F:F,1,0)</f>
        <v>ALR_RISERVA_IDRICA_POMPA_SOS</v>
      </c>
      <c r="D865" t="str">
        <f>VLOOKUP(G865,'EXPORT IRIS PROD 13-11-2024'!D:D,1,0)</f>
        <v>Allarme riserva idrica pompa SOS</v>
      </c>
      <c r="E865" s="37" t="s">
        <v>35</v>
      </c>
      <c r="F865" s="38" t="s">
        <v>1549</v>
      </c>
      <c r="G865" s="45" t="s">
        <v>1550</v>
      </c>
      <c r="H865" s="46" t="s">
        <v>38</v>
      </c>
      <c r="I865" s="46" t="s">
        <v>39</v>
      </c>
      <c r="J865" s="40" t="s">
        <v>21</v>
      </c>
      <c r="K865" s="41" t="s">
        <v>22</v>
      </c>
      <c r="L865" s="42" t="s">
        <v>23</v>
      </c>
      <c r="M865" s="43" t="s">
        <v>24</v>
      </c>
      <c r="N865" s="42" t="s">
        <v>25</v>
      </c>
      <c r="O865" s="42" t="s">
        <v>21</v>
      </c>
      <c r="P865" s="44"/>
    </row>
    <row r="866" spans="1:16" x14ac:dyDescent="0.25">
      <c r="A866" t="str">
        <f t="shared" si="13"/>
        <v>ALR_SCALDIGLIA_MOTORE-Allarme scaldiglia motore</v>
      </c>
      <c r="B866" t="str">
        <f>VLOOKUP(A866,'EXPORT IRIS PROD 13-11-2024'!A:A,1,0)</f>
        <v>ALR_SCALDIGLIA_MOTORE-Allarme scaldiglia motore</v>
      </c>
      <c r="C866" t="str">
        <f>VLOOKUP(F866,'EXPORT IRIS PROD 13-11-2024'!F:F,1,0)</f>
        <v>ALR_SCALDIGLIA_MOTORE</v>
      </c>
      <c r="D866" t="str">
        <f>VLOOKUP(G866,'EXPORT IRIS PROD 13-11-2024'!D:D,1,0)</f>
        <v>Allarme scaldiglia motore</v>
      </c>
      <c r="E866" s="37" t="s">
        <v>85</v>
      </c>
      <c r="F866" s="38" t="s">
        <v>1551</v>
      </c>
      <c r="G866" s="45" t="s">
        <v>1552</v>
      </c>
      <c r="H866" s="46" t="s">
        <v>50</v>
      </c>
      <c r="I866" s="46" t="s">
        <v>124</v>
      </c>
      <c r="J866" s="40" t="s">
        <v>21</v>
      </c>
      <c r="K866" s="41" t="s">
        <v>22</v>
      </c>
      <c r="L866" s="42" t="s">
        <v>23</v>
      </c>
      <c r="M866" s="43" t="s">
        <v>24</v>
      </c>
      <c r="N866" s="42" t="s">
        <v>25</v>
      </c>
      <c r="O866" s="42" t="s">
        <v>21</v>
      </c>
      <c r="P866" s="44"/>
    </row>
    <row r="867" spans="1:16" x14ac:dyDescent="0.25">
      <c r="A867" t="str">
        <f t="shared" si="13"/>
        <v>ALR_SCARICATORI_TENSIONE-Allarme scaricatori di sovratensione</v>
      </c>
      <c r="B867" t="str">
        <f>VLOOKUP(A867,'EXPORT IRIS PROD 13-11-2024'!A:A,1,0)</f>
        <v>ALR_SCARICATORI_TENSIONE-Allarme scaricatori di sovratensione</v>
      </c>
      <c r="C867" t="str">
        <f>VLOOKUP(F867,'EXPORT IRIS PROD 13-11-2024'!F:F,1,0)</f>
        <v>ALR_SCARICATORI_TENSIONE</v>
      </c>
      <c r="D867" t="str">
        <f>VLOOKUP(G867,'EXPORT IRIS PROD 13-11-2024'!D:D,1,0)</f>
        <v>Allarme scaricatori di sovratensione</v>
      </c>
      <c r="E867" s="37" t="s">
        <v>53</v>
      </c>
      <c r="F867" s="38" t="s">
        <v>1553</v>
      </c>
      <c r="G867" s="45" t="s">
        <v>639</v>
      </c>
      <c r="H867" s="46" t="s">
        <v>56</v>
      </c>
      <c r="I867" s="46" t="s">
        <v>1554</v>
      </c>
      <c r="J867" s="40" t="s">
        <v>21</v>
      </c>
      <c r="K867" s="41" t="s">
        <v>22</v>
      </c>
      <c r="L867" s="42" t="s">
        <v>23</v>
      </c>
      <c r="M867" s="43" t="s">
        <v>24</v>
      </c>
      <c r="N867" s="42" t="s">
        <v>25</v>
      </c>
      <c r="O867" s="42" t="s">
        <v>21</v>
      </c>
      <c r="P867" s="44"/>
    </row>
    <row r="868" spans="1:16" x14ac:dyDescent="0.25">
      <c r="A868" t="str">
        <f t="shared" si="13"/>
        <v>ALR_SCARSA_VISIB_FUMO-Allarme scarsa visibilità/fumo</v>
      </c>
      <c r="B868" t="str">
        <f>VLOOKUP(A868,'EXPORT IRIS PROD 13-11-2024'!A:A,1,0)</f>
        <v>ALR_SCARSA_VISIB_FUMO-Allarme scarsa visibilità/fumo</v>
      </c>
      <c r="C868" t="str">
        <f>VLOOKUP(F868,'EXPORT IRIS PROD 13-11-2024'!F:F,1,0)</f>
        <v>ALR_SCARSA_VISIB_FUMO</v>
      </c>
      <c r="D868" t="str">
        <f>VLOOKUP(G868,'EXPORT IRIS PROD 13-11-2024'!D:D,1,0)</f>
        <v>Allarme scarsa visibilità/fumo</v>
      </c>
      <c r="E868" s="37" t="s">
        <v>836</v>
      </c>
      <c r="F868" s="38" t="s">
        <v>1555</v>
      </c>
      <c r="G868" s="45" t="s">
        <v>1556</v>
      </c>
      <c r="H868" s="46" t="s">
        <v>1337</v>
      </c>
      <c r="I868" s="46" t="s">
        <v>1557</v>
      </c>
      <c r="J868" s="47" t="s">
        <v>31</v>
      </c>
      <c r="K868" s="48" t="s">
        <v>32</v>
      </c>
      <c r="L868" s="43">
        <v>2</v>
      </c>
      <c r="M868" s="43" t="s">
        <v>45</v>
      </c>
      <c r="N868" s="43" t="s">
        <v>46</v>
      </c>
      <c r="O868" s="43" t="s">
        <v>31</v>
      </c>
      <c r="P868" s="49"/>
    </row>
    <row r="869" spans="1:16" x14ac:dyDescent="0.25">
      <c r="A869" t="str">
        <f t="shared" si="13"/>
        <v>ALR_SEMAFORO_GIALLO_GUASTO-Allarme semaforo giallo guasto</v>
      </c>
      <c r="B869" t="str">
        <f>VLOOKUP(A869,'EXPORT IRIS PROD 13-11-2024'!A:A,1,0)</f>
        <v>ALR_SEMAFORO_GIALLO_GUASTO-Allarme semaforo giallo guasto</v>
      </c>
      <c r="C869" t="str">
        <f>VLOOKUP(F869,'EXPORT IRIS PROD 13-11-2024'!F:F,1,0)</f>
        <v>ALR_SEMAFORO_GIALLO_GUASTO</v>
      </c>
      <c r="D869" t="str">
        <f>VLOOKUP(G869,'EXPORT IRIS PROD 13-11-2024'!D:D,1,0)</f>
        <v>Allarme semaforo giallo guasto</v>
      </c>
      <c r="E869" s="37" t="s">
        <v>109</v>
      </c>
      <c r="F869" s="38" t="s">
        <v>1558</v>
      </c>
      <c r="G869" s="45" t="s">
        <v>1559</v>
      </c>
      <c r="H869" s="46" t="s">
        <v>111</v>
      </c>
      <c r="I869" s="46" t="s">
        <v>376</v>
      </c>
      <c r="J869" s="40" t="s">
        <v>21</v>
      </c>
      <c r="K869" s="41" t="s">
        <v>22</v>
      </c>
      <c r="L869" s="42" t="s">
        <v>23</v>
      </c>
      <c r="M869" s="43" t="s">
        <v>157</v>
      </c>
      <c r="N869" s="42" t="s">
        <v>158</v>
      </c>
      <c r="O869" s="42" t="s">
        <v>21</v>
      </c>
      <c r="P869" s="44"/>
    </row>
    <row r="870" spans="1:16" x14ac:dyDescent="0.25">
      <c r="A870" t="str">
        <f t="shared" si="13"/>
        <v>ALR_SEMAFORO_ROSSO_GUASTO-Allarme semaforo rosso guasto</v>
      </c>
      <c r="B870" t="str">
        <f>VLOOKUP(A870,'EXPORT IRIS PROD 13-11-2024'!A:A,1,0)</f>
        <v>ALR_SEMAFORO_ROSSO_GUASTO-Allarme semaforo rosso guasto</v>
      </c>
      <c r="C870" t="str">
        <f>VLOOKUP(F870,'EXPORT IRIS PROD 13-11-2024'!F:F,1,0)</f>
        <v>ALR_SEMAFORO_ROSSO_GUASTO</v>
      </c>
      <c r="D870" t="str">
        <f>VLOOKUP(G870,'EXPORT IRIS PROD 13-11-2024'!D:D,1,0)</f>
        <v>Allarme semaforo rosso guasto</v>
      </c>
      <c r="E870" s="37" t="s">
        <v>109</v>
      </c>
      <c r="F870" s="38" t="s">
        <v>1560</v>
      </c>
      <c r="G870" s="45" t="s">
        <v>1561</v>
      </c>
      <c r="H870" s="46" t="s">
        <v>111</v>
      </c>
      <c r="I870" s="46" t="s">
        <v>376</v>
      </c>
      <c r="J870" s="40" t="s">
        <v>21</v>
      </c>
      <c r="K870" s="41" t="s">
        <v>22</v>
      </c>
      <c r="L870" s="42" t="s">
        <v>23</v>
      </c>
      <c r="M870" s="43" t="s">
        <v>157</v>
      </c>
      <c r="N870" s="42" t="s">
        <v>158</v>
      </c>
      <c r="O870" s="42" t="s">
        <v>21</v>
      </c>
      <c r="P870" s="44"/>
    </row>
    <row r="871" spans="1:16" x14ac:dyDescent="0.25">
      <c r="A871" t="str">
        <f t="shared" si="13"/>
        <v>ALR_SEMAFORO_VERDE_GUASTO-Allarme semaforo verde guasto</v>
      </c>
      <c r="B871" t="str">
        <f>VLOOKUP(A871,'EXPORT IRIS PROD 13-11-2024'!A:A,1,0)</f>
        <v>ALR_SEMAFORO_VERDE_GUASTO-Allarme semaforo verde guasto</v>
      </c>
      <c r="C871" t="str">
        <f>VLOOKUP(F871,'EXPORT IRIS PROD 13-11-2024'!F:F,1,0)</f>
        <v>ALR_SEMAFORO_VERDE_GUASTO</v>
      </c>
      <c r="D871" t="str">
        <f>VLOOKUP(G871,'EXPORT IRIS PROD 13-11-2024'!D:D,1,0)</f>
        <v>Allarme semaforo verde guasto</v>
      </c>
      <c r="E871" s="37" t="s">
        <v>109</v>
      </c>
      <c r="F871" s="38" t="s">
        <v>1562</v>
      </c>
      <c r="G871" s="45" t="s">
        <v>1563</v>
      </c>
      <c r="H871" s="46" t="s">
        <v>111</v>
      </c>
      <c r="I871" s="46" t="s">
        <v>376</v>
      </c>
      <c r="J871" s="40" t="s">
        <v>21</v>
      </c>
      <c r="K871" s="41" t="s">
        <v>22</v>
      </c>
      <c r="L871" s="42" t="s">
        <v>23</v>
      </c>
      <c r="M871" s="43" t="s">
        <v>157</v>
      </c>
      <c r="N871" s="42" t="s">
        <v>158</v>
      </c>
      <c r="O871" s="42" t="s">
        <v>21</v>
      </c>
      <c r="P871" s="44"/>
    </row>
    <row r="872" spans="1:16" x14ac:dyDescent="0.25">
      <c r="A872" t="str">
        <f t="shared" si="13"/>
        <v>ALR_SENSORE_RADAR-Allarme sensore Radar</v>
      </c>
      <c r="B872" t="str">
        <f>VLOOKUP(A872,'EXPORT IRIS PROD 13-11-2024'!A:A,1,0)</f>
        <v>ALR_SENSORE_RADAR-Allarme sensore Radar</v>
      </c>
      <c r="C872" t="str">
        <f>VLOOKUP(F872,'EXPORT IRIS PROD 13-11-2024'!F:F,1,0)</f>
        <v>ALR_SENSORE_RADAR</v>
      </c>
      <c r="D872" t="str">
        <f>VLOOKUP(G872,'EXPORT IRIS PROD 13-11-2024'!D:D,1,0)</f>
        <v>Allarme sensore Radar</v>
      </c>
      <c r="E872" s="37" t="s">
        <v>198</v>
      </c>
      <c r="F872" s="38" t="s">
        <v>1564</v>
      </c>
      <c r="G872" s="45" t="s">
        <v>1565</v>
      </c>
      <c r="H872" s="46" t="s">
        <v>965</v>
      </c>
      <c r="I872" s="46" t="s">
        <v>1566</v>
      </c>
      <c r="J872" s="47" t="s">
        <v>21</v>
      </c>
      <c r="K872" s="41" t="s">
        <v>22</v>
      </c>
      <c r="L872" s="43" t="s">
        <v>23</v>
      </c>
      <c r="M872" s="43" t="s">
        <v>24</v>
      </c>
      <c r="N872" s="42" t="s">
        <v>25</v>
      </c>
      <c r="O872" s="42" t="s">
        <v>21</v>
      </c>
      <c r="P872" s="44"/>
    </row>
    <row r="873" spans="1:16" x14ac:dyDescent="0.25">
      <c r="A873" t="str">
        <f t="shared" si="13"/>
        <v>ALR_SENSORE_SCOLLEGATO-Allarme sensore scollegato</v>
      </c>
      <c r="B873" t="str">
        <f>VLOOKUP(A873,'EXPORT IRIS PROD 13-11-2024'!A:A,1,0)</f>
        <v>ALR_SENSORE_SCOLLEGATO-Allarme sensore scollegato</v>
      </c>
      <c r="C873" t="str">
        <f>VLOOKUP(F873,'EXPORT IRIS PROD 13-11-2024'!F:F,1,0)</f>
        <v>ALR_SENSORE_SCOLLEGATO</v>
      </c>
      <c r="D873" t="str">
        <f>VLOOKUP(G873,'EXPORT IRIS PROD 13-11-2024'!D:D,1,0)</f>
        <v>Allarme sensore scollegato</v>
      </c>
      <c r="E873" s="37" t="s">
        <v>85</v>
      </c>
      <c r="F873" s="38" t="s">
        <v>1567</v>
      </c>
      <c r="G873" s="45" t="s">
        <v>1568</v>
      </c>
      <c r="H873" s="46" t="s">
        <v>50</v>
      </c>
      <c r="I873" s="46" t="s">
        <v>1189</v>
      </c>
      <c r="J873" s="40" t="s">
        <v>21</v>
      </c>
      <c r="K873" s="41" t="s">
        <v>22</v>
      </c>
      <c r="L873" s="42" t="s">
        <v>23</v>
      </c>
      <c r="M873" s="43" t="s">
        <v>24</v>
      </c>
      <c r="N873" s="42" t="s">
        <v>25</v>
      </c>
      <c r="O873" s="42" t="s">
        <v>21</v>
      </c>
      <c r="P873" s="44"/>
    </row>
    <row r="874" spans="1:16" x14ac:dyDescent="0.25">
      <c r="A874" t="str">
        <f t="shared" si="13"/>
        <v>ALR_SENSORE_SCOLLEGATO-Allarme sensore scollegato</v>
      </c>
      <c r="B874" t="str">
        <f>VLOOKUP(A874,'EXPORT IRIS PROD 13-11-2024'!A:A,1,0)</f>
        <v>ALR_SENSORE_SCOLLEGATO-Allarme sensore scollegato</v>
      </c>
      <c r="C874" t="str">
        <f>VLOOKUP(F874,'EXPORT IRIS PROD 13-11-2024'!F:F,1,0)</f>
        <v>ALR_SENSORE_SCOLLEGATO</v>
      </c>
      <c r="D874" t="str">
        <f>VLOOKUP(G874,'EXPORT IRIS PROD 13-11-2024'!D:D,1,0)</f>
        <v>Allarme sensore scollegato</v>
      </c>
      <c r="E874" s="37" t="s">
        <v>115</v>
      </c>
      <c r="F874" s="38" t="s">
        <v>1567</v>
      </c>
      <c r="G874" s="45" t="s">
        <v>1568</v>
      </c>
      <c r="H874" s="46" t="s">
        <v>1142</v>
      </c>
      <c r="I874" s="46" t="s">
        <v>1569</v>
      </c>
      <c r="J874" s="40" t="s">
        <v>21</v>
      </c>
      <c r="K874" s="41" t="s">
        <v>22</v>
      </c>
      <c r="L874" s="42" t="s">
        <v>23</v>
      </c>
      <c r="M874" s="43" t="s">
        <v>24</v>
      </c>
      <c r="N874" s="42" t="s">
        <v>25</v>
      </c>
      <c r="O874" s="42" t="s">
        <v>21</v>
      </c>
      <c r="P874" s="44"/>
    </row>
    <row r="875" spans="1:16" x14ac:dyDescent="0.25">
      <c r="A875" t="str">
        <f t="shared" si="13"/>
        <v>ALR_SEQUENZA_FASE_ERRATA-Allarme sequenza fase errata</v>
      </c>
      <c r="B875" t="str">
        <f>VLOOKUP(A875,'EXPORT IRIS PROD 13-11-2024'!A:A,1,0)</f>
        <v>ALR_SEQUENZA_FASE_ERRATA-Allarme sequenza fase errata</v>
      </c>
      <c r="C875" t="str">
        <f>VLOOKUP(F875,'EXPORT IRIS PROD 13-11-2024'!F:F,1,0)</f>
        <v>ALR_SEQUENZA_FASE_ERRATA</v>
      </c>
      <c r="D875" t="str">
        <f>VLOOKUP(G875,'EXPORT IRIS PROD 13-11-2024'!D:D,1,0)</f>
        <v>Allarme sequenza fase errata</v>
      </c>
      <c r="E875" s="37" t="s">
        <v>35</v>
      </c>
      <c r="F875" s="38" t="s">
        <v>1570</v>
      </c>
      <c r="G875" s="45" t="s">
        <v>1571</v>
      </c>
      <c r="H875" s="46" t="s">
        <v>38</v>
      </c>
      <c r="I875" s="46" t="s">
        <v>39</v>
      </c>
      <c r="J875" s="40" t="s">
        <v>21</v>
      </c>
      <c r="K875" s="41" t="s">
        <v>22</v>
      </c>
      <c r="L875" s="42" t="s">
        <v>23</v>
      </c>
      <c r="M875" s="43" t="s">
        <v>24</v>
      </c>
      <c r="N875" s="42" t="s">
        <v>25</v>
      </c>
      <c r="O875" s="42" t="s">
        <v>21</v>
      </c>
      <c r="P875" s="44"/>
    </row>
    <row r="876" spans="1:16" x14ac:dyDescent="0.25">
      <c r="A876" t="str">
        <f t="shared" si="13"/>
        <v>ALR_SERBATOIO_ACQUA_VUOTO-Allarme serbatoio acqua vuoto</v>
      </c>
      <c r="B876" t="str">
        <f>VLOOKUP(A876,'EXPORT IRIS PROD 13-11-2024'!A:A,1,0)</f>
        <v>ALR_SERBATOIO_ACQUA_VUOTO-Allarme serbatoio acqua vuoto</v>
      </c>
      <c r="C876" t="str">
        <f>VLOOKUP(F876,'EXPORT IRIS PROD 13-11-2024'!F:F,1,0)</f>
        <v>ALR_SERBATOIO_ACQUA_VUOTO</v>
      </c>
      <c r="D876" t="str">
        <f>VLOOKUP(G876,'EXPORT IRIS PROD 13-11-2024'!D:D,1,0)</f>
        <v>Allarme serbatoio acqua vuoto</v>
      </c>
      <c r="E876" s="37" t="s">
        <v>35</v>
      </c>
      <c r="F876" s="38" t="s">
        <v>1572</v>
      </c>
      <c r="G876" s="45" t="s">
        <v>1573</v>
      </c>
      <c r="H876" s="46" t="s">
        <v>38</v>
      </c>
      <c r="I876" s="46" t="s">
        <v>480</v>
      </c>
      <c r="J876" s="40" t="s">
        <v>21</v>
      </c>
      <c r="K876" s="41" t="s">
        <v>22</v>
      </c>
      <c r="L876" s="42" t="s">
        <v>23</v>
      </c>
      <c r="M876" s="43" t="s">
        <v>157</v>
      </c>
      <c r="N876" s="42" t="s">
        <v>158</v>
      </c>
      <c r="O876" s="42" t="s">
        <v>21</v>
      </c>
      <c r="P876" s="44"/>
    </row>
    <row r="877" spans="1:16" x14ac:dyDescent="0.25">
      <c r="A877" t="str">
        <f t="shared" si="13"/>
        <v>ALR_SHUTDOWN_IMMINENTE-Allarme shutdown imminente</v>
      </c>
      <c r="B877" t="str">
        <f>VLOOKUP(A877,'EXPORT IRIS PROD 13-11-2024'!A:A,1,0)</f>
        <v>ALR_SHUTDOWN_IMMINENTE-Allarme shutdown imminente</v>
      </c>
      <c r="C877" t="str">
        <f>VLOOKUP(F877,'EXPORT IRIS PROD 13-11-2024'!F:F,1,0)</f>
        <v>ALR_SHUTDOWN_IMMINENTE</v>
      </c>
      <c r="D877" t="str">
        <f>VLOOKUP(G877,'EXPORT IRIS PROD 13-11-2024'!D:D,1,0)</f>
        <v>Allarme shutdown imminente</v>
      </c>
      <c r="E877" s="37" t="s">
        <v>53</v>
      </c>
      <c r="F877" s="38" t="s">
        <v>1574</v>
      </c>
      <c r="G877" s="45" t="s">
        <v>1575</v>
      </c>
      <c r="H877" s="46" t="s">
        <v>1106</v>
      </c>
      <c r="I877" s="46" t="s">
        <v>104</v>
      </c>
      <c r="J877" s="40" t="s">
        <v>21</v>
      </c>
      <c r="K877" s="41" t="s">
        <v>22</v>
      </c>
      <c r="L877" s="42" t="s">
        <v>23</v>
      </c>
      <c r="M877" s="43" t="s">
        <v>24</v>
      </c>
      <c r="N877" s="42" t="s">
        <v>25</v>
      </c>
      <c r="O877" s="42" t="s">
        <v>21</v>
      </c>
      <c r="P877" s="44"/>
    </row>
    <row r="878" spans="1:16" x14ac:dyDescent="0.25">
      <c r="A878" t="str">
        <f t="shared" si="13"/>
        <v>ALR_SHUTDOWN_IN_ATTESA-Allarme shutdown in attesa</v>
      </c>
      <c r="B878" t="str">
        <f>VLOOKUP(A878,'EXPORT IRIS PROD 13-11-2024'!A:A,1,0)</f>
        <v>ALR_SHUTDOWN_IN_ATTESA-Allarme shutdown in attesa</v>
      </c>
      <c r="C878" t="str">
        <f>VLOOKUP(F878,'EXPORT IRIS PROD 13-11-2024'!F:F,1,0)</f>
        <v>ALR_SHUTDOWN_IN_ATTESA</v>
      </c>
      <c r="D878" t="str">
        <f>VLOOKUP(G878,'EXPORT IRIS PROD 13-11-2024'!D:D,1,0)</f>
        <v>Allarme shutdown in attesa</v>
      </c>
      <c r="E878" s="37" t="s">
        <v>53</v>
      </c>
      <c r="F878" s="38" t="s">
        <v>1576</v>
      </c>
      <c r="G878" s="45" t="s">
        <v>1577</v>
      </c>
      <c r="H878" s="46" t="s">
        <v>1106</v>
      </c>
      <c r="I878" s="46" t="s">
        <v>104</v>
      </c>
      <c r="J878" s="40" t="s">
        <v>21</v>
      </c>
      <c r="K878" s="41" t="s">
        <v>22</v>
      </c>
      <c r="L878" s="42" t="s">
        <v>23</v>
      </c>
      <c r="M878" s="43" t="s">
        <v>24</v>
      </c>
      <c r="N878" s="42" t="s">
        <v>25</v>
      </c>
      <c r="O878" s="42" t="s">
        <v>21</v>
      </c>
      <c r="P878" s="44"/>
    </row>
    <row r="879" spans="1:16" x14ac:dyDescent="0.25">
      <c r="A879" t="str">
        <f t="shared" si="13"/>
        <v>ALR_SIMULATO_1-Allarme simulato 1</v>
      </c>
      <c r="B879" t="str">
        <f>VLOOKUP(A879,'EXPORT IRIS PROD 13-11-2024'!A:A,1,0)</f>
        <v>ALR_SIMULATO_1-Allarme simulato 1</v>
      </c>
      <c r="C879" t="str">
        <f>VLOOKUP(F879,'EXPORT IRIS PROD 13-11-2024'!F:F,1,0)</f>
        <v>ALR_SIMULATO_1</v>
      </c>
      <c r="D879" t="str">
        <f>VLOOKUP(G879,'EXPORT IRIS PROD 13-11-2024'!D:D,1,0)</f>
        <v>Allarme simulato 1</v>
      </c>
      <c r="E879" s="37" t="s">
        <v>85</v>
      </c>
      <c r="F879" s="38" t="s">
        <v>1578</v>
      </c>
      <c r="G879" s="45" t="s">
        <v>1579</v>
      </c>
      <c r="H879" s="46" t="s">
        <v>50</v>
      </c>
      <c r="I879" s="46" t="s">
        <v>124</v>
      </c>
      <c r="J879" s="40" t="s">
        <v>21</v>
      </c>
      <c r="K879" s="41" t="s">
        <v>22</v>
      </c>
      <c r="L879" s="42" t="s">
        <v>23</v>
      </c>
      <c r="M879" s="43" t="s">
        <v>24</v>
      </c>
      <c r="N879" s="42" t="s">
        <v>25</v>
      </c>
      <c r="O879" s="42" t="s">
        <v>21</v>
      </c>
      <c r="P879" s="44"/>
    </row>
    <row r="880" spans="1:16" x14ac:dyDescent="0.25">
      <c r="A880" t="str">
        <f t="shared" si="13"/>
        <v>ALR_SIMULATO_2-Allarme simulato 2</v>
      </c>
      <c r="B880" t="str">
        <f>VLOOKUP(A880,'EXPORT IRIS PROD 13-11-2024'!A:A,1,0)</f>
        <v>ALR_SIMULATO_2-Allarme simulato 2</v>
      </c>
      <c r="C880" t="str">
        <f>VLOOKUP(F880,'EXPORT IRIS PROD 13-11-2024'!F:F,1,0)</f>
        <v>ALR_SIMULATO_2</v>
      </c>
      <c r="D880" t="str">
        <f>VLOOKUP(G880,'EXPORT IRIS PROD 13-11-2024'!D:D,1,0)</f>
        <v>Allarme simulato 2</v>
      </c>
      <c r="E880" s="37" t="s">
        <v>85</v>
      </c>
      <c r="F880" s="38" t="s">
        <v>1580</v>
      </c>
      <c r="G880" s="45" t="s">
        <v>1581</v>
      </c>
      <c r="H880" s="46" t="s">
        <v>50</v>
      </c>
      <c r="I880" s="46" t="s">
        <v>124</v>
      </c>
      <c r="J880" s="40" t="s">
        <v>21</v>
      </c>
      <c r="K880" s="41" t="s">
        <v>22</v>
      </c>
      <c r="L880" s="42" t="s">
        <v>23</v>
      </c>
      <c r="M880" s="43" t="s">
        <v>24</v>
      </c>
      <c r="N880" s="42" t="s">
        <v>25</v>
      </c>
      <c r="O880" s="42" t="s">
        <v>21</v>
      </c>
      <c r="P880" s="44"/>
    </row>
    <row r="881" spans="1:16" x14ac:dyDescent="0.25">
      <c r="A881" t="str">
        <f t="shared" si="13"/>
        <v>ALR_SIMULATO_3-Allarme simulato 3</v>
      </c>
      <c r="B881" t="str">
        <f>VLOOKUP(A881,'EXPORT IRIS PROD 13-11-2024'!A:A,1,0)</f>
        <v>ALR_SIMULATO_3-Allarme simulato 3</v>
      </c>
      <c r="C881" t="str">
        <f>VLOOKUP(F881,'EXPORT IRIS PROD 13-11-2024'!F:F,1,0)</f>
        <v>ALR_SIMULATO_3</v>
      </c>
      <c r="D881" t="str">
        <f>VLOOKUP(G881,'EXPORT IRIS PROD 13-11-2024'!D:D,1,0)</f>
        <v>Allarme simulato 3</v>
      </c>
      <c r="E881" s="37" t="s">
        <v>85</v>
      </c>
      <c r="F881" s="38" t="s">
        <v>1582</v>
      </c>
      <c r="G881" s="45" t="s">
        <v>1583</v>
      </c>
      <c r="H881" s="46" t="s">
        <v>50</v>
      </c>
      <c r="I881" s="46" t="s">
        <v>124</v>
      </c>
      <c r="J881" s="40" t="s">
        <v>21</v>
      </c>
      <c r="K881" s="41" t="s">
        <v>22</v>
      </c>
      <c r="L881" s="42" t="s">
        <v>23</v>
      </c>
      <c r="M881" s="43" t="s">
        <v>24</v>
      </c>
      <c r="N881" s="42" t="s">
        <v>25</v>
      </c>
      <c r="O881" s="42" t="s">
        <v>21</v>
      </c>
      <c r="P881" s="44"/>
    </row>
    <row r="882" spans="1:16" x14ac:dyDescent="0.25">
      <c r="A882" t="str">
        <f t="shared" si="13"/>
        <v>ALR_SIMULAZIONE-Allarme simulazione</v>
      </c>
      <c r="B882" t="str">
        <f>VLOOKUP(A882,'EXPORT IRIS PROD 13-11-2024'!A:A,1,0)</f>
        <v>ALR_SIMULAZIONE-Allarme simulazione</v>
      </c>
      <c r="C882" t="str">
        <f>VLOOKUP(F882,'EXPORT IRIS PROD 13-11-2024'!F:F,1,0)</f>
        <v>ALR_SIMULAZIONE</v>
      </c>
      <c r="D882" t="str">
        <f>VLOOKUP(G882,'EXPORT IRIS PROD 13-11-2024'!D:D,1,0)</f>
        <v>Allarme simulazione</v>
      </c>
      <c r="E882" s="37" t="s">
        <v>115</v>
      </c>
      <c r="F882" s="38" t="s">
        <v>1584</v>
      </c>
      <c r="G882" s="45" t="s">
        <v>1585</v>
      </c>
      <c r="H882" s="46" t="s">
        <v>1142</v>
      </c>
      <c r="I882" s="46" t="s">
        <v>1569</v>
      </c>
      <c r="J882" s="40" t="s">
        <v>21</v>
      </c>
      <c r="K882" s="41" t="s">
        <v>22</v>
      </c>
      <c r="L882" s="42" t="s">
        <v>23</v>
      </c>
      <c r="M882" s="43" t="s">
        <v>24</v>
      </c>
      <c r="N882" s="42" t="s">
        <v>25</v>
      </c>
      <c r="O882" s="42" t="s">
        <v>21</v>
      </c>
      <c r="P882" s="44"/>
    </row>
    <row r="883" spans="1:16" x14ac:dyDescent="0.25">
      <c r="A883" t="str">
        <f t="shared" si="13"/>
        <v>ALR_SINCRONIZZAZIONE_PLC-Allarme sincronizzazione PLC</v>
      </c>
      <c r="B883" t="str">
        <f>VLOOKUP(A883,'EXPORT IRIS PROD 13-11-2024'!A:A,1,0)</f>
        <v>ALR_SINCRONIZZAZIONE_PLC-Allarme sincronizzazione PLC</v>
      </c>
      <c r="C883" t="str">
        <f>VLOOKUP(F883,'EXPORT IRIS PROD 13-11-2024'!F:F,1,0)</f>
        <v>ALR_SINCRONIZZAZIONE_PLC</v>
      </c>
      <c r="D883" t="str">
        <f>VLOOKUP(G883,'EXPORT IRIS PROD 13-11-2024'!D:D,1,0)</f>
        <v>Allarme sincronizzazione PLC</v>
      </c>
      <c r="E883" s="37" t="s">
        <v>249</v>
      </c>
      <c r="F883" s="38" t="s">
        <v>1586</v>
      </c>
      <c r="G883" s="45" t="s">
        <v>1587</v>
      </c>
      <c r="H883" s="46" t="s">
        <v>1156</v>
      </c>
      <c r="I883" s="46" t="s">
        <v>1157</v>
      </c>
      <c r="J883" s="40" t="s">
        <v>31</v>
      </c>
      <c r="K883" s="41" t="s">
        <v>32</v>
      </c>
      <c r="L883" s="42">
        <v>3</v>
      </c>
      <c r="M883" s="43" t="s">
        <v>33</v>
      </c>
      <c r="N883" s="42" t="s">
        <v>34</v>
      </c>
      <c r="O883" s="42" t="s">
        <v>31</v>
      </c>
      <c r="P883" s="44"/>
    </row>
    <row r="884" spans="1:16" x14ac:dyDescent="0.25">
      <c r="A884" t="str">
        <f t="shared" si="13"/>
        <v>ALR_SOCCORRITORE-Allarme soccorritore</v>
      </c>
      <c r="B884" t="str">
        <f>VLOOKUP(A884,'EXPORT IRIS PROD 13-11-2024'!A:A,1,0)</f>
        <v>ALR_SOCCORRITORE-Allarme soccorritore</v>
      </c>
      <c r="C884" t="str">
        <f>VLOOKUP(F884,'EXPORT IRIS PROD 13-11-2024'!F:F,1,0)</f>
        <v>ALR_SOCCORRITORE</v>
      </c>
      <c r="D884" t="str">
        <f>VLOOKUP(G884,'EXPORT IRIS PROD 13-11-2024'!D:D,1,0)</f>
        <v>Allarme soccorritore</v>
      </c>
      <c r="E884" s="37" t="s">
        <v>53</v>
      </c>
      <c r="F884" s="38" t="s">
        <v>1588</v>
      </c>
      <c r="G884" s="45" t="s">
        <v>1589</v>
      </c>
      <c r="H884" s="46" t="s">
        <v>1106</v>
      </c>
      <c r="I884" s="46" t="s">
        <v>1590</v>
      </c>
      <c r="J884" s="40" t="s">
        <v>21</v>
      </c>
      <c r="K884" s="41" t="s">
        <v>22</v>
      </c>
      <c r="L884" s="42" t="s">
        <v>23</v>
      </c>
      <c r="M884" s="43" t="s">
        <v>24</v>
      </c>
      <c r="N884" s="42" t="s">
        <v>25</v>
      </c>
      <c r="O884" s="42" t="s">
        <v>21</v>
      </c>
      <c r="P884" s="44"/>
    </row>
    <row r="885" spans="1:16" x14ac:dyDescent="0.25">
      <c r="A885" t="str">
        <f t="shared" si="13"/>
        <v>ALR_SONDA_ASSORBIMENTO-Allarme sonda assorbimento</v>
      </c>
      <c r="B885" t="str">
        <f>VLOOKUP(A885,'EXPORT IRIS PROD 13-11-2024'!A:A,1,0)</f>
        <v>ALR_SONDA_ASSORBIMENTO-Allarme sonda assorbimento</v>
      </c>
      <c r="C885" t="str">
        <f>VLOOKUP(F885,'EXPORT IRIS PROD 13-11-2024'!F:F,1,0)</f>
        <v>ALR_SONDA_ASSORBIMENTO</v>
      </c>
      <c r="D885" t="str">
        <f>VLOOKUP(G885,'EXPORT IRIS PROD 13-11-2024'!D:D,1,0)</f>
        <v>Allarme sonda assorbimento</v>
      </c>
      <c r="E885" s="37" t="s">
        <v>85</v>
      </c>
      <c r="F885" s="38" t="s">
        <v>1591</v>
      </c>
      <c r="G885" s="45" t="s">
        <v>1592</v>
      </c>
      <c r="H885" s="46" t="s">
        <v>50</v>
      </c>
      <c r="I885" s="46" t="s">
        <v>124</v>
      </c>
      <c r="J885" s="40" t="s">
        <v>21</v>
      </c>
      <c r="K885" s="41" t="s">
        <v>22</v>
      </c>
      <c r="L885" s="42" t="s">
        <v>23</v>
      </c>
      <c r="M885" s="43" t="s">
        <v>24</v>
      </c>
      <c r="N885" s="42" t="s">
        <v>25</v>
      </c>
      <c r="O885" s="42" t="s">
        <v>21</v>
      </c>
      <c r="P885" s="44"/>
    </row>
    <row r="886" spans="1:16" x14ac:dyDescent="0.25">
      <c r="A886" t="str">
        <f t="shared" si="13"/>
        <v>ALR_SONDA_VIBRAZIONE-Allarme sonda vibrazione</v>
      </c>
      <c r="B886" t="str">
        <f>VLOOKUP(A886,'EXPORT IRIS PROD 13-11-2024'!A:A,1,0)</f>
        <v>ALR_SONDA_VIBRAZIONE-Allarme sonda vibrazione</v>
      </c>
      <c r="C886" t="str">
        <f>VLOOKUP(F886,'EXPORT IRIS PROD 13-11-2024'!F:F,1,0)</f>
        <v>ALR_SONDA_VIBRAZIONE</v>
      </c>
      <c r="D886" t="str">
        <f>VLOOKUP(G886,'EXPORT IRIS PROD 13-11-2024'!D:D,1,0)</f>
        <v>Allarme sonda vibrazione</v>
      </c>
      <c r="E886" s="37" t="s">
        <v>85</v>
      </c>
      <c r="F886" s="38" t="s">
        <v>1593</v>
      </c>
      <c r="G886" s="45" t="s">
        <v>1594</v>
      </c>
      <c r="H886" s="46" t="s">
        <v>1319</v>
      </c>
      <c r="I886" s="46" t="s">
        <v>124</v>
      </c>
      <c r="J886" s="40" t="s">
        <v>31</v>
      </c>
      <c r="K886" s="41" t="s">
        <v>32</v>
      </c>
      <c r="L886" s="42">
        <v>3</v>
      </c>
      <c r="M886" s="43" t="s">
        <v>24</v>
      </c>
      <c r="N886" s="42" t="s">
        <v>25</v>
      </c>
      <c r="O886" s="42" t="s">
        <v>21</v>
      </c>
      <c r="P886" s="44"/>
    </row>
    <row r="887" spans="1:16" x14ac:dyDescent="0.25">
      <c r="A887" t="str">
        <f t="shared" si="13"/>
        <v>ALR_SOSTITUZIONE_BATTERIA-Allarme sostituzione batteria</v>
      </c>
      <c r="B887" t="str">
        <f>VLOOKUP(A887,'EXPORT IRIS PROD 13-11-2024'!A:A,1,0)</f>
        <v>ALR_SOSTITUZIONE_BATTERIA-Allarme sostituzione batteria</v>
      </c>
      <c r="C887" t="str">
        <f>VLOOKUP(F887,'EXPORT IRIS PROD 13-11-2024'!F:F,1,0)</f>
        <v>ALR_SOSTITUZIONE_BATTERIA</v>
      </c>
      <c r="D887" t="str">
        <f>VLOOKUP(G887,'EXPORT IRIS PROD 13-11-2024'!D:D,1,0)</f>
        <v>Allarme sostituzione batteria</v>
      </c>
      <c r="E887" s="37" t="s">
        <v>53</v>
      </c>
      <c r="F887" s="38" t="s">
        <v>1595</v>
      </c>
      <c r="G887" s="45" t="s">
        <v>1596</v>
      </c>
      <c r="H887" s="46" t="s">
        <v>56</v>
      </c>
      <c r="I887" s="46" t="s">
        <v>104</v>
      </c>
      <c r="J887" s="40" t="s">
        <v>21</v>
      </c>
      <c r="K887" s="41" t="s">
        <v>22</v>
      </c>
      <c r="L887" s="42" t="s">
        <v>23</v>
      </c>
      <c r="M887" s="43" t="s">
        <v>24</v>
      </c>
      <c r="N887" s="42" t="s">
        <v>25</v>
      </c>
      <c r="O887" s="42" t="s">
        <v>21</v>
      </c>
      <c r="P887" s="44"/>
    </row>
    <row r="888" spans="1:16" x14ac:dyDescent="0.25">
      <c r="A888" t="str">
        <f t="shared" si="13"/>
        <v>ALR_SOSTITUZIONE_BATTERIA-Allarme sostituzione batteria</v>
      </c>
      <c r="B888" t="str">
        <f>VLOOKUP(A888,'EXPORT IRIS PROD 13-11-2024'!A:A,1,0)</f>
        <v>ALR_SOSTITUZIONE_BATTERIA-Allarme sostituzione batteria</v>
      </c>
      <c r="C888" t="str">
        <f>VLOOKUP(F888,'EXPORT IRIS PROD 13-11-2024'!F:F,1,0)</f>
        <v>ALR_SOSTITUZIONE_BATTERIA</v>
      </c>
      <c r="D888" t="str">
        <f>VLOOKUP(G888,'EXPORT IRIS PROD 13-11-2024'!D:D,1,0)</f>
        <v>Allarme sostituzione batteria</v>
      </c>
      <c r="E888" s="37" t="s">
        <v>105</v>
      </c>
      <c r="F888" s="38" t="s">
        <v>1595</v>
      </c>
      <c r="G888" s="45" t="s">
        <v>1596</v>
      </c>
      <c r="H888" s="46" t="s">
        <v>43</v>
      </c>
      <c r="I888" s="46" t="s">
        <v>44</v>
      </c>
      <c r="J888" s="40" t="s">
        <v>21</v>
      </c>
      <c r="K888" s="41" t="s">
        <v>22</v>
      </c>
      <c r="L888" s="42" t="s">
        <v>23</v>
      </c>
      <c r="M888" s="43" t="s">
        <v>24</v>
      </c>
      <c r="N888" s="42" t="s">
        <v>25</v>
      </c>
      <c r="O888" s="42" t="s">
        <v>21</v>
      </c>
      <c r="P888" s="44"/>
    </row>
    <row r="889" spans="1:16" x14ac:dyDescent="0.25">
      <c r="A889" t="str">
        <f t="shared" si="13"/>
        <v>ALR_SOVRAPOTENZA_IN_INGRESSO-Allarme sovrapotenza In Ingresso</v>
      </c>
      <c r="B889" t="str">
        <f>VLOOKUP(A889,'EXPORT IRIS PROD 13-11-2024'!A:A,1,0)</f>
        <v>ALR_SOVRAPOTENZA_IN_INGRESSO-Allarme sovrapotenza In Ingresso</v>
      </c>
      <c r="C889" t="str">
        <f>VLOOKUP(F889,'EXPORT IRIS PROD 13-11-2024'!F:F,1,0)</f>
        <v>ALR_SOVRAPOTENZA_IN_INGRESSO</v>
      </c>
      <c r="D889" t="str">
        <f>VLOOKUP(G889,'EXPORT IRIS PROD 13-11-2024'!D:D,1,0)</f>
        <v>Allarme sovrapotenza In Ingresso</v>
      </c>
      <c r="E889" s="37" t="s">
        <v>53</v>
      </c>
      <c r="F889" s="38" t="s">
        <v>1597</v>
      </c>
      <c r="G889" s="45" t="s">
        <v>1598</v>
      </c>
      <c r="H889" s="46" t="s">
        <v>1106</v>
      </c>
      <c r="I889" s="46" t="s">
        <v>104</v>
      </c>
      <c r="J889" s="40" t="s">
        <v>21</v>
      </c>
      <c r="K889" s="41" t="s">
        <v>22</v>
      </c>
      <c r="L889" s="42" t="s">
        <v>23</v>
      </c>
      <c r="M889" s="43" t="s">
        <v>24</v>
      </c>
      <c r="N889" s="42" t="s">
        <v>25</v>
      </c>
      <c r="O889" s="42" t="s">
        <v>21</v>
      </c>
      <c r="P889" s="44"/>
    </row>
    <row r="890" spans="1:16" x14ac:dyDescent="0.25">
      <c r="A890" t="str">
        <f t="shared" si="13"/>
        <v>ALR_SOVRAVELOCITA_GE-Allarme sovravelocità gruppo elettrogeno</v>
      </c>
      <c r="B890" t="str">
        <f>VLOOKUP(A890,'EXPORT IRIS PROD 13-11-2024'!A:A,1,0)</f>
        <v>ALR_SOVRAVELOCITA_GE-Allarme sovravelocità gruppo elettrogeno</v>
      </c>
      <c r="C890" t="str">
        <f>VLOOKUP(F890,'EXPORT IRIS PROD 13-11-2024'!F:F,1,0)</f>
        <v>ALR_SOVRAVELOCITA_GE</v>
      </c>
      <c r="D890" t="str">
        <f>VLOOKUP(G890,'EXPORT IRIS PROD 13-11-2024'!D:D,1,0)</f>
        <v>Allarme sovravelocità gruppo elettrogeno</v>
      </c>
      <c r="E890" s="37" t="s">
        <v>16</v>
      </c>
      <c r="F890" s="38" t="s">
        <v>1599</v>
      </c>
      <c r="G890" s="45" t="s">
        <v>1600</v>
      </c>
      <c r="H890" s="46" t="s">
        <v>1156</v>
      </c>
      <c r="I890" s="46" t="s">
        <v>1157</v>
      </c>
      <c r="J890" s="40" t="s">
        <v>21</v>
      </c>
      <c r="K890" s="41" t="s">
        <v>22</v>
      </c>
      <c r="L890" s="42" t="s">
        <v>23</v>
      </c>
      <c r="M890" s="43" t="s">
        <v>24</v>
      </c>
      <c r="N890" s="42" t="s">
        <v>25</v>
      </c>
      <c r="O890" s="42" t="s">
        <v>21</v>
      </c>
      <c r="P890" s="44"/>
    </row>
    <row r="891" spans="1:16" x14ac:dyDescent="0.25">
      <c r="A891" t="str">
        <f t="shared" si="13"/>
        <v>ALR_SPEGNIMENTO-Allarme spegnimento</v>
      </c>
      <c r="B891" t="str">
        <f>VLOOKUP(A891,'EXPORT IRIS PROD 13-11-2024'!A:A,1,0)</f>
        <v>ALR_SPEGNIMENTO-Allarme spegnimento</v>
      </c>
      <c r="C891" t="str">
        <f>VLOOKUP(F891,'EXPORT IRIS PROD 13-11-2024'!F:F,1,0)</f>
        <v>ALR_SPEGNIMENTO</v>
      </c>
      <c r="D891" t="str">
        <f>VLOOKUP(G891,'EXPORT IRIS PROD 13-11-2024'!D:D,1,0)</f>
        <v>Allarme spegnimento</v>
      </c>
      <c r="E891" s="37" t="s">
        <v>280</v>
      </c>
      <c r="F891" s="38" t="s">
        <v>1601</v>
      </c>
      <c r="G891" s="45" t="s">
        <v>1602</v>
      </c>
      <c r="H891" s="46" t="s">
        <v>50</v>
      </c>
      <c r="I891" s="46" t="s">
        <v>124</v>
      </c>
      <c r="J891" s="40" t="s">
        <v>21</v>
      </c>
      <c r="K891" s="41" t="s">
        <v>22</v>
      </c>
      <c r="L891" s="42" t="s">
        <v>23</v>
      </c>
      <c r="M891" s="43" t="s">
        <v>24</v>
      </c>
      <c r="N891" s="42" t="s">
        <v>25</v>
      </c>
      <c r="O891" s="42" t="s">
        <v>21</v>
      </c>
      <c r="P891" s="44"/>
    </row>
    <row r="892" spans="1:16" x14ac:dyDescent="0.25">
      <c r="A892" t="str">
        <f t="shared" si="13"/>
        <v>ALR_SPEGNIMENTO-Allarme spegnimento</v>
      </c>
      <c r="B892" t="str">
        <f>VLOOKUP(A892,'EXPORT IRIS PROD 13-11-2024'!A:A,1,0)</f>
        <v>ALR_SPEGNIMENTO-Allarme spegnimento</v>
      </c>
      <c r="C892" t="str">
        <f>VLOOKUP(F892,'EXPORT IRIS PROD 13-11-2024'!F:F,1,0)</f>
        <v>ALR_SPEGNIMENTO</v>
      </c>
      <c r="D892" t="str">
        <f>VLOOKUP(G892,'EXPORT IRIS PROD 13-11-2024'!D:D,1,0)</f>
        <v>Allarme spegnimento</v>
      </c>
      <c r="E892" s="37" t="s">
        <v>53</v>
      </c>
      <c r="F892" s="38" t="s">
        <v>1601</v>
      </c>
      <c r="G892" s="45" t="s">
        <v>1602</v>
      </c>
      <c r="H892" s="46" t="s">
        <v>1106</v>
      </c>
      <c r="I892" s="46" t="s">
        <v>104</v>
      </c>
      <c r="J892" s="40" t="s">
        <v>21</v>
      </c>
      <c r="K892" s="41" t="s">
        <v>22</v>
      </c>
      <c r="L892" s="42" t="s">
        <v>23</v>
      </c>
      <c r="M892" s="43" t="s">
        <v>24</v>
      </c>
      <c r="N892" s="42" t="s">
        <v>25</v>
      </c>
      <c r="O892" s="42" t="s">
        <v>21</v>
      </c>
      <c r="P892" s="44"/>
    </row>
    <row r="893" spans="1:16" x14ac:dyDescent="0.25">
      <c r="A893" t="str">
        <f t="shared" si="13"/>
        <v>ALR_SPEGNIMENTO-Allarme spegnimento</v>
      </c>
      <c r="B893" t="str">
        <f>VLOOKUP(A893,'EXPORT IRIS PROD 13-11-2024'!A:A,1,0)</f>
        <v>ALR_SPEGNIMENTO-Allarme spegnimento</v>
      </c>
      <c r="C893" t="str">
        <f>VLOOKUP(F893,'EXPORT IRIS PROD 13-11-2024'!F:F,1,0)</f>
        <v>ALR_SPEGNIMENTO</v>
      </c>
      <c r="D893" t="str">
        <f>VLOOKUP(G893,'EXPORT IRIS PROD 13-11-2024'!D:D,1,0)</f>
        <v>Allarme spegnimento</v>
      </c>
      <c r="E893" s="37" t="s">
        <v>115</v>
      </c>
      <c r="F893" s="38" t="s">
        <v>1601</v>
      </c>
      <c r="G893" s="45" t="s">
        <v>1602</v>
      </c>
      <c r="H893" s="46" t="s">
        <v>1142</v>
      </c>
      <c r="I893" s="46" t="s">
        <v>715</v>
      </c>
      <c r="J893" s="40" t="s">
        <v>21</v>
      </c>
      <c r="K893" s="41" t="s">
        <v>22</v>
      </c>
      <c r="L893" s="42" t="s">
        <v>23</v>
      </c>
      <c r="M893" s="43" t="s">
        <v>24</v>
      </c>
      <c r="N893" s="42" t="s">
        <v>25</v>
      </c>
      <c r="O893" s="42" t="s">
        <v>21</v>
      </c>
      <c r="P893" s="44"/>
    </row>
    <row r="894" spans="1:16" x14ac:dyDescent="0.25">
      <c r="A894" t="str">
        <f t="shared" si="13"/>
        <v>ALR_SUPERAMENTO_SOGLIA_1-Allarme superamento soglia 1</v>
      </c>
      <c r="B894" t="str">
        <f>VLOOKUP(A894,'EXPORT IRIS PROD 13-11-2024'!A:A,1,0)</f>
        <v>ALR_SUPERAMENTO_SOGLIA_1-Allarme superamento soglia 1</v>
      </c>
      <c r="C894" t="str">
        <f>VLOOKUP(F894,'EXPORT IRIS PROD 13-11-2024'!F:F,1,0)</f>
        <v>ALR_SUPERAMENTO_SOGLIA_1</v>
      </c>
      <c r="D894" t="str">
        <f>VLOOKUP(G894,'EXPORT IRIS PROD 13-11-2024'!D:D,1,0)</f>
        <v>Allarme superamento soglia 1</v>
      </c>
      <c r="E894" s="37" t="s">
        <v>85</v>
      </c>
      <c r="F894" s="38" t="s">
        <v>1603</v>
      </c>
      <c r="G894" s="38" t="s">
        <v>1604</v>
      </c>
      <c r="H894" s="39" t="s">
        <v>50</v>
      </c>
      <c r="I894" s="39" t="s">
        <v>445</v>
      </c>
      <c r="J894" s="40" t="s">
        <v>21</v>
      </c>
      <c r="K894" s="41" t="s">
        <v>22</v>
      </c>
      <c r="L894" s="42" t="s">
        <v>23</v>
      </c>
      <c r="M894" s="43" t="s">
        <v>24</v>
      </c>
      <c r="N894" s="42" t="s">
        <v>25</v>
      </c>
      <c r="O894" s="42" t="s">
        <v>21</v>
      </c>
      <c r="P894" s="44"/>
    </row>
    <row r="895" spans="1:16" x14ac:dyDescent="0.25">
      <c r="A895" t="str">
        <f t="shared" si="13"/>
        <v>ALR_SUPERAMENTO_SOGLIA_2-Allarme superamento soglia 2</v>
      </c>
      <c r="B895" t="str">
        <f>VLOOKUP(A895,'EXPORT IRIS PROD 13-11-2024'!A:A,1,0)</f>
        <v>ALR_SUPERAMENTO_SOGLIA_2-Allarme superamento soglia 2</v>
      </c>
      <c r="C895" t="str">
        <f>VLOOKUP(F895,'EXPORT IRIS PROD 13-11-2024'!F:F,1,0)</f>
        <v>ALR_SUPERAMENTO_SOGLIA_2</v>
      </c>
      <c r="D895" t="str">
        <f>VLOOKUP(G895,'EXPORT IRIS PROD 13-11-2024'!D:D,1,0)</f>
        <v>Allarme superamento soglia 2</v>
      </c>
      <c r="E895" s="37" t="s">
        <v>85</v>
      </c>
      <c r="F895" s="38" t="s">
        <v>1605</v>
      </c>
      <c r="G895" s="38" t="s">
        <v>1606</v>
      </c>
      <c r="H895" s="39" t="s">
        <v>50</v>
      </c>
      <c r="I895" s="39" t="s">
        <v>445</v>
      </c>
      <c r="J895" s="40" t="s">
        <v>21</v>
      </c>
      <c r="K895" s="41" t="s">
        <v>22</v>
      </c>
      <c r="L895" s="42" t="s">
        <v>23</v>
      </c>
      <c r="M895" s="43" t="s">
        <v>24</v>
      </c>
      <c r="N895" s="42" t="s">
        <v>25</v>
      </c>
      <c r="O895" s="42" t="s">
        <v>21</v>
      </c>
      <c r="P895" s="44"/>
    </row>
    <row r="896" spans="1:16" x14ac:dyDescent="0.25">
      <c r="A896" t="str">
        <f t="shared" si="13"/>
        <v>ALR_SUPERAMENTO_SOGLIA_3-Allarme superamento soglia 3</v>
      </c>
      <c r="B896" t="str">
        <f>VLOOKUP(A896,'EXPORT IRIS PROD 13-11-2024'!A:A,1,0)</f>
        <v>ALR_SUPERAMENTO_SOGLIA_3-Allarme superamento soglia 3</v>
      </c>
      <c r="C896" t="str">
        <f>VLOOKUP(F896,'EXPORT IRIS PROD 13-11-2024'!F:F,1,0)</f>
        <v>ALR_SUPERAMENTO_SOGLIA_3</v>
      </c>
      <c r="D896" t="str">
        <f>VLOOKUP(G896,'EXPORT IRIS PROD 13-11-2024'!D:D,1,0)</f>
        <v>Allarme superamento soglia 3</v>
      </c>
      <c r="E896" s="37" t="s">
        <v>85</v>
      </c>
      <c r="F896" s="38" t="s">
        <v>1607</v>
      </c>
      <c r="G896" s="38" t="s">
        <v>1608</v>
      </c>
      <c r="H896" s="39" t="s">
        <v>50</v>
      </c>
      <c r="I896" s="39" t="s">
        <v>445</v>
      </c>
      <c r="J896" s="40" t="s">
        <v>21</v>
      </c>
      <c r="K896" s="41" t="s">
        <v>22</v>
      </c>
      <c r="L896" s="42" t="s">
        <v>23</v>
      </c>
      <c r="M896" s="43" t="s">
        <v>24</v>
      </c>
      <c r="N896" s="42" t="s">
        <v>25</v>
      </c>
      <c r="O896" s="42" t="s">
        <v>21</v>
      </c>
      <c r="P896" s="44"/>
    </row>
    <row r="897" spans="1:16" x14ac:dyDescent="0.25">
      <c r="A897" t="str">
        <f t="shared" si="13"/>
        <v>ALR_SUPERAMENTO_SOGLIA_4-Allarme superamento soglia 4</v>
      </c>
      <c r="B897" t="str">
        <f>VLOOKUP(A897,'EXPORT IRIS PROD 13-11-2024'!A:A,1,0)</f>
        <v>ALR_SUPERAMENTO_SOGLIA_4-Allarme superamento soglia 4</v>
      </c>
      <c r="C897" t="str">
        <f>VLOOKUP(F897,'EXPORT IRIS PROD 13-11-2024'!F:F,1,0)</f>
        <v>ALR_SUPERAMENTO_SOGLIA_4</v>
      </c>
      <c r="D897" t="str">
        <f>VLOOKUP(G897,'EXPORT IRIS PROD 13-11-2024'!D:D,1,0)</f>
        <v>Allarme superamento soglia 4</v>
      </c>
      <c r="E897" s="37" t="s">
        <v>85</v>
      </c>
      <c r="F897" s="38" t="s">
        <v>1609</v>
      </c>
      <c r="G897" s="38" t="s">
        <v>1610</v>
      </c>
      <c r="H897" s="39" t="s">
        <v>50</v>
      </c>
      <c r="I897" s="39" t="s">
        <v>445</v>
      </c>
      <c r="J897" s="40" t="s">
        <v>21</v>
      </c>
      <c r="K897" s="41" t="s">
        <v>22</v>
      </c>
      <c r="L897" s="42" t="s">
        <v>23</v>
      </c>
      <c r="M897" s="43" t="s">
        <v>24</v>
      </c>
      <c r="N897" s="42" t="s">
        <v>25</v>
      </c>
      <c r="O897" s="42" t="s">
        <v>21</v>
      </c>
      <c r="P897" s="44"/>
    </row>
    <row r="898" spans="1:16" x14ac:dyDescent="0.25">
      <c r="A898" t="str">
        <f t="shared" si="13"/>
        <v>ALR_SUPERAMENTO_SOGLIA_5-Allarme superamento soglia 5</v>
      </c>
      <c r="B898" t="str">
        <f>VLOOKUP(A898,'EXPORT IRIS PROD 13-11-2024'!A:A,1,0)</f>
        <v>ALR_SUPERAMENTO_SOGLIA_5-Allarme superamento soglia 5</v>
      </c>
      <c r="C898" t="str">
        <f>VLOOKUP(F898,'EXPORT IRIS PROD 13-11-2024'!F:F,1,0)</f>
        <v>ALR_SUPERAMENTO_SOGLIA_5</v>
      </c>
      <c r="D898" t="str">
        <f>VLOOKUP(G898,'EXPORT IRIS PROD 13-11-2024'!D:D,1,0)</f>
        <v>Allarme superamento soglia 5</v>
      </c>
      <c r="E898" s="37" t="s">
        <v>85</v>
      </c>
      <c r="F898" s="38" t="s">
        <v>1611</v>
      </c>
      <c r="G898" s="38" t="s">
        <v>1612</v>
      </c>
      <c r="H898" s="39" t="s">
        <v>50</v>
      </c>
      <c r="I898" s="39" t="s">
        <v>445</v>
      </c>
      <c r="J898" s="40" t="s">
        <v>21</v>
      </c>
      <c r="K898" s="41" t="s">
        <v>22</v>
      </c>
      <c r="L898" s="42" t="s">
        <v>23</v>
      </c>
      <c r="M898" s="43" t="s">
        <v>24</v>
      </c>
      <c r="N898" s="42" t="s">
        <v>25</v>
      </c>
      <c r="O898" s="42" t="s">
        <v>21</v>
      </c>
      <c r="P898" s="44"/>
    </row>
    <row r="899" spans="1:16" x14ac:dyDescent="0.25">
      <c r="A899" t="str">
        <f t="shared" ref="A899:A962" si="14">CONCATENATE(F899,"-",G899)</f>
        <v>ALR_SUPERAMENTO_SOGLIA_6-Allarme superamento soglia 6</v>
      </c>
      <c r="B899" t="str">
        <f>VLOOKUP(A899,'EXPORT IRIS PROD 13-11-2024'!A:A,1,0)</f>
        <v>ALR_SUPERAMENTO_SOGLIA_6-Allarme superamento soglia 6</v>
      </c>
      <c r="C899" t="str">
        <f>VLOOKUP(F899,'EXPORT IRIS PROD 13-11-2024'!F:F,1,0)</f>
        <v>ALR_SUPERAMENTO_SOGLIA_6</v>
      </c>
      <c r="D899" t="str">
        <f>VLOOKUP(G899,'EXPORT IRIS PROD 13-11-2024'!D:D,1,0)</f>
        <v>Allarme superamento soglia 6</v>
      </c>
      <c r="E899" s="37" t="s">
        <v>85</v>
      </c>
      <c r="F899" s="38" t="s">
        <v>1613</v>
      </c>
      <c r="G899" s="45" t="s">
        <v>1614</v>
      </c>
      <c r="H899" s="46" t="s">
        <v>50</v>
      </c>
      <c r="I899" s="46" t="s">
        <v>1615</v>
      </c>
      <c r="J899" s="40" t="s">
        <v>21</v>
      </c>
      <c r="K899" s="41" t="s">
        <v>22</v>
      </c>
      <c r="L899" s="42" t="s">
        <v>23</v>
      </c>
      <c r="M899" s="43" t="s">
        <v>24</v>
      </c>
      <c r="N899" s="42" t="s">
        <v>25</v>
      </c>
      <c r="O899" s="42" t="s">
        <v>21</v>
      </c>
      <c r="P899" s="44"/>
    </row>
    <row r="900" spans="1:16" x14ac:dyDescent="0.25">
      <c r="A900" t="str">
        <f t="shared" si="14"/>
        <v>ALR_SWITCH_PRIMARIO-Allarme switch su primario</v>
      </c>
      <c r="B900" t="str">
        <f>VLOOKUP(A900,'EXPORT IRIS PROD 13-11-2024'!A:A,1,0)</f>
        <v>ALR_SWITCH_PRIMARIO-Allarme switch su primario</v>
      </c>
      <c r="C900" t="str">
        <f>VLOOKUP(F900,'EXPORT IRIS PROD 13-11-2024'!F:F,1,0)</f>
        <v>ALR_SWITCH_PRIMARIO</v>
      </c>
      <c r="D900" t="str">
        <f>VLOOKUP(G900,'EXPORT IRIS PROD 13-11-2024'!D:D,1,0)</f>
        <v>Allarme switch su primario</v>
      </c>
      <c r="E900" s="37" t="s">
        <v>16</v>
      </c>
      <c r="F900" s="38" t="s">
        <v>1616</v>
      </c>
      <c r="G900" s="45" t="s">
        <v>1617</v>
      </c>
      <c r="H900" s="46" t="s">
        <v>1156</v>
      </c>
      <c r="I900" s="46" t="s">
        <v>1157</v>
      </c>
      <c r="J900" s="40" t="s">
        <v>21</v>
      </c>
      <c r="K900" s="41" t="s">
        <v>22</v>
      </c>
      <c r="L900" s="42" t="s">
        <v>23</v>
      </c>
      <c r="M900" s="43" t="s">
        <v>24</v>
      </c>
      <c r="N900" s="42" t="s">
        <v>25</v>
      </c>
      <c r="O900" s="42" t="s">
        <v>21</v>
      </c>
      <c r="P900" s="44"/>
    </row>
    <row r="901" spans="1:16" x14ac:dyDescent="0.25">
      <c r="A901" t="str">
        <f t="shared" si="14"/>
        <v>ALR_TEMPERATURA_ALTA_REATTORE_PRINCIPALE-Allarme alta temperatura reattore principale</v>
      </c>
      <c r="B901" t="str">
        <f>VLOOKUP(A901,'EXPORT IRIS PROD 13-11-2024'!A:A,1,0)</f>
        <v>ALR_TEMPERATURA_ALTA_REATTORE_PRINCIPALE-Allarme alta temperatura reattore principale</v>
      </c>
      <c r="C901" t="str">
        <f>VLOOKUP(F901,'EXPORT IRIS PROD 13-11-2024'!F:F,1,0)</f>
        <v>ALR_TEMPERATURA_ALTA_REATTORE_PRINCIPALE</v>
      </c>
      <c r="D901" t="str">
        <f>VLOOKUP(G901,'EXPORT IRIS PROD 13-11-2024'!D:D,1,0)</f>
        <v>Allarme alta temperatura reattore principale</v>
      </c>
      <c r="E901" s="37" t="s">
        <v>1201</v>
      </c>
      <c r="F901" s="38" t="s">
        <v>1618</v>
      </c>
      <c r="G901" s="45" t="s">
        <v>1619</v>
      </c>
      <c r="H901" s="46" t="s">
        <v>965</v>
      </c>
      <c r="I901" s="46" t="s">
        <v>1204</v>
      </c>
      <c r="J901" s="40" t="s">
        <v>21</v>
      </c>
      <c r="K901" s="41" t="s">
        <v>22</v>
      </c>
      <c r="L901" s="42" t="s">
        <v>23</v>
      </c>
      <c r="M901" s="43" t="s">
        <v>24</v>
      </c>
      <c r="N901" s="42" t="s">
        <v>25</v>
      </c>
      <c r="O901" s="42" t="s">
        <v>21</v>
      </c>
      <c r="P901" s="44"/>
    </row>
    <row r="902" spans="1:16" x14ac:dyDescent="0.25">
      <c r="A902" t="str">
        <f t="shared" si="14"/>
        <v>ALR_TEMPERATURA_ALTA_REATTORE_SERIE-Allarme alta temperatura reattore serie</v>
      </c>
      <c r="B902" t="str">
        <f>VLOOKUP(A902,'EXPORT IRIS PROD 13-11-2024'!A:A,1,0)</f>
        <v>ALR_TEMPERATURA_ALTA_REATTORE_SERIE-Allarme alta temperatura reattore serie</v>
      </c>
      <c r="C902" t="str">
        <f>VLOOKUP(F902,'EXPORT IRIS PROD 13-11-2024'!F:F,1,0)</f>
        <v>ALR_TEMPERATURA_ALTA_REATTORE_SERIE</v>
      </c>
      <c r="D902" t="str">
        <f>VLOOKUP(G902,'EXPORT IRIS PROD 13-11-2024'!D:D,1,0)</f>
        <v>Allarme alta temperatura reattore serie</v>
      </c>
      <c r="E902" s="37" t="s">
        <v>1201</v>
      </c>
      <c r="F902" s="38" t="s">
        <v>1620</v>
      </c>
      <c r="G902" s="45" t="s">
        <v>1621</v>
      </c>
      <c r="H902" s="46" t="s">
        <v>965</v>
      </c>
      <c r="I902" s="46" t="s">
        <v>1204</v>
      </c>
      <c r="J902" s="40" t="s">
        <v>21</v>
      </c>
      <c r="K902" s="41" t="s">
        <v>22</v>
      </c>
      <c r="L902" s="42" t="s">
        <v>23</v>
      </c>
      <c r="M902" s="43" t="s">
        <v>24</v>
      </c>
      <c r="N902" s="42" t="s">
        <v>25</v>
      </c>
      <c r="O902" s="42" t="s">
        <v>21</v>
      </c>
      <c r="P902" s="44"/>
    </row>
    <row r="903" spans="1:16" x14ac:dyDescent="0.25">
      <c r="A903" t="str">
        <f t="shared" si="14"/>
        <v>ALR_TEMPERATURA_ALTA_SENSORE_TEMPERATURA-Allarme alta temperatura Sensore di temperatura</v>
      </c>
      <c r="B903" t="str">
        <f>VLOOKUP(A903,'EXPORT IRIS PROD 13-11-2024'!A:A,1,0)</f>
        <v>ALR_TEMPERATURA_ALTA_SENSORE_TEMPERATURA-Allarme alta temperatura Sensore di temperatura</v>
      </c>
      <c r="C903" t="str">
        <f>VLOOKUP(F903,'EXPORT IRIS PROD 13-11-2024'!F:F,1,0)</f>
        <v>ALR_TEMPERATURA_ALTA_SENSORE_TEMPERATURA</v>
      </c>
      <c r="D903" t="str">
        <f>VLOOKUP(G903,'EXPORT IRIS PROD 13-11-2024'!D:D,1,0)</f>
        <v>Allarme alta temperatura Sensore di temperatura</v>
      </c>
      <c r="E903" s="37" t="s">
        <v>863</v>
      </c>
      <c r="F903" s="38" t="s">
        <v>1622</v>
      </c>
      <c r="G903" s="45" t="s">
        <v>1623</v>
      </c>
      <c r="H903" s="46" t="s">
        <v>1331</v>
      </c>
      <c r="I903" s="46" t="s">
        <v>1624</v>
      </c>
      <c r="J903" s="40" t="s">
        <v>21</v>
      </c>
      <c r="K903" s="41" t="s">
        <v>22</v>
      </c>
      <c r="L903" s="42" t="s">
        <v>23</v>
      </c>
      <c r="M903" s="43" t="s">
        <v>24</v>
      </c>
      <c r="N903" s="42" t="s">
        <v>25</v>
      </c>
      <c r="O903" s="42" t="s">
        <v>21</v>
      </c>
      <c r="P903" s="44"/>
    </row>
    <row r="904" spans="1:16" x14ac:dyDescent="0.25">
      <c r="A904" t="str">
        <f t="shared" si="14"/>
        <v>ALR_TEMPERATURA_PIASTRA-Allarme sovratemperatura piastra</v>
      </c>
      <c r="B904" t="str">
        <f>VLOOKUP(A904,'EXPORT IRIS PROD 13-11-2024'!A:A,1,0)</f>
        <v>ALR_TEMPERATURA_PIASTRA-Allarme sovratemperatura piastra</v>
      </c>
      <c r="C904" t="str">
        <f>VLOOKUP(F904,'EXPORT IRIS PROD 13-11-2024'!F:F,1,0)</f>
        <v>ALR_TEMPERATURA_PIASTRA</v>
      </c>
      <c r="D904" t="str">
        <f>VLOOKUP(G904,'EXPORT IRIS PROD 13-11-2024'!D:D,1,0)</f>
        <v>Allarme sovratemperatura piastra</v>
      </c>
      <c r="E904" s="37" t="s">
        <v>1088</v>
      </c>
      <c r="F904" s="38" t="s">
        <v>1625</v>
      </c>
      <c r="G904" s="45" t="s">
        <v>1626</v>
      </c>
      <c r="H904" s="46" t="s">
        <v>965</v>
      </c>
      <c r="I904" s="46" t="s">
        <v>1091</v>
      </c>
      <c r="J904" s="40" t="s">
        <v>21</v>
      </c>
      <c r="K904" s="41" t="s">
        <v>22</v>
      </c>
      <c r="L904" s="42" t="s">
        <v>23</v>
      </c>
      <c r="M904" s="43" t="s">
        <v>24</v>
      </c>
      <c r="N904" s="42" t="s">
        <v>25</v>
      </c>
      <c r="O904" s="42" t="s">
        <v>21</v>
      </c>
      <c r="P904" s="44"/>
    </row>
    <row r="905" spans="1:16" x14ac:dyDescent="0.25">
      <c r="A905" t="str">
        <f t="shared" si="14"/>
        <v>ALR_TENSIONE_IN_INGRESSO-Allarme stabilizzatore di tensione in ingresso</v>
      </c>
      <c r="B905" t="str">
        <f>VLOOKUP(A905,'EXPORT IRIS PROD 13-11-2024'!A:A,1,0)</f>
        <v>ALR_TENSIONE_IN_INGRESSO-Allarme stabilizzatore di tensione in ingresso</v>
      </c>
      <c r="C905" t="str">
        <f>VLOOKUP(F905,'EXPORT IRIS PROD 13-11-2024'!F:F,1,0)</f>
        <v>ALR_TENSIONE_IN_INGRESSO</v>
      </c>
      <c r="D905" t="str">
        <f>VLOOKUP(G905,'EXPORT IRIS PROD 13-11-2024'!D:D,1,0)</f>
        <v>Allarme stabilizzatore di tensione in ingresso</v>
      </c>
      <c r="E905" s="37" t="s">
        <v>1201</v>
      </c>
      <c r="F905" s="38" t="s">
        <v>1627</v>
      </c>
      <c r="G905" s="45" t="s">
        <v>1628</v>
      </c>
      <c r="H905" s="46" t="s">
        <v>1113</v>
      </c>
      <c r="I905" s="46" t="s">
        <v>1204</v>
      </c>
      <c r="J905" s="40" t="s">
        <v>21</v>
      </c>
      <c r="K905" s="41" t="s">
        <v>22</v>
      </c>
      <c r="L905" s="42" t="s">
        <v>23</v>
      </c>
      <c r="M905" s="43" t="s">
        <v>24</v>
      </c>
      <c r="N905" s="42" t="s">
        <v>25</v>
      </c>
      <c r="O905" s="42" t="s">
        <v>21</v>
      </c>
      <c r="P905" s="44"/>
    </row>
    <row r="906" spans="1:16" x14ac:dyDescent="0.25">
      <c r="A906" t="str">
        <f t="shared" si="14"/>
        <v>ALR_TENSIONE_IN_INGRESSO-Allarme stabilizzatore di tensione in ingresso</v>
      </c>
      <c r="B906" t="str">
        <f>VLOOKUP(A906,'EXPORT IRIS PROD 13-11-2024'!A:A,1,0)</f>
        <v>ALR_TENSIONE_IN_INGRESSO-Allarme stabilizzatore di tensione in ingresso</v>
      </c>
      <c r="C906" t="str">
        <f>VLOOKUP(F906,'EXPORT IRIS PROD 13-11-2024'!F:F,1,0)</f>
        <v>ALR_TENSIONE_IN_INGRESSO</v>
      </c>
      <c r="D906" t="str">
        <f>VLOOKUP(G906,'EXPORT IRIS PROD 13-11-2024'!D:D,1,0)</f>
        <v>Allarme stabilizzatore di tensione in ingresso</v>
      </c>
      <c r="E906" s="37" t="s">
        <v>53</v>
      </c>
      <c r="F906" s="38" t="s">
        <v>1627</v>
      </c>
      <c r="G906" s="38" t="s">
        <v>1628</v>
      </c>
      <c r="H906" s="39" t="s">
        <v>56</v>
      </c>
      <c r="I906" s="39" t="s">
        <v>104</v>
      </c>
      <c r="J906" s="40" t="s">
        <v>21</v>
      </c>
      <c r="K906" s="41" t="s">
        <v>22</v>
      </c>
      <c r="L906" s="42" t="s">
        <v>23</v>
      </c>
      <c r="M906" s="43" t="s">
        <v>24</v>
      </c>
      <c r="N906" s="42" t="s">
        <v>25</v>
      </c>
      <c r="O906" s="42" t="s">
        <v>21</v>
      </c>
      <c r="P906" s="44"/>
    </row>
    <row r="907" spans="1:16" x14ac:dyDescent="0.25">
      <c r="A907" t="str">
        <f t="shared" si="14"/>
        <v>ALR_TENSIONE_IN_USCITA-Allarme stabilizzatore di tensione in uscita</v>
      </c>
      <c r="B907" t="str">
        <f>VLOOKUP(A907,'EXPORT IRIS PROD 13-11-2024'!A:A,1,0)</f>
        <v>ALR_TENSIONE_IN_USCITA-Allarme stabilizzatore di tensione in uscita</v>
      </c>
      <c r="C907" t="str">
        <f>VLOOKUP(F907,'EXPORT IRIS PROD 13-11-2024'!F:F,1,0)</f>
        <v>ALR_TENSIONE_IN_USCITA</v>
      </c>
      <c r="D907" t="str">
        <f>VLOOKUP(G907,'EXPORT IRIS PROD 13-11-2024'!D:D,1,0)</f>
        <v>Allarme stabilizzatore di tensione in uscita</v>
      </c>
      <c r="E907" s="37" t="s">
        <v>53</v>
      </c>
      <c r="F907" s="38" t="s">
        <v>1629</v>
      </c>
      <c r="G907" s="38" t="s">
        <v>1630</v>
      </c>
      <c r="H907" s="39" t="s">
        <v>56</v>
      </c>
      <c r="I907" s="39" t="s">
        <v>104</v>
      </c>
      <c r="J907" s="40" t="s">
        <v>21</v>
      </c>
      <c r="K907" s="41" t="s">
        <v>22</v>
      </c>
      <c r="L907" s="42" t="s">
        <v>23</v>
      </c>
      <c r="M907" s="43" t="s">
        <v>24</v>
      </c>
      <c r="N907" s="42" t="s">
        <v>25</v>
      </c>
      <c r="O907" s="42" t="s">
        <v>21</v>
      </c>
      <c r="P907" s="44"/>
    </row>
    <row r="908" spans="1:16" x14ac:dyDescent="0.25">
      <c r="A908" t="str">
        <f t="shared" si="14"/>
        <v>ALR_TERMICA-Allarme termica</v>
      </c>
      <c r="B908" t="str">
        <f>VLOOKUP(A908,'EXPORT IRIS PROD 13-11-2024'!A:A,1,0)</f>
        <v>ALR_TERMICA-Allarme termica</v>
      </c>
      <c r="C908" t="str">
        <f>VLOOKUP(F908,'EXPORT IRIS PROD 13-11-2024'!F:F,1,0)</f>
        <v>ALR_TERMICA</v>
      </c>
      <c r="D908" t="str">
        <f>VLOOKUP(G908,'EXPORT IRIS PROD 13-11-2024'!D:D,1,0)</f>
        <v>Allarme termica</v>
      </c>
      <c r="E908" s="37" t="s">
        <v>53</v>
      </c>
      <c r="F908" s="38" t="s">
        <v>1631</v>
      </c>
      <c r="G908" s="45" t="s">
        <v>1632</v>
      </c>
      <c r="H908" s="46" t="s">
        <v>1106</v>
      </c>
      <c r="I908" s="46" t="s">
        <v>402</v>
      </c>
      <c r="J908" s="40" t="s">
        <v>21</v>
      </c>
      <c r="K908" s="41" t="s">
        <v>22</v>
      </c>
      <c r="L908" s="42" t="s">
        <v>23</v>
      </c>
      <c r="M908" s="43" t="s">
        <v>24</v>
      </c>
      <c r="N908" s="42" t="s">
        <v>25</v>
      </c>
      <c r="O908" s="42" t="s">
        <v>21</v>
      </c>
      <c r="P908" s="44"/>
    </row>
    <row r="909" spans="1:16" x14ac:dyDescent="0.25">
      <c r="A909" t="str">
        <f t="shared" si="14"/>
        <v>ALR_TERMICA-Allarme termica</v>
      </c>
      <c r="B909" t="str">
        <f>VLOOKUP(A909,'EXPORT IRIS PROD 13-11-2024'!A:A,1,0)</f>
        <v>ALR_TERMICA-Allarme termica</v>
      </c>
      <c r="C909" t="str">
        <f>VLOOKUP(F909,'EXPORT IRIS PROD 13-11-2024'!F:F,1,0)</f>
        <v>ALR_TERMICA</v>
      </c>
      <c r="D909" t="str">
        <f>VLOOKUP(G909,'EXPORT IRIS PROD 13-11-2024'!D:D,1,0)</f>
        <v>Allarme termica</v>
      </c>
      <c r="E909" s="37" t="s">
        <v>85</v>
      </c>
      <c r="F909" s="38" t="s">
        <v>1631</v>
      </c>
      <c r="G909" s="45" t="s">
        <v>1632</v>
      </c>
      <c r="H909" s="46" t="s">
        <v>1319</v>
      </c>
      <c r="I909" s="46" t="s">
        <v>275</v>
      </c>
      <c r="J909" s="40" t="s">
        <v>21</v>
      </c>
      <c r="K909" s="41" t="s">
        <v>22</v>
      </c>
      <c r="L909" s="42" t="s">
        <v>23</v>
      </c>
      <c r="M909" s="43" t="s">
        <v>24</v>
      </c>
      <c r="N909" s="42" t="s">
        <v>25</v>
      </c>
      <c r="O909" s="42" t="s">
        <v>21</v>
      </c>
      <c r="P909" s="44"/>
    </row>
    <row r="910" spans="1:16" x14ac:dyDescent="0.25">
      <c r="A910" t="str">
        <f t="shared" si="14"/>
        <v>ALR_TERMICO_VENTILATORE-Allarme termico ventilatore</v>
      </c>
      <c r="B910" t="str">
        <f>VLOOKUP(A910,'EXPORT IRIS PROD 13-11-2024'!A:A,1,0)</f>
        <v>ALR_TERMICO_VENTILATORE-Allarme termico ventilatore</v>
      </c>
      <c r="C910" t="str">
        <f>VLOOKUP(F910,'EXPORT IRIS PROD 13-11-2024'!F:F,1,0)</f>
        <v>ALR_TERMICO_VENTILATORE</v>
      </c>
      <c r="D910" t="str">
        <f>VLOOKUP(G910,'EXPORT IRIS PROD 13-11-2024'!D:D,1,0)</f>
        <v>Allarme termico ventilatore</v>
      </c>
      <c r="E910" s="37" t="s">
        <v>85</v>
      </c>
      <c r="F910" s="38" t="s">
        <v>1633</v>
      </c>
      <c r="G910" s="45" t="s">
        <v>1634</v>
      </c>
      <c r="H910" s="46" t="s">
        <v>1331</v>
      </c>
      <c r="I910" s="46" t="s">
        <v>124</v>
      </c>
      <c r="J910" s="40" t="s">
        <v>21</v>
      </c>
      <c r="K910" s="41" t="s">
        <v>22</v>
      </c>
      <c r="L910" s="42" t="s">
        <v>23</v>
      </c>
      <c r="M910" s="43" t="s">
        <v>24</v>
      </c>
      <c r="N910" s="42" t="s">
        <v>25</v>
      </c>
      <c r="O910" s="42" t="s">
        <v>21</v>
      </c>
      <c r="P910" s="44"/>
    </row>
    <row r="911" spans="1:16" x14ac:dyDescent="0.25">
      <c r="A911" t="str">
        <f t="shared" si="14"/>
        <v>ALR_TEST_FALLITO-Allarme test fallito</v>
      </c>
      <c r="B911" t="str">
        <f>VLOOKUP(A911,'EXPORT IRIS PROD 13-11-2024'!A:A,1,0)</f>
        <v>ALR_TEST_FALLITO-Allarme test fallito</v>
      </c>
      <c r="C911" t="str">
        <f>VLOOKUP(F911,'EXPORT IRIS PROD 13-11-2024'!F:F,1,0)</f>
        <v>ALR_TEST_FALLITO</v>
      </c>
      <c r="D911" t="str">
        <f>VLOOKUP(G911,'EXPORT IRIS PROD 13-11-2024'!D:D,1,0)</f>
        <v>Allarme test fallito</v>
      </c>
      <c r="E911" s="37" t="s">
        <v>53</v>
      </c>
      <c r="F911" s="38" t="s">
        <v>1635</v>
      </c>
      <c r="G911" s="45" t="s">
        <v>1636</v>
      </c>
      <c r="H911" s="46" t="s">
        <v>1106</v>
      </c>
      <c r="I911" s="46" t="s">
        <v>104</v>
      </c>
      <c r="J911" s="40" t="s">
        <v>21</v>
      </c>
      <c r="K911" s="41" t="s">
        <v>22</v>
      </c>
      <c r="L911" s="42" t="s">
        <v>23</v>
      </c>
      <c r="M911" s="43" t="s">
        <v>24</v>
      </c>
      <c r="N911" s="42" t="s">
        <v>25</v>
      </c>
      <c r="O911" s="42" t="s">
        <v>21</v>
      </c>
      <c r="P911" s="44"/>
    </row>
    <row r="912" spans="1:16" x14ac:dyDescent="0.25">
      <c r="A912" t="str">
        <f t="shared" si="14"/>
        <v>ALR_TEST_FALLITO-Allarme test fallito</v>
      </c>
      <c r="B912" t="str">
        <f>VLOOKUP(A912,'EXPORT IRIS PROD 13-11-2024'!A:A,1,0)</f>
        <v>ALR_TEST_FALLITO-Allarme test fallito</v>
      </c>
      <c r="C912" t="str">
        <f>VLOOKUP(F912,'EXPORT IRIS PROD 13-11-2024'!F:F,1,0)</f>
        <v>ALR_TEST_FALLITO</v>
      </c>
      <c r="D912" t="str">
        <f>VLOOKUP(G912,'EXPORT IRIS PROD 13-11-2024'!D:D,1,0)</f>
        <v>Allarme test fallito</v>
      </c>
      <c r="E912" s="37" t="s">
        <v>35</v>
      </c>
      <c r="F912" s="38" t="s">
        <v>1635</v>
      </c>
      <c r="G912" s="45" t="s">
        <v>1636</v>
      </c>
      <c r="H912" s="46" t="s">
        <v>38</v>
      </c>
      <c r="I912" s="46" t="s">
        <v>301</v>
      </c>
      <c r="J912" s="40" t="s">
        <v>21</v>
      </c>
      <c r="K912" s="41" t="s">
        <v>22</v>
      </c>
      <c r="L912" s="42" t="s">
        <v>23</v>
      </c>
      <c r="M912" s="43" t="s">
        <v>24</v>
      </c>
      <c r="N912" s="42" t="s">
        <v>25</v>
      </c>
      <c r="O912" s="42" t="s">
        <v>21</v>
      </c>
      <c r="P912" s="44"/>
    </row>
    <row r="913" spans="1:16" x14ac:dyDescent="0.25">
      <c r="A913" t="str">
        <f t="shared" si="14"/>
        <v>ALR_TIME_OUT_ASPIRAZIONE-Allarme time-out aspirazione</v>
      </c>
      <c r="B913" t="str">
        <f>VLOOKUP(A913,'EXPORT IRIS PROD 13-11-2024'!A:A,1,0)</f>
        <v>ALR_TIME_OUT_ASPIRAZIONE-Allarme time-out aspirazione</v>
      </c>
      <c r="C913" t="str">
        <f>VLOOKUP(F913,'EXPORT IRIS PROD 13-11-2024'!F:F,1,0)</f>
        <v>ALR_TIME_OUT_ASPIRAZIONE</v>
      </c>
      <c r="D913" t="str">
        <f>VLOOKUP(G913,'EXPORT IRIS PROD 13-11-2024'!D:D,1,0)</f>
        <v>Allarme time-out aspirazione</v>
      </c>
      <c r="E913" s="37" t="s">
        <v>85</v>
      </c>
      <c r="F913" s="38" t="s">
        <v>1637</v>
      </c>
      <c r="G913" s="45" t="s">
        <v>1638</v>
      </c>
      <c r="H913" s="46" t="s">
        <v>50</v>
      </c>
      <c r="I913" s="46" t="s">
        <v>1639</v>
      </c>
      <c r="J913" s="40" t="s">
        <v>21</v>
      </c>
      <c r="K913" s="41" t="s">
        <v>22</v>
      </c>
      <c r="L913" s="42" t="s">
        <v>23</v>
      </c>
      <c r="M913" s="43" t="s">
        <v>24</v>
      </c>
      <c r="N913" s="42" t="s">
        <v>25</v>
      </c>
      <c r="O913" s="42" t="s">
        <v>21</v>
      </c>
      <c r="P913" s="44"/>
    </row>
    <row r="914" spans="1:16" x14ac:dyDescent="0.25">
      <c r="A914" t="str">
        <f t="shared" si="14"/>
        <v>ALR_TIME_OUT_IMMISSIONE-Allarme time-out immissione</v>
      </c>
      <c r="B914" t="str">
        <f>VLOOKUP(A914,'EXPORT IRIS PROD 13-11-2024'!A:A,1,0)</f>
        <v>ALR_TIME_OUT_IMMISSIONE-Allarme time-out immissione</v>
      </c>
      <c r="C914" t="str">
        <f>VLOOKUP(F914,'EXPORT IRIS PROD 13-11-2024'!F:F,1,0)</f>
        <v>ALR_TIME_OUT_IMMISSIONE</v>
      </c>
      <c r="D914" t="str">
        <f>VLOOKUP(G914,'EXPORT IRIS PROD 13-11-2024'!D:D,1,0)</f>
        <v>Allarme time-out immissione</v>
      </c>
      <c r="E914" s="37" t="s">
        <v>85</v>
      </c>
      <c r="F914" s="38" t="s">
        <v>1640</v>
      </c>
      <c r="G914" s="45" t="s">
        <v>1641</v>
      </c>
      <c r="H914" s="46" t="s">
        <v>50</v>
      </c>
      <c r="I914" s="46" t="s">
        <v>1639</v>
      </c>
      <c r="J914" s="40" t="s">
        <v>21</v>
      </c>
      <c r="K914" s="41" t="s">
        <v>22</v>
      </c>
      <c r="L914" s="42" t="s">
        <v>23</v>
      </c>
      <c r="M914" s="43" t="s">
        <v>24</v>
      </c>
      <c r="N914" s="42" t="s">
        <v>25</v>
      </c>
      <c r="O914" s="42" t="s">
        <v>21</v>
      </c>
      <c r="P914" s="44"/>
    </row>
    <row r="915" spans="1:16" x14ac:dyDescent="0.25">
      <c r="A915" t="str">
        <f t="shared" si="14"/>
        <v>ALR_TIMEOUT_INT_LINEA_2-Allarme interruttore linea 2 aperto</v>
      </c>
      <c r="B915" t="str">
        <f>VLOOKUP(A915,'EXPORT IRIS PROD 13-11-2024'!A:A,1,0)</f>
        <v>ALR_TIMEOUT_INT_LINEA_2-Allarme interruttore linea 2 aperto</v>
      </c>
      <c r="C915" t="str">
        <f>VLOOKUP(F915,'EXPORT IRIS PROD 13-11-2024'!F:F,1,0)</f>
        <v>ALR_TIMEOUT_INT_LINEA_2</v>
      </c>
      <c r="D915" t="str">
        <f>VLOOKUP(G915,'EXPORT IRIS PROD 13-11-2024'!D:D,1,0)</f>
        <v>Allarme interruttore linea 2 aperto</v>
      </c>
      <c r="E915" s="37" t="s">
        <v>53</v>
      </c>
      <c r="F915" s="38" t="s">
        <v>1642</v>
      </c>
      <c r="G915" s="45" t="s">
        <v>1643</v>
      </c>
      <c r="H915" s="46" t="s">
        <v>56</v>
      </c>
      <c r="I915" s="46" t="s">
        <v>1198</v>
      </c>
      <c r="J915" s="40" t="s">
        <v>21</v>
      </c>
      <c r="K915" s="41" t="s">
        <v>22</v>
      </c>
      <c r="L915" s="42" t="s">
        <v>23</v>
      </c>
      <c r="M915" s="43" t="s">
        <v>24</v>
      </c>
      <c r="N915" s="42" t="s">
        <v>25</v>
      </c>
      <c r="O915" s="42" t="s">
        <v>21</v>
      </c>
      <c r="P915" s="44"/>
    </row>
    <row r="916" spans="1:16" x14ac:dyDescent="0.25">
      <c r="A916" t="str">
        <f t="shared" si="14"/>
        <v>ALR_TIMEOUT_INT_LINEA-1-Allarme interruttore linea 1 aperto</v>
      </c>
      <c r="B916" t="str">
        <f>VLOOKUP(A916,'EXPORT IRIS PROD 13-11-2024'!A:A,1,0)</f>
        <v>ALR_TIMEOUT_INT_LINEA-1-Allarme interruttore linea 1 aperto</v>
      </c>
      <c r="C916" t="str">
        <f>VLOOKUP(F916,'EXPORT IRIS PROD 13-11-2024'!F:F,1,0)</f>
        <v>ALR_TIMEOUT_INT_LINEA-1</v>
      </c>
      <c r="D916" t="str">
        <f>VLOOKUP(G916,'EXPORT IRIS PROD 13-11-2024'!D:D,1,0)</f>
        <v>Allarme interruttore linea 1 aperto</v>
      </c>
      <c r="E916" s="37" t="s">
        <v>53</v>
      </c>
      <c r="F916" s="38" t="s">
        <v>1644</v>
      </c>
      <c r="G916" s="45" t="s">
        <v>1645</v>
      </c>
      <c r="H916" s="46" t="s">
        <v>56</v>
      </c>
      <c r="I916" s="46" t="s">
        <v>1198</v>
      </c>
      <c r="J916" s="40" t="s">
        <v>21</v>
      </c>
      <c r="K916" s="41" t="s">
        <v>22</v>
      </c>
      <c r="L916" s="42" t="s">
        <v>23</v>
      </c>
      <c r="M916" s="43" t="s">
        <v>24</v>
      </c>
      <c r="N916" s="42" t="s">
        <v>25</v>
      </c>
      <c r="O916" s="42" t="s">
        <v>21</v>
      </c>
      <c r="P916" s="44"/>
    </row>
    <row r="917" spans="1:16" x14ac:dyDescent="0.25">
      <c r="A917" t="str">
        <f t="shared" si="14"/>
        <v>ALR_TLC_CONTESTO-Allarme telecamera di contesto</v>
      </c>
      <c r="B917" t="str">
        <f>VLOOKUP(A917,'EXPORT IRIS PROD 13-11-2024'!A:A,1,0)</f>
        <v>ALR_TLC_CONTESTO-Allarme telecamera di contesto</v>
      </c>
      <c r="C917" t="str">
        <f>VLOOKUP(F917,'EXPORT IRIS PROD 13-11-2024'!F:F,1,0)</f>
        <v>ALR_TLC_CONTESTO</v>
      </c>
      <c r="D917" t="str">
        <f>VLOOKUP(G917,'EXPORT IRIS PROD 13-11-2024'!D:D,1,0)</f>
        <v>Allarme telecamera di contesto</v>
      </c>
      <c r="E917" s="37" t="s">
        <v>198</v>
      </c>
      <c r="F917" s="38" t="s">
        <v>1646</v>
      </c>
      <c r="G917" s="45" t="s">
        <v>1647</v>
      </c>
      <c r="H917" s="46" t="s">
        <v>965</v>
      </c>
      <c r="I917" s="46" t="s">
        <v>1648</v>
      </c>
      <c r="J917" s="47" t="s">
        <v>21</v>
      </c>
      <c r="K917" s="41" t="s">
        <v>22</v>
      </c>
      <c r="L917" s="43" t="s">
        <v>23</v>
      </c>
      <c r="M917" s="43" t="s">
        <v>24</v>
      </c>
      <c r="N917" s="42" t="s">
        <v>25</v>
      </c>
      <c r="O917" s="42" t="s">
        <v>21</v>
      </c>
      <c r="P917" s="44"/>
    </row>
    <row r="918" spans="1:16" x14ac:dyDescent="0.25">
      <c r="A918" t="str">
        <f t="shared" si="14"/>
        <v>ALR_TLC_TERMICA-Allarme telecamera Termica</v>
      </c>
      <c r="B918" t="str">
        <f>VLOOKUP(A918,'EXPORT IRIS PROD 13-11-2024'!A:A,1,0)</f>
        <v>ALR_TLC_TERMICA-Allarme telecamera Termica</v>
      </c>
      <c r="C918" t="str">
        <f>VLOOKUP(F918,'EXPORT IRIS PROD 13-11-2024'!F:F,1,0)</f>
        <v>ALR_TLC_TERMICA</v>
      </c>
      <c r="D918" t="str">
        <f>VLOOKUP(G918,'EXPORT IRIS PROD 13-11-2024'!D:D,1,0)</f>
        <v>Allarme telecamera Termica</v>
      </c>
      <c r="E918" s="37" t="s">
        <v>198</v>
      </c>
      <c r="F918" s="38" t="s">
        <v>1649</v>
      </c>
      <c r="G918" s="45" t="s">
        <v>1650</v>
      </c>
      <c r="H918" s="46" t="s">
        <v>965</v>
      </c>
      <c r="I918" s="46" t="s">
        <v>1651</v>
      </c>
      <c r="J918" s="47" t="s">
        <v>21</v>
      </c>
      <c r="K918" s="41" t="s">
        <v>22</v>
      </c>
      <c r="L918" s="43" t="s">
        <v>23</v>
      </c>
      <c r="M918" s="43" t="s">
        <v>24</v>
      </c>
      <c r="N918" s="42" t="s">
        <v>25</v>
      </c>
      <c r="O918" s="42" t="s">
        <v>21</v>
      </c>
      <c r="P918" s="44"/>
    </row>
    <row r="919" spans="1:16" x14ac:dyDescent="0.25">
      <c r="A919" t="str">
        <f t="shared" si="14"/>
        <v>ALR_TRIP_I-Allarme Corrente</v>
      </c>
      <c r="B919" t="str">
        <f>VLOOKUP(A919,'EXPORT IRIS PROD 13-11-2024'!A:A,1,0)</f>
        <v>ALR_TRIP_I-Allarme Corrente</v>
      </c>
      <c r="C919" t="str">
        <f>VLOOKUP(F919,'EXPORT IRIS PROD 13-11-2024'!F:F,1,0)</f>
        <v>ALR_TRIP_I</v>
      </c>
      <c r="D919" t="str">
        <f>VLOOKUP(G919,'EXPORT IRIS PROD 13-11-2024'!D:D,1,0)</f>
        <v>Allarme Corrente</v>
      </c>
      <c r="E919" s="37" t="s">
        <v>53</v>
      </c>
      <c r="F919" s="38" t="s">
        <v>1652</v>
      </c>
      <c r="G919" s="45" t="s">
        <v>1653</v>
      </c>
      <c r="H919" s="46" t="s">
        <v>1106</v>
      </c>
      <c r="I919" s="46" t="s">
        <v>254</v>
      </c>
      <c r="J919" s="40" t="s">
        <v>21</v>
      </c>
      <c r="K919" s="41" t="s">
        <v>22</v>
      </c>
      <c r="L919" s="42" t="s">
        <v>23</v>
      </c>
      <c r="M919" s="43" t="s">
        <v>24</v>
      </c>
      <c r="N919" s="42" t="s">
        <v>25</v>
      </c>
      <c r="O919" s="42" t="s">
        <v>21</v>
      </c>
      <c r="P919" s="44"/>
    </row>
    <row r="920" spans="1:16" x14ac:dyDescent="0.25">
      <c r="A920" t="str">
        <f t="shared" si="14"/>
        <v>ALR_TRIP_IE-Allarme Corrente Nominale</v>
      </c>
      <c r="B920" t="str">
        <f>VLOOKUP(A920,'EXPORT IRIS PROD 13-11-2024'!A:A,1,0)</f>
        <v>ALR_TRIP_IE-Allarme Corrente Nominale</v>
      </c>
      <c r="C920" t="str">
        <f>VLOOKUP(F920,'EXPORT IRIS PROD 13-11-2024'!F:F,1,0)</f>
        <v>ALR_TRIP_IE</v>
      </c>
      <c r="D920" t="str">
        <f>VLOOKUP(G920,'EXPORT IRIS PROD 13-11-2024'!D:D,1,0)</f>
        <v>Allarme Corrente Nominale</v>
      </c>
      <c r="E920" s="37" t="s">
        <v>53</v>
      </c>
      <c r="F920" s="38" t="s">
        <v>1654</v>
      </c>
      <c r="G920" s="45" t="s">
        <v>1655</v>
      </c>
      <c r="H920" s="46" t="s">
        <v>1106</v>
      </c>
      <c r="I920" s="46" t="s">
        <v>254</v>
      </c>
      <c r="J920" s="40" t="s">
        <v>21</v>
      </c>
      <c r="K920" s="41" t="s">
        <v>22</v>
      </c>
      <c r="L920" s="42" t="s">
        <v>23</v>
      </c>
      <c r="M920" s="43" t="s">
        <v>24</v>
      </c>
      <c r="N920" s="42" t="s">
        <v>25</v>
      </c>
      <c r="O920" s="42" t="s">
        <v>21</v>
      </c>
      <c r="P920" s="44"/>
    </row>
    <row r="921" spans="1:16" x14ac:dyDescent="0.25">
      <c r="A921" t="str">
        <f t="shared" si="14"/>
        <v>ALR_UPS_BLOCCATO-Allarme ups bloccato</v>
      </c>
      <c r="B921" t="str">
        <f>VLOOKUP(A921,'EXPORT IRIS PROD 13-11-2024'!A:A,1,0)</f>
        <v>ALR_UPS_BLOCCATO-Allarme ups bloccato</v>
      </c>
      <c r="C921" t="str">
        <f>VLOOKUP(F921,'EXPORT IRIS PROD 13-11-2024'!F:F,1,0)</f>
        <v>ALR_UPS_BLOCCATO</v>
      </c>
      <c r="D921" t="str">
        <f>VLOOKUP(G921,'EXPORT IRIS PROD 13-11-2024'!D:D,1,0)</f>
        <v>Allarme ups bloccato</v>
      </c>
      <c r="E921" s="37" t="s">
        <v>53</v>
      </c>
      <c r="F921" s="38" t="s">
        <v>1656</v>
      </c>
      <c r="G921" s="45" t="s">
        <v>1657</v>
      </c>
      <c r="H921" s="46" t="s">
        <v>1106</v>
      </c>
      <c r="I921" s="46" t="s">
        <v>104</v>
      </c>
      <c r="J921" s="40" t="s">
        <v>21</v>
      </c>
      <c r="K921" s="41" t="s">
        <v>22</v>
      </c>
      <c r="L921" s="42" t="s">
        <v>23</v>
      </c>
      <c r="M921" s="43" t="s">
        <v>24</v>
      </c>
      <c r="N921" s="42" t="s">
        <v>25</v>
      </c>
      <c r="O921" s="42" t="s">
        <v>21</v>
      </c>
      <c r="P921" s="44"/>
    </row>
    <row r="922" spans="1:16" x14ac:dyDescent="0.25">
      <c r="A922" t="str">
        <f t="shared" si="14"/>
        <v>ALR_UPS_IN_BATTERIA-Allarme UPS in batteria</v>
      </c>
      <c r="B922" t="str">
        <f>VLOOKUP(A922,'EXPORT IRIS PROD 13-11-2024'!A:A,1,0)</f>
        <v>ALR_UPS_IN_BATTERIA-Allarme UPS in batteria</v>
      </c>
      <c r="C922" t="str">
        <f>VLOOKUP(F922,'EXPORT IRIS PROD 13-11-2024'!F:F,1,0)</f>
        <v>ALR_UPS_IN_BATTERIA</v>
      </c>
      <c r="D922" t="str">
        <f>VLOOKUP(G922,'EXPORT IRIS PROD 13-11-2024'!D:D,1,0)</f>
        <v>Allarme UPS in batteria</v>
      </c>
      <c r="E922" s="37" t="s">
        <v>53</v>
      </c>
      <c r="F922" s="38" t="s">
        <v>1658</v>
      </c>
      <c r="G922" s="45" t="s">
        <v>1659</v>
      </c>
      <c r="H922" s="46" t="s">
        <v>1106</v>
      </c>
      <c r="I922" s="46" t="s">
        <v>104</v>
      </c>
      <c r="J922" s="40" t="s">
        <v>21</v>
      </c>
      <c r="K922" s="41" t="s">
        <v>22</v>
      </c>
      <c r="L922" s="42" t="s">
        <v>23</v>
      </c>
      <c r="M922" s="43" t="s">
        <v>24</v>
      </c>
      <c r="N922" s="42" t="s">
        <v>25</v>
      </c>
      <c r="O922" s="42" t="s">
        <v>21</v>
      </c>
      <c r="P922" s="44"/>
    </row>
    <row r="923" spans="1:16" x14ac:dyDescent="0.25">
      <c r="A923" t="str">
        <f t="shared" si="14"/>
        <v>ALR_UPS_IN_BYPASS-Allarme UPS in bypass</v>
      </c>
      <c r="B923" t="str">
        <f>VLOOKUP(A923,'EXPORT IRIS PROD 13-11-2024'!A:A,1,0)</f>
        <v>ALR_UPS_IN_BYPASS-Allarme UPS in bypass</v>
      </c>
      <c r="C923" t="str">
        <f>VLOOKUP(F923,'EXPORT IRIS PROD 13-11-2024'!F:F,1,0)</f>
        <v>ALR_UPS_IN_BYPASS</v>
      </c>
      <c r="D923" t="str">
        <f>VLOOKUP(G923,'EXPORT IRIS PROD 13-11-2024'!D:D,1,0)</f>
        <v>Allarme UPS in bypass</v>
      </c>
      <c r="E923" s="37" t="s">
        <v>53</v>
      </c>
      <c r="F923" s="38" t="s">
        <v>1660</v>
      </c>
      <c r="G923" s="45" t="s">
        <v>1661</v>
      </c>
      <c r="H923" s="46" t="s">
        <v>1106</v>
      </c>
      <c r="I923" s="46" t="s">
        <v>104</v>
      </c>
      <c r="J923" s="40" t="s">
        <v>21</v>
      </c>
      <c r="K923" s="41" t="s">
        <v>22</v>
      </c>
      <c r="L923" s="42" t="s">
        <v>23</v>
      </c>
      <c r="M923" s="43" t="s">
        <v>24</v>
      </c>
      <c r="N923" s="42" t="s">
        <v>25</v>
      </c>
      <c r="O923" s="42" t="s">
        <v>21</v>
      </c>
      <c r="P923" s="44"/>
    </row>
    <row r="924" spans="1:16" x14ac:dyDescent="0.25">
      <c r="A924" t="str">
        <f t="shared" si="14"/>
        <v>ALR_UPS_INVERTER_ATTIVO-Allarme inverter Attivo</v>
      </c>
      <c r="B924" t="str">
        <f>VLOOKUP(A924,'EXPORT IRIS PROD 13-11-2024'!A:A,1,0)</f>
        <v>ALR_UPS_INVERTER_ATTIVO-Allarme inverter Attivo</v>
      </c>
      <c r="C924" t="str">
        <f>VLOOKUP(F924,'EXPORT IRIS PROD 13-11-2024'!F:F,1,0)</f>
        <v>ALR_UPS_INVERTER_ATTIVO</v>
      </c>
      <c r="D924" t="str">
        <f>VLOOKUP(G924,'EXPORT IRIS PROD 13-11-2024'!D:D,1,0)</f>
        <v>Allarme inverter Attivo</v>
      </c>
      <c r="E924" s="37" t="s">
        <v>53</v>
      </c>
      <c r="F924" s="38" t="s">
        <v>1662</v>
      </c>
      <c r="G924" s="45" t="s">
        <v>1663</v>
      </c>
      <c r="H924" s="46" t="s">
        <v>1106</v>
      </c>
      <c r="I924" s="46" t="s">
        <v>104</v>
      </c>
      <c r="J924" s="40" t="s">
        <v>21</v>
      </c>
      <c r="K924" s="41" t="s">
        <v>22</v>
      </c>
      <c r="L924" s="42" t="s">
        <v>23</v>
      </c>
      <c r="M924" s="43" t="s">
        <v>24</v>
      </c>
      <c r="N924" s="42" t="s">
        <v>25</v>
      </c>
      <c r="O924" s="42" t="s">
        <v>21</v>
      </c>
      <c r="P924" s="44"/>
    </row>
    <row r="925" spans="1:16" x14ac:dyDescent="0.25">
      <c r="A925" t="str">
        <f t="shared" si="14"/>
        <v>ALR_UPS_SOVRA-CARICO_IN_INGRESSO-Allarme UPS Inverter sovra carico in ingresso</v>
      </c>
      <c r="B925" t="str">
        <f>VLOOKUP(A925,'EXPORT IRIS PROD 13-11-2024'!A:A,1,0)</f>
        <v>ALR_UPS_SOVRA-CARICO_IN_INGRESSO-Allarme UPS Inverter sovra carico in ingresso</v>
      </c>
      <c r="C925" t="str">
        <f>VLOOKUP(F925,'EXPORT IRIS PROD 13-11-2024'!F:F,1,0)</f>
        <v>ALR_UPS_SOVRA-CARICO_IN_INGRESSO</v>
      </c>
      <c r="D925" t="str">
        <f>VLOOKUP(G925,'EXPORT IRIS PROD 13-11-2024'!D:D,1,0)</f>
        <v>Allarme UPS Inverter sovra carico in ingresso</v>
      </c>
      <c r="E925" s="37" t="s">
        <v>53</v>
      </c>
      <c r="F925" s="38" t="s">
        <v>1664</v>
      </c>
      <c r="G925" s="45" t="s">
        <v>1665</v>
      </c>
      <c r="H925" s="46" t="s">
        <v>1106</v>
      </c>
      <c r="I925" s="46" t="s">
        <v>104</v>
      </c>
      <c r="J925" s="40" t="s">
        <v>21</v>
      </c>
      <c r="K925" s="41" t="s">
        <v>22</v>
      </c>
      <c r="L925" s="42" t="s">
        <v>23</v>
      </c>
      <c r="M925" s="43" t="s">
        <v>24</v>
      </c>
      <c r="N925" s="42" t="s">
        <v>25</v>
      </c>
      <c r="O925" s="42" t="s">
        <v>21</v>
      </c>
      <c r="P925" s="44"/>
    </row>
    <row r="926" spans="1:16" x14ac:dyDescent="0.25">
      <c r="A926" t="str">
        <f t="shared" si="14"/>
        <v>ALR_VENTILATORI_IN_AUMENTO-Allarme ventilatori in aumento</v>
      </c>
      <c r="B926" t="str">
        <f>VLOOKUP(A926,'EXPORT IRIS PROD 13-11-2024'!A:A,1,0)</f>
        <v>ALR_VENTILATORI_IN_AUMENTO-Allarme ventilatori in aumento</v>
      </c>
      <c r="C926" t="str">
        <f>VLOOKUP(F926,'EXPORT IRIS PROD 13-11-2024'!F:F,1,0)</f>
        <v>ALR_VENTILATORI_IN_AUMENTO</v>
      </c>
      <c r="D926" t="str">
        <f>VLOOKUP(G926,'EXPORT IRIS PROD 13-11-2024'!D:D,1,0)</f>
        <v>Allarme ventilatori in aumento</v>
      </c>
      <c r="E926" s="37" t="s">
        <v>280</v>
      </c>
      <c r="F926" s="38" t="s">
        <v>1666</v>
      </c>
      <c r="G926" s="45" t="s">
        <v>1667</v>
      </c>
      <c r="H926" s="46" t="s">
        <v>50</v>
      </c>
      <c r="I926" s="46" t="s">
        <v>445</v>
      </c>
      <c r="J926" s="40" t="s">
        <v>21</v>
      </c>
      <c r="K926" s="41" t="s">
        <v>22</v>
      </c>
      <c r="L926" s="42" t="s">
        <v>23</v>
      </c>
      <c r="M926" s="43" t="s">
        <v>24</v>
      </c>
      <c r="N926" s="42" t="s">
        <v>25</v>
      </c>
      <c r="O926" s="42" t="s">
        <v>21</v>
      </c>
      <c r="P926" s="44"/>
    </row>
    <row r="927" spans="1:16" x14ac:dyDescent="0.25">
      <c r="A927" t="str">
        <f t="shared" si="14"/>
        <v>ALR_VENTILATORI_IN_DIMINIZIONE-Allarme ventilatori in diminuzione</v>
      </c>
      <c r="B927" t="str">
        <f>VLOOKUP(A927,'EXPORT IRIS PROD 13-11-2024'!A:A,1,0)</f>
        <v>ALR_VENTILATORI_IN_DIMINIZIONE-Allarme ventilatori in diminuzione</v>
      </c>
      <c r="C927" t="str">
        <f>VLOOKUP(F927,'EXPORT IRIS PROD 13-11-2024'!F:F,1,0)</f>
        <v>ALR_VENTILATORI_IN_DIMINIZIONE</v>
      </c>
      <c r="D927" t="str">
        <f>VLOOKUP(G927,'EXPORT IRIS PROD 13-11-2024'!D:D,1,0)</f>
        <v>Allarme ventilatori in diminuzione</v>
      </c>
      <c r="E927" s="37" t="s">
        <v>280</v>
      </c>
      <c r="F927" s="38" t="s">
        <v>1668</v>
      </c>
      <c r="G927" s="45" t="s">
        <v>1669</v>
      </c>
      <c r="H927" s="46" t="s">
        <v>50</v>
      </c>
      <c r="I927" s="46" t="s">
        <v>445</v>
      </c>
      <c r="J927" s="40" t="s">
        <v>21</v>
      </c>
      <c r="K927" s="41" t="s">
        <v>22</v>
      </c>
      <c r="L927" s="42" t="s">
        <v>23</v>
      </c>
      <c r="M927" s="43" t="s">
        <v>24</v>
      </c>
      <c r="N927" s="42" t="s">
        <v>25</v>
      </c>
      <c r="O927" s="42" t="s">
        <v>21</v>
      </c>
      <c r="P927" s="44"/>
    </row>
    <row r="928" spans="1:16" x14ac:dyDescent="0.25">
      <c r="A928" t="str">
        <f t="shared" si="14"/>
        <v>ALR_VENTILATORI_STABILI-Allarme ventilatori stabili</v>
      </c>
      <c r="B928" t="str">
        <f>VLOOKUP(A928,'EXPORT IRIS PROD 13-11-2024'!A:A,1,0)</f>
        <v>ALR_VENTILATORI_STABILI-Allarme ventilatori stabili</v>
      </c>
      <c r="C928" t="str">
        <f>VLOOKUP(F928,'EXPORT IRIS PROD 13-11-2024'!F:F,1,0)</f>
        <v>ALR_VENTILATORI_STABILI</v>
      </c>
      <c r="D928" t="str">
        <f>VLOOKUP(G928,'EXPORT IRIS PROD 13-11-2024'!D:D,1,0)</f>
        <v>Allarme ventilatori stabili</v>
      </c>
      <c r="E928" s="37" t="s">
        <v>280</v>
      </c>
      <c r="F928" s="38" t="s">
        <v>1670</v>
      </c>
      <c r="G928" s="45" t="s">
        <v>1671</v>
      </c>
      <c r="H928" s="46" t="s">
        <v>50</v>
      </c>
      <c r="I928" s="46" t="s">
        <v>445</v>
      </c>
      <c r="J928" s="40" t="s">
        <v>21</v>
      </c>
      <c r="K928" s="41" t="s">
        <v>22</v>
      </c>
      <c r="L928" s="42" t="s">
        <v>23</v>
      </c>
      <c r="M928" s="43" t="s">
        <v>24</v>
      </c>
      <c r="N928" s="42" t="s">
        <v>25</v>
      </c>
      <c r="O928" s="42" t="s">
        <v>21</v>
      </c>
      <c r="P928" s="44"/>
    </row>
    <row r="929" spans="1:16" x14ac:dyDescent="0.25">
      <c r="A929" t="str">
        <f t="shared" si="14"/>
        <v>ALR_VIBRA_BASAMENTO-Allarme vibrazioni basamento</v>
      </c>
      <c r="B929" t="str">
        <f>VLOOKUP(A929,'EXPORT IRIS PROD 13-11-2024'!A:A,1,0)</f>
        <v>ALR_VIBRA_BASAMENTO-Allarme vibrazioni basamento</v>
      </c>
      <c r="C929" t="str">
        <f>VLOOKUP(F929,'EXPORT IRIS PROD 13-11-2024'!F:F,1,0)</f>
        <v>ALR_VIBRA_BASAMENTO</v>
      </c>
      <c r="D929" t="str">
        <f>VLOOKUP(G929,'EXPORT IRIS PROD 13-11-2024'!D:D,1,0)</f>
        <v>Allarme vibrazioni basamento</v>
      </c>
      <c r="E929" s="37" t="s">
        <v>85</v>
      </c>
      <c r="F929" s="38" t="s">
        <v>1672</v>
      </c>
      <c r="G929" s="45" t="s">
        <v>1673</v>
      </c>
      <c r="H929" s="46" t="s">
        <v>50</v>
      </c>
      <c r="I929" s="46" t="s">
        <v>1639</v>
      </c>
      <c r="J929" s="40" t="s">
        <v>31</v>
      </c>
      <c r="K929" s="41" t="s">
        <v>32</v>
      </c>
      <c r="L929" s="42">
        <v>3</v>
      </c>
      <c r="M929" s="43" t="s">
        <v>24</v>
      </c>
      <c r="N929" s="42" t="s">
        <v>25</v>
      </c>
      <c r="O929" s="42" t="s">
        <v>21</v>
      </c>
      <c r="P929" s="44"/>
    </row>
    <row r="930" spans="1:16" x14ac:dyDescent="0.25">
      <c r="A930" t="str">
        <f t="shared" si="14"/>
        <v>ALR_VIBRA_CARCASSA-Allarme vibrazioni carcassa</v>
      </c>
      <c r="B930" t="str">
        <f>VLOOKUP(A930,'EXPORT IRIS PROD 13-11-2024'!A:A,1,0)</f>
        <v>ALR_VIBRA_CARCASSA-Allarme vibrazioni carcassa</v>
      </c>
      <c r="C930" t="str">
        <f>VLOOKUP(F930,'EXPORT IRIS PROD 13-11-2024'!F:F,1,0)</f>
        <v>ALR_VIBRA_CARCASSA</v>
      </c>
      <c r="D930" t="str">
        <f>VLOOKUP(G930,'EXPORT IRIS PROD 13-11-2024'!D:D,1,0)</f>
        <v>Allarme vibrazioni carcassa</v>
      </c>
      <c r="E930" s="37" t="s">
        <v>85</v>
      </c>
      <c r="F930" s="38" t="s">
        <v>1674</v>
      </c>
      <c r="G930" s="45" t="s">
        <v>1675</v>
      </c>
      <c r="H930" s="46" t="s">
        <v>50</v>
      </c>
      <c r="I930" s="46" t="s">
        <v>1639</v>
      </c>
      <c r="J930" s="40" t="s">
        <v>31</v>
      </c>
      <c r="K930" s="41" t="s">
        <v>32</v>
      </c>
      <c r="L930" s="42">
        <v>3</v>
      </c>
      <c r="M930" s="43" t="s">
        <v>24</v>
      </c>
      <c r="N930" s="42" t="s">
        <v>25</v>
      </c>
      <c r="O930" s="42" t="s">
        <v>21</v>
      </c>
      <c r="P930" s="44"/>
    </row>
    <row r="931" spans="1:16" x14ac:dyDescent="0.25">
      <c r="A931" t="str">
        <f t="shared" si="14"/>
        <v>ALR_VIBRAZIONE_CUSCINETTO-Allarme vibrazione cuscinetto</v>
      </c>
      <c r="B931" t="str">
        <f>VLOOKUP(A931,'EXPORT IRIS PROD 13-11-2024'!A:A,1,0)</f>
        <v>ALR_VIBRAZIONE_CUSCINETTO-Allarme vibrazione cuscinetto</v>
      </c>
      <c r="C931" t="str">
        <f>VLOOKUP(F931,'EXPORT IRIS PROD 13-11-2024'!F:F,1,0)</f>
        <v>ALR_VIBRAZIONE_CUSCINETTO</v>
      </c>
      <c r="D931" t="str">
        <f>VLOOKUP(G931,'EXPORT IRIS PROD 13-11-2024'!D:D,1,0)</f>
        <v>Allarme vibrazione cuscinetto</v>
      </c>
      <c r="E931" s="37" t="s">
        <v>85</v>
      </c>
      <c r="F931" s="38" t="s">
        <v>1676</v>
      </c>
      <c r="G931" s="45" t="s">
        <v>1677</v>
      </c>
      <c r="H931" s="46" t="s">
        <v>50</v>
      </c>
      <c r="I931" s="46" t="s">
        <v>124</v>
      </c>
      <c r="J931" s="40" t="s">
        <v>31</v>
      </c>
      <c r="K931" s="41" t="s">
        <v>32</v>
      </c>
      <c r="L931" s="42">
        <v>3</v>
      </c>
      <c r="M931" s="43" t="s">
        <v>24</v>
      </c>
      <c r="N931" s="42" t="s">
        <v>25</v>
      </c>
      <c r="O931" s="42" t="s">
        <v>21</v>
      </c>
      <c r="P931" s="44"/>
    </row>
    <row r="932" spans="1:16" x14ac:dyDescent="0.25">
      <c r="A932" t="str">
        <f t="shared" si="14"/>
        <v>ALR-CUM-VENT-NORD-Allarme cumulativo ventilatore Nord</v>
      </c>
      <c r="B932" t="str">
        <f>VLOOKUP(A932,'EXPORT IRIS PROD 13-11-2024'!A:A,1,0)</f>
        <v>ALR-CUM-VENT-NORD-Allarme cumulativo ventilatore Nord</v>
      </c>
      <c r="C932" t="str">
        <f>VLOOKUP(F932,'EXPORT IRIS PROD 13-11-2024'!F:F,1,0)</f>
        <v>ALR-CUM-VENT-NORD</v>
      </c>
      <c r="D932" t="str">
        <f>VLOOKUP(G932,'EXPORT IRIS PROD 13-11-2024'!D:D,1,0)</f>
        <v>Allarme cumulativo ventilatore Nord</v>
      </c>
      <c r="E932" s="37" t="s">
        <v>85</v>
      </c>
      <c r="F932" s="38" t="s">
        <v>1678</v>
      </c>
      <c r="G932" s="45" t="s">
        <v>1679</v>
      </c>
      <c r="H932" s="46" t="s">
        <v>50</v>
      </c>
      <c r="I932" s="46" t="s">
        <v>445</v>
      </c>
      <c r="J932" s="40" t="s">
        <v>21</v>
      </c>
      <c r="K932" s="41" t="s">
        <v>22</v>
      </c>
      <c r="L932" s="42" t="s">
        <v>23</v>
      </c>
      <c r="M932" s="43" t="s">
        <v>24</v>
      </c>
      <c r="N932" s="42" t="s">
        <v>25</v>
      </c>
      <c r="O932" s="42" t="s">
        <v>21</v>
      </c>
      <c r="P932" s="44"/>
    </row>
    <row r="933" spans="1:16" x14ac:dyDescent="0.25">
      <c r="A933" t="str">
        <f t="shared" si="14"/>
        <v>ALR-CUM-VENT-SUD-Allarme cumulativo ventilatore Sud</v>
      </c>
      <c r="B933" t="str">
        <f>VLOOKUP(A933,'EXPORT IRIS PROD 13-11-2024'!A:A,1,0)</f>
        <v>ALR-CUM-VENT-SUD-Allarme cumulativo ventilatore Sud</v>
      </c>
      <c r="C933" t="str">
        <f>VLOOKUP(F933,'EXPORT IRIS PROD 13-11-2024'!F:F,1,0)</f>
        <v>ALR-CUM-VENT-SUD</v>
      </c>
      <c r="D933" t="str">
        <f>VLOOKUP(G933,'EXPORT IRIS PROD 13-11-2024'!D:D,1,0)</f>
        <v>Allarme cumulativo ventilatore Sud</v>
      </c>
      <c r="E933" s="37" t="s">
        <v>85</v>
      </c>
      <c r="F933" s="38" t="s">
        <v>1680</v>
      </c>
      <c r="G933" s="45" t="s">
        <v>1681</v>
      </c>
      <c r="H933" s="46" t="s">
        <v>50</v>
      </c>
      <c r="I933" s="46" t="s">
        <v>445</v>
      </c>
      <c r="J933" s="40" t="s">
        <v>21</v>
      </c>
      <c r="K933" s="41" t="s">
        <v>22</v>
      </c>
      <c r="L933" s="42" t="s">
        <v>23</v>
      </c>
      <c r="M933" s="43" t="s">
        <v>24</v>
      </c>
      <c r="N933" s="42" t="s">
        <v>25</v>
      </c>
      <c r="O933" s="42" t="s">
        <v>21</v>
      </c>
      <c r="P933" s="44"/>
    </row>
    <row r="934" spans="1:16" x14ac:dyDescent="0.25">
      <c r="A934" t="str">
        <f t="shared" si="14"/>
        <v>ANOMALIA_DISPOSITIVO_CE1-Allarme dispositivo in errore CE1</v>
      </c>
      <c r="B934" t="str">
        <f>VLOOKUP(A934,'EXPORT IRIS PROD 13-11-2024'!A:A,1,0)</f>
        <v>ANOMALIA_DISPOSITIVO_CE1-Allarme dispositivo in errore CE1</v>
      </c>
      <c r="C934" t="str">
        <f>VLOOKUP(F934,'EXPORT IRIS PROD 13-11-2024'!F:F,1,0)</f>
        <v>ANOMALIA_DISPOSITIVO_CE1</v>
      </c>
      <c r="D934" t="str">
        <f>VLOOKUP(G934,'EXPORT IRIS PROD 13-11-2024'!D:D,1,0)</f>
        <v>Allarme dispositivo in errore CE1</v>
      </c>
      <c r="E934" s="37" t="s">
        <v>115</v>
      </c>
      <c r="F934" s="38" t="s">
        <v>1682</v>
      </c>
      <c r="G934" s="45" t="s">
        <v>1683</v>
      </c>
      <c r="H934" s="46" t="s">
        <v>1142</v>
      </c>
      <c r="I934" s="46" t="s">
        <v>715</v>
      </c>
      <c r="J934" s="40" t="s">
        <v>21</v>
      </c>
      <c r="K934" s="41" t="s">
        <v>22</v>
      </c>
      <c r="L934" s="42" t="s">
        <v>23</v>
      </c>
      <c r="M934" s="43" t="s">
        <v>24</v>
      </c>
      <c r="N934" s="42" t="s">
        <v>25</v>
      </c>
      <c r="O934" s="42" t="s">
        <v>21</v>
      </c>
      <c r="P934" s="44"/>
    </row>
    <row r="935" spans="1:16" x14ac:dyDescent="0.25">
      <c r="A935" t="str">
        <f t="shared" si="14"/>
        <v>ANOMALIA_DISPOSITIVO_CE2-Allarme dispositivo in errore CE2</v>
      </c>
      <c r="B935" t="str">
        <f>VLOOKUP(A935,'EXPORT IRIS PROD 13-11-2024'!A:A,1,0)</f>
        <v>ANOMALIA_DISPOSITIVO_CE2-Allarme dispositivo in errore CE2</v>
      </c>
      <c r="C935" t="str">
        <f>VLOOKUP(F935,'EXPORT IRIS PROD 13-11-2024'!F:F,1,0)</f>
        <v>ANOMALIA_DISPOSITIVO_CE2</v>
      </c>
      <c r="D935" t="str">
        <f>VLOOKUP(G935,'EXPORT IRIS PROD 13-11-2024'!D:D,1,0)</f>
        <v>Allarme dispositivo in errore CE2</v>
      </c>
      <c r="E935" s="37" t="s">
        <v>115</v>
      </c>
      <c r="F935" s="38" t="s">
        <v>1684</v>
      </c>
      <c r="G935" s="45" t="s">
        <v>1685</v>
      </c>
      <c r="H935" s="46" t="s">
        <v>1142</v>
      </c>
      <c r="I935" s="46" t="s">
        <v>715</v>
      </c>
      <c r="J935" s="40" t="s">
        <v>21</v>
      </c>
      <c r="K935" s="41" t="s">
        <v>22</v>
      </c>
      <c r="L935" s="42" t="s">
        <v>23</v>
      </c>
      <c r="M935" s="43" t="s">
        <v>24</v>
      </c>
      <c r="N935" s="42" t="s">
        <v>25</v>
      </c>
      <c r="O935" s="42" t="s">
        <v>21</v>
      </c>
      <c r="P935" s="44"/>
    </row>
    <row r="936" spans="1:16" x14ac:dyDescent="0.25">
      <c r="A936" t="str">
        <f t="shared" si="14"/>
        <v>ANOMALIA_ILLUMINAZIONE_DIR_NORD-Allarme anomalia illuminazione dir. nord</v>
      </c>
      <c r="B936" t="str">
        <f>VLOOKUP(A936,'EXPORT IRIS PROD 13-11-2024'!A:A,1,0)</f>
        <v>ANOMALIA_ILLUMINAZIONE_DIR_NORD-Allarme anomalia illuminazione dir. nord</v>
      </c>
      <c r="C936" t="str">
        <f>VLOOKUP(F936,'EXPORT IRIS PROD 13-11-2024'!F:F,1,0)</f>
        <v>ANOMALIA_ILLUMINAZIONE_DIR_NORD</v>
      </c>
      <c r="D936" t="str">
        <f>VLOOKUP(G936,'EXPORT IRIS PROD 13-11-2024'!D:D,1,0)</f>
        <v>Allarme anomalia illuminazione dir. nord</v>
      </c>
      <c r="E936" s="37" t="s">
        <v>115</v>
      </c>
      <c r="F936" s="38" t="s">
        <v>1686</v>
      </c>
      <c r="G936" s="45" t="s">
        <v>1687</v>
      </c>
      <c r="H936" s="46" t="s">
        <v>1331</v>
      </c>
      <c r="I936" s="46" t="s">
        <v>1688</v>
      </c>
      <c r="J936" s="40" t="s">
        <v>21</v>
      </c>
      <c r="K936" s="41" t="s">
        <v>22</v>
      </c>
      <c r="L936" s="42" t="s">
        <v>23</v>
      </c>
      <c r="M936" s="43" t="s">
        <v>24</v>
      </c>
      <c r="N936" s="42" t="s">
        <v>25</v>
      </c>
      <c r="O936" s="42" t="s">
        <v>21</v>
      </c>
      <c r="P936" s="44"/>
    </row>
    <row r="937" spans="1:16" x14ac:dyDescent="0.25">
      <c r="A937" t="str">
        <f t="shared" si="14"/>
        <v>ANOMALIA_ILLUMINAZIONE_DIR_NORD-Allarme anomalia illuminazione dir. nord</v>
      </c>
      <c r="B937" t="str">
        <f>VLOOKUP(A937,'EXPORT IRIS PROD 13-11-2024'!A:A,1,0)</f>
        <v>ANOMALIA_ILLUMINAZIONE_DIR_NORD-Allarme anomalia illuminazione dir. nord</v>
      </c>
      <c r="C937" t="str">
        <f>VLOOKUP(F937,'EXPORT IRIS PROD 13-11-2024'!F:F,1,0)</f>
        <v>ANOMALIA_ILLUMINAZIONE_DIR_NORD</v>
      </c>
      <c r="D937" t="str">
        <f>VLOOKUP(G937,'EXPORT IRIS PROD 13-11-2024'!D:D,1,0)</f>
        <v>Allarme anomalia illuminazione dir. nord</v>
      </c>
      <c r="E937" s="37" t="s">
        <v>115</v>
      </c>
      <c r="F937" s="38" t="s">
        <v>1686</v>
      </c>
      <c r="G937" s="45" t="s">
        <v>1687</v>
      </c>
      <c r="H937" s="46" t="s">
        <v>1142</v>
      </c>
      <c r="I937" s="46" t="s">
        <v>1216</v>
      </c>
      <c r="J937" s="40" t="s">
        <v>21</v>
      </c>
      <c r="K937" s="41" t="s">
        <v>22</v>
      </c>
      <c r="L937" s="42" t="s">
        <v>23</v>
      </c>
      <c r="M937" s="43" t="s">
        <v>24</v>
      </c>
      <c r="N937" s="42" t="s">
        <v>25</v>
      </c>
      <c r="O937" s="42" t="s">
        <v>21</v>
      </c>
      <c r="P937" s="44"/>
    </row>
    <row r="938" spans="1:16" x14ac:dyDescent="0.25">
      <c r="A938" t="str">
        <f t="shared" si="14"/>
        <v>ANOMALIA_ILLUMINAZIONE_DIR_NORD_1-Allarme anomalia illuminazione dir. nord bypass 1</v>
      </c>
      <c r="B938" t="str">
        <f>VLOOKUP(A938,'EXPORT IRIS PROD 13-11-2024'!A:A,1,0)</f>
        <v>ANOMALIA_ILLUMINAZIONE_DIR_NORD_1-Allarme anomalia illuminazione dir. nord bypass 1</v>
      </c>
      <c r="C938" t="str">
        <f>VLOOKUP(F938,'EXPORT IRIS PROD 13-11-2024'!F:F,1,0)</f>
        <v>ANOMALIA_ILLUMINAZIONE_DIR_NORD_1</v>
      </c>
      <c r="D938" t="str">
        <f>VLOOKUP(G938,'EXPORT IRIS PROD 13-11-2024'!D:D,1,0)</f>
        <v>Allarme anomalia illuminazione dir. nord bypass 1</v>
      </c>
      <c r="E938" s="37" t="s">
        <v>115</v>
      </c>
      <c r="F938" s="38" t="s">
        <v>1689</v>
      </c>
      <c r="G938" s="45" t="s">
        <v>1690</v>
      </c>
      <c r="H938" s="46" t="s">
        <v>1331</v>
      </c>
      <c r="I938" s="46" t="s">
        <v>1688</v>
      </c>
      <c r="J938" s="40" t="s">
        <v>21</v>
      </c>
      <c r="K938" s="41" t="s">
        <v>22</v>
      </c>
      <c r="L938" s="42" t="s">
        <v>23</v>
      </c>
      <c r="M938" s="43" t="s">
        <v>24</v>
      </c>
      <c r="N938" s="42" t="s">
        <v>25</v>
      </c>
      <c r="O938" s="42" t="s">
        <v>21</v>
      </c>
      <c r="P938" s="44"/>
    </row>
    <row r="939" spans="1:16" x14ac:dyDescent="0.25">
      <c r="A939" t="str">
        <f t="shared" si="14"/>
        <v>ANOMALIA_ILLUMINAZIONE_DIR_NORD_2-Allarme anomalia illuminazione dir. nord bypass 2</v>
      </c>
      <c r="B939" t="str">
        <f>VLOOKUP(A939,'EXPORT IRIS PROD 13-11-2024'!A:A,1,0)</f>
        <v>ANOMALIA_ILLUMINAZIONE_DIR_NORD_2-Allarme anomalia illuminazione dir. nord bypass 2</v>
      </c>
      <c r="C939" t="str">
        <f>VLOOKUP(F939,'EXPORT IRIS PROD 13-11-2024'!F:F,1,0)</f>
        <v>ANOMALIA_ILLUMINAZIONE_DIR_NORD_2</v>
      </c>
      <c r="D939" t="str">
        <f>VLOOKUP(G939,'EXPORT IRIS PROD 13-11-2024'!D:D,1,0)</f>
        <v>Allarme anomalia illuminazione dir. nord bypass 2</v>
      </c>
      <c r="E939" s="37" t="s">
        <v>115</v>
      </c>
      <c r="F939" s="38" t="s">
        <v>1691</v>
      </c>
      <c r="G939" s="45" t="s">
        <v>1692</v>
      </c>
      <c r="H939" s="46" t="s">
        <v>1331</v>
      </c>
      <c r="I939" s="46" t="s">
        <v>1688</v>
      </c>
      <c r="J939" s="40" t="s">
        <v>21</v>
      </c>
      <c r="K939" s="41" t="s">
        <v>22</v>
      </c>
      <c r="L939" s="42" t="s">
        <v>23</v>
      </c>
      <c r="M939" s="43" t="s">
        <v>24</v>
      </c>
      <c r="N939" s="42" t="s">
        <v>25</v>
      </c>
      <c r="O939" s="42" t="s">
        <v>21</v>
      </c>
      <c r="P939" s="44"/>
    </row>
    <row r="940" spans="1:16" x14ac:dyDescent="0.25">
      <c r="A940" t="str">
        <f t="shared" si="14"/>
        <v>ANOMALIA_ILLUMINAZIONE_DIR_NORD_3-Allarme anomalia illuminazione dir. nord bypass 3</v>
      </c>
      <c r="B940" t="str">
        <f>VLOOKUP(A940,'EXPORT IRIS PROD 13-11-2024'!A:A,1,0)</f>
        <v>ANOMALIA_ILLUMINAZIONE_DIR_NORD_3-Allarme anomalia illuminazione dir. nord bypass 3</v>
      </c>
      <c r="C940" t="str">
        <f>VLOOKUP(F940,'EXPORT IRIS PROD 13-11-2024'!F:F,1,0)</f>
        <v>ANOMALIA_ILLUMINAZIONE_DIR_NORD_3</v>
      </c>
      <c r="D940" t="str">
        <f>VLOOKUP(G940,'EXPORT IRIS PROD 13-11-2024'!D:D,1,0)</f>
        <v>Allarme anomalia illuminazione dir. nord bypass 3</v>
      </c>
      <c r="E940" s="37" t="s">
        <v>115</v>
      </c>
      <c r="F940" s="38" t="s">
        <v>1693</v>
      </c>
      <c r="G940" s="45" t="s">
        <v>1694</v>
      </c>
      <c r="H940" s="46" t="s">
        <v>1331</v>
      </c>
      <c r="I940" s="46" t="s">
        <v>1688</v>
      </c>
      <c r="J940" s="40" t="s">
        <v>21</v>
      </c>
      <c r="K940" s="41" t="s">
        <v>22</v>
      </c>
      <c r="L940" s="42" t="s">
        <v>23</v>
      </c>
      <c r="M940" s="43" t="s">
        <v>24</v>
      </c>
      <c r="N940" s="42" t="s">
        <v>25</v>
      </c>
      <c r="O940" s="42" t="s">
        <v>21</v>
      </c>
      <c r="P940" s="44"/>
    </row>
    <row r="941" spans="1:16" x14ac:dyDescent="0.25">
      <c r="A941" t="str">
        <f t="shared" si="14"/>
        <v>ANOMALIA_ILLUMINAZIONE_DIR_SUD-Allarme anomalia illuminazione dir. sud</v>
      </c>
      <c r="B941" t="str">
        <f>VLOOKUP(A941,'EXPORT IRIS PROD 13-11-2024'!A:A,1,0)</f>
        <v>ANOMALIA_ILLUMINAZIONE_DIR_SUD-Allarme anomalia illuminazione dir. sud</v>
      </c>
      <c r="C941" t="str">
        <f>VLOOKUP(F941,'EXPORT IRIS PROD 13-11-2024'!F:F,1,0)</f>
        <v>ANOMALIA_ILLUMINAZIONE_DIR_SUD</v>
      </c>
      <c r="D941" t="str">
        <f>VLOOKUP(G941,'EXPORT IRIS PROD 13-11-2024'!D:D,1,0)</f>
        <v>Allarme anomalia illuminazione dir. sud</v>
      </c>
      <c r="E941" s="37" t="s">
        <v>115</v>
      </c>
      <c r="F941" s="38" t="s">
        <v>1695</v>
      </c>
      <c r="G941" s="45" t="s">
        <v>1696</v>
      </c>
      <c r="H941" s="46" t="s">
        <v>1331</v>
      </c>
      <c r="I941" s="46" t="s">
        <v>1688</v>
      </c>
      <c r="J941" s="40" t="s">
        <v>21</v>
      </c>
      <c r="K941" s="41" t="s">
        <v>22</v>
      </c>
      <c r="L941" s="42" t="s">
        <v>23</v>
      </c>
      <c r="M941" s="43" t="s">
        <v>24</v>
      </c>
      <c r="N941" s="42" t="s">
        <v>25</v>
      </c>
      <c r="O941" s="42" t="s">
        <v>21</v>
      </c>
      <c r="P941" s="44"/>
    </row>
    <row r="942" spans="1:16" x14ac:dyDescent="0.25">
      <c r="A942" t="str">
        <f t="shared" si="14"/>
        <v>ANOMALIA_ILLUMINAZIONE_DIR_SUD-Allarme anomalia illuminazione dir. sud</v>
      </c>
      <c r="B942" t="str">
        <f>VLOOKUP(A942,'EXPORT IRIS PROD 13-11-2024'!A:A,1,0)</f>
        <v>ANOMALIA_ILLUMINAZIONE_DIR_SUD-Allarme anomalia illuminazione dir. sud</v>
      </c>
      <c r="C942" t="str">
        <f>VLOOKUP(F942,'EXPORT IRIS PROD 13-11-2024'!F:F,1,0)</f>
        <v>ANOMALIA_ILLUMINAZIONE_DIR_SUD</v>
      </c>
      <c r="D942" t="str">
        <f>VLOOKUP(G942,'EXPORT IRIS PROD 13-11-2024'!D:D,1,0)</f>
        <v>Allarme anomalia illuminazione dir. sud</v>
      </c>
      <c r="E942" s="37" t="s">
        <v>115</v>
      </c>
      <c r="F942" s="38" t="s">
        <v>1695</v>
      </c>
      <c r="G942" s="45" t="s">
        <v>1696</v>
      </c>
      <c r="H942" s="46" t="s">
        <v>1142</v>
      </c>
      <c r="I942" s="46" t="s">
        <v>1216</v>
      </c>
      <c r="J942" s="40" t="s">
        <v>21</v>
      </c>
      <c r="K942" s="41" t="s">
        <v>22</v>
      </c>
      <c r="L942" s="42" t="s">
        <v>23</v>
      </c>
      <c r="M942" s="43" t="s">
        <v>24</v>
      </c>
      <c r="N942" s="42" t="s">
        <v>25</v>
      </c>
      <c r="O942" s="42" t="s">
        <v>21</v>
      </c>
      <c r="P942" s="44"/>
    </row>
    <row r="943" spans="1:16" x14ac:dyDescent="0.25">
      <c r="A943" t="str">
        <f t="shared" si="14"/>
        <v>ANOMALIA_ILLUMINAZIONE_DIR_SUD_1-Allarme anomalia illuminazione dir. sud bypass 1</v>
      </c>
      <c r="B943" t="str">
        <f>VLOOKUP(A943,'EXPORT IRIS PROD 13-11-2024'!A:A,1,0)</f>
        <v>ANOMALIA_ILLUMINAZIONE_DIR_SUD_1-Allarme anomalia illuminazione dir. sud bypass 1</v>
      </c>
      <c r="C943" t="str">
        <f>VLOOKUP(F943,'EXPORT IRIS PROD 13-11-2024'!F:F,1,0)</f>
        <v>ANOMALIA_ILLUMINAZIONE_DIR_SUD_1</v>
      </c>
      <c r="D943" t="str">
        <f>VLOOKUP(G943,'EXPORT IRIS PROD 13-11-2024'!D:D,1,0)</f>
        <v>Allarme anomalia illuminazione dir. sud bypass 1</v>
      </c>
      <c r="E943" s="37" t="s">
        <v>115</v>
      </c>
      <c r="F943" s="38" t="s">
        <v>1697</v>
      </c>
      <c r="G943" s="45" t="s">
        <v>1698</v>
      </c>
      <c r="H943" s="46" t="s">
        <v>1331</v>
      </c>
      <c r="I943" s="46" t="s">
        <v>1688</v>
      </c>
      <c r="J943" s="40" t="s">
        <v>21</v>
      </c>
      <c r="K943" s="41" t="s">
        <v>22</v>
      </c>
      <c r="L943" s="42" t="s">
        <v>23</v>
      </c>
      <c r="M943" s="43" t="s">
        <v>24</v>
      </c>
      <c r="N943" s="42" t="s">
        <v>25</v>
      </c>
      <c r="O943" s="42" t="s">
        <v>21</v>
      </c>
      <c r="P943" s="44"/>
    </row>
    <row r="944" spans="1:16" x14ac:dyDescent="0.25">
      <c r="A944" t="str">
        <f t="shared" si="14"/>
        <v>ANOMALIA_ILLUMINAZIONE_DIR_SUD_2-Allarme anomalia illuminazione dir. sud bypass 2</v>
      </c>
      <c r="B944" t="str">
        <f>VLOOKUP(A944,'EXPORT IRIS PROD 13-11-2024'!A:A,1,0)</f>
        <v>ANOMALIA_ILLUMINAZIONE_DIR_SUD_2-Allarme anomalia illuminazione dir. sud bypass 2</v>
      </c>
      <c r="C944" t="str">
        <f>VLOOKUP(F944,'EXPORT IRIS PROD 13-11-2024'!F:F,1,0)</f>
        <v>ANOMALIA_ILLUMINAZIONE_DIR_SUD_2</v>
      </c>
      <c r="D944" t="str">
        <f>VLOOKUP(G944,'EXPORT IRIS PROD 13-11-2024'!D:D,1,0)</f>
        <v>Allarme anomalia illuminazione dir. sud bypass 2</v>
      </c>
      <c r="E944" s="37" t="s">
        <v>115</v>
      </c>
      <c r="F944" s="38" t="s">
        <v>1699</v>
      </c>
      <c r="G944" s="45" t="s">
        <v>1700</v>
      </c>
      <c r="H944" s="46" t="s">
        <v>1331</v>
      </c>
      <c r="I944" s="46" t="s">
        <v>1688</v>
      </c>
      <c r="J944" s="40" t="s">
        <v>21</v>
      </c>
      <c r="K944" s="41" t="s">
        <v>22</v>
      </c>
      <c r="L944" s="42" t="s">
        <v>23</v>
      </c>
      <c r="M944" s="43" t="s">
        <v>24</v>
      </c>
      <c r="N944" s="42" t="s">
        <v>25</v>
      </c>
      <c r="O944" s="42" t="s">
        <v>21</v>
      </c>
      <c r="P944" s="44"/>
    </row>
    <row r="945" spans="1:16" x14ac:dyDescent="0.25">
      <c r="A945" t="str">
        <f t="shared" si="14"/>
        <v>ANOMALIA_ILLUMINAZIONE_DIR_SUD_3-Allarme anomalia illuminazione dir. sud bypass 3</v>
      </c>
      <c r="B945" t="str">
        <f>VLOOKUP(A945,'EXPORT IRIS PROD 13-11-2024'!A:A,1,0)</f>
        <v>ANOMALIA_ILLUMINAZIONE_DIR_SUD_3-Allarme anomalia illuminazione dir. sud bypass 3</v>
      </c>
      <c r="C945" t="str">
        <f>VLOOKUP(F945,'EXPORT IRIS PROD 13-11-2024'!F:F,1,0)</f>
        <v>ANOMALIA_ILLUMINAZIONE_DIR_SUD_3</v>
      </c>
      <c r="D945" t="str">
        <f>VLOOKUP(G945,'EXPORT IRIS PROD 13-11-2024'!D:D,1,0)</f>
        <v>Allarme anomalia illuminazione dir. sud bypass 3</v>
      </c>
      <c r="E945" s="37" t="s">
        <v>115</v>
      </c>
      <c r="F945" s="38" t="s">
        <v>1701</v>
      </c>
      <c r="G945" s="45" t="s">
        <v>1702</v>
      </c>
      <c r="H945" s="46" t="s">
        <v>1331</v>
      </c>
      <c r="I945" s="46" t="s">
        <v>1688</v>
      </c>
      <c r="J945" s="40" t="s">
        <v>21</v>
      </c>
      <c r="K945" s="41" t="s">
        <v>22</v>
      </c>
      <c r="L945" s="42" t="s">
        <v>23</v>
      </c>
      <c r="M945" s="43" t="s">
        <v>24</v>
      </c>
      <c r="N945" s="42" t="s">
        <v>25</v>
      </c>
      <c r="O945" s="42" t="s">
        <v>21</v>
      </c>
      <c r="P945" s="44"/>
    </row>
    <row r="946" spans="1:16" x14ac:dyDescent="0.25">
      <c r="A946" t="str">
        <f t="shared" si="14"/>
        <v>ANOMALIA_PLC-Anomalia plc</v>
      </c>
      <c r="B946" t="str">
        <f>VLOOKUP(A946,'EXPORT IRIS PROD 13-11-2024'!A:A,1,0)</f>
        <v>ANOMALIA_PLC-Anomalia plc</v>
      </c>
      <c r="C946" t="str">
        <f>VLOOKUP(F946,'EXPORT IRIS PROD 13-11-2024'!F:F,1,0)</f>
        <v>ANOMALIA_PLC</v>
      </c>
      <c r="D946" t="str">
        <f>VLOOKUP(G946,'EXPORT IRIS PROD 13-11-2024'!D:D,1,0)</f>
        <v>Anomalia plc</v>
      </c>
      <c r="E946" s="37" t="s">
        <v>16</v>
      </c>
      <c r="F946" s="38" t="s">
        <v>1703</v>
      </c>
      <c r="G946" s="45" t="s">
        <v>1704</v>
      </c>
      <c r="H946" s="46" t="s">
        <v>1156</v>
      </c>
      <c r="I946" s="46" t="s">
        <v>1157</v>
      </c>
      <c r="J946" s="40" t="s">
        <v>31</v>
      </c>
      <c r="K946" s="41" t="s">
        <v>32</v>
      </c>
      <c r="L946" s="42">
        <v>3</v>
      </c>
      <c r="M946" s="43" t="s">
        <v>33</v>
      </c>
      <c r="N946" s="42" t="s">
        <v>34</v>
      </c>
      <c r="O946" s="42" t="s">
        <v>31</v>
      </c>
      <c r="P946" s="44"/>
    </row>
    <row r="947" spans="1:16" x14ac:dyDescent="0.25">
      <c r="A947" t="str">
        <f t="shared" si="14"/>
        <v>CAMERA_FAULT_DIR_NORD-Allarme camera KO dir. nord</v>
      </c>
      <c r="B947" t="str">
        <f>VLOOKUP(A947,'EXPORT IRIS PROD 13-11-2024'!A:A,1,0)</f>
        <v>CAMERA_FAULT_DIR_NORD-Allarme camera KO dir. nord</v>
      </c>
      <c r="C947" t="str">
        <f>VLOOKUP(F947,'EXPORT IRIS PROD 13-11-2024'!F:F,1,0)</f>
        <v>CAMERA_FAULT_DIR_NORD</v>
      </c>
      <c r="D947" t="str">
        <f>VLOOKUP(G947,'EXPORT IRIS PROD 13-11-2024'!D:D,1,0)</f>
        <v>Allarme camera KO dir. nord</v>
      </c>
      <c r="E947" s="37" t="s">
        <v>198</v>
      </c>
      <c r="F947" s="38" t="s">
        <v>1705</v>
      </c>
      <c r="G947" s="45" t="s">
        <v>1706</v>
      </c>
      <c r="H947" s="46" t="s">
        <v>1337</v>
      </c>
      <c r="I947" s="46" t="s">
        <v>1338</v>
      </c>
      <c r="J947" s="40" t="s">
        <v>21</v>
      </c>
      <c r="K947" s="41" t="s">
        <v>22</v>
      </c>
      <c r="L947" s="42" t="s">
        <v>23</v>
      </c>
      <c r="M947" s="43" t="s">
        <v>24</v>
      </c>
      <c r="N947" s="42" t="s">
        <v>25</v>
      </c>
      <c r="O947" s="42" t="s">
        <v>21</v>
      </c>
      <c r="P947" s="44"/>
    </row>
    <row r="948" spans="1:16" x14ac:dyDescent="0.25">
      <c r="A948" t="str">
        <f t="shared" si="14"/>
        <v>CAMERA_FAULT_DIR_SUD-Allarme camera KO dir. sud</v>
      </c>
      <c r="B948" t="str">
        <f>VLOOKUP(A948,'EXPORT IRIS PROD 13-11-2024'!A:A,1,0)</f>
        <v>CAMERA_FAULT_DIR_SUD-Allarme camera KO dir. sud</v>
      </c>
      <c r="C948" t="str">
        <f>VLOOKUP(F948,'EXPORT IRIS PROD 13-11-2024'!F:F,1,0)</f>
        <v>CAMERA_FAULT_DIR_SUD</v>
      </c>
      <c r="D948" t="str">
        <f>VLOOKUP(G948,'EXPORT IRIS PROD 13-11-2024'!D:D,1,0)</f>
        <v>Allarme camera KO dir. sud</v>
      </c>
      <c r="E948" s="37" t="s">
        <v>198</v>
      </c>
      <c r="F948" s="38" t="s">
        <v>1707</v>
      </c>
      <c r="G948" s="45" t="s">
        <v>1708</v>
      </c>
      <c r="H948" s="46" t="s">
        <v>1337</v>
      </c>
      <c r="I948" s="46" t="s">
        <v>1338</v>
      </c>
      <c r="J948" s="40" t="s">
        <v>21</v>
      </c>
      <c r="K948" s="41" t="s">
        <v>22</v>
      </c>
      <c r="L948" s="42" t="s">
        <v>23</v>
      </c>
      <c r="M948" s="43" t="s">
        <v>24</v>
      </c>
      <c r="N948" s="42" t="s">
        <v>25</v>
      </c>
      <c r="O948" s="42" t="s">
        <v>21</v>
      </c>
      <c r="P948" s="44"/>
    </row>
    <row r="949" spans="1:16" x14ac:dyDescent="0.25">
      <c r="A949" t="str">
        <f t="shared" si="14"/>
        <v>CODA_CORSIA_1-Allarme coda in corsia di emergenza</v>
      </c>
      <c r="B949" t="str">
        <f>VLOOKUP(A949,'EXPORT IRIS PROD 13-11-2024'!A:A,1,0)</f>
        <v>CODA_CORSIA_1-Allarme coda in corsia di emergenza</v>
      </c>
      <c r="C949" t="str">
        <f>VLOOKUP(F949,'EXPORT IRIS PROD 13-11-2024'!F:F,1,0)</f>
        <v>CODA_CORSIA_1</v>
      </c>
      <c r="D949" t="str">
        <f>VLOOKUP(G949,'EXPORT IRIS PROD 13-11-2024'!D:D,1,0)</f>
        <v>Allarme coda in corsia di emergenza</v>
      </c>
      <c r="E949" s="37" t="s">
        <v>807</v>
      </c>
      <c r="F949" s="38" t="s">
        <v>1709</v>
      </c>
      <c r="G949" s="45" t="s">
        <v>1710</v>
      </c>
      <c r="H949" s="46" t="s">
        <v>1337</v>
      </c>
      <c r="I949" s="46" t="s">
        <v>1321</v>
      </c>
      <c r="J949" s="47" t="s">
        <v>31</v>
      </c>
      <c r="K949" s="48" t="s">
        <v>32</v>
      </c>
      <c r="L949" s="43">
        <v>1</v>
      </c>
      <c r="M949" s="43" t="s">
        <v>24</v>
      </c>
      <c r="N949" s="43" t="s">
        <v>25</v>
      </c>
      <c r="O949" s="42" t="s">
        <v>21</v>
      </c>
      <c r="P949" s="44"/>
    </row>
    <row r="950" spans="1:16" x14ac:dyDescent="0.25">
      <c r="A950" t="str">
        <f t="shared" si="14"/>
        <v>CODA_CORSIA_LENTA-Allarme coda in corsia lenta</v>
      </c>
      <c r="B950" t="str">
        <f>VLOOKUP(A950,'EXPORT IRIS PROD 13-11-2024'!A:A,1,0)</f>
        <v>CODA_CORSIA_LENTA-Allarme coda in corsia lenta</v>
      </c>
      <c r="C950" t="str">
        <f>VLOOKUP(F950,'EXPORT IRIS PROD 13-11-2024'!F:F,1,0)</f>
        <v>CODA_CORSIA_LENTA</v>
      </c>
      <c r="D950" t="str">
        <f>VLOOKUP(G950,'EXPORT IRIS PROD 13-11-2024'!D:D,1,0)</f>
        <v>Allarme coda in corsia lenta</v>
      </c>
      <c r="E950" s="37" t="s">
        <v>807</v>
      </c>
      <c r="F950" s="38" t="s">
        <v>1711</v>
      </c>
      <c r="G950" s="38" t="s">
        <v>1712</v>
      </c>
      <c r="H950" s="39" t="s">
        <v>1337</v>
      </c>
      <c r="I950" s="39" t="s">
        <v>1321</v>
      </c>
      <c r="J950" s="40" t="s">
        <v>31</v>
      </c>
      <c r="K950" s="41" t="s">
        <v>32</v>
      </c>
      <c r="L950" s="43">
        <v>1</v>
      </c>
      <c r="M950" s="43" t="s">
        <v>24</v>
      </c>
      <c r="N950" s="42" t="s">
        <v>25</v>
      </c>
      <c r="O950" s="42" t="s">
        <v>21</v>
      </c>
      <c r="P950" s="44"/>
    </row>
    <row r="951" spans="1:16" x14ac:dyDescent="0.25">
      <c r="A951" t="str">
        <f t="shared" si="14"/>
        <v>CODA_CORSIA_MARCIA_NORD-Allarme coda in corsia di marcia dir. nord</v>
      </c>
      <c r="B951" t="str">
        <f>VLOOKUP(A951,'EXPORT IRIS PROD 13-11-2024'!A:A,1,0)</f>
        <v>CODA_CORSIA_MARCIA_NORD-Allarme coda in corsia di marcia dir. nord</v>
      </c>
      <c r="C951" t="str">
        <f>VLOOKUP(F951,'EXPORT IRIS PROD 13-11-2024'!F:F,1,0)</f>
        <v>CODA_CORSIA_MARCIA_NORD</v>
      </c>
      <c r="D951" t="str">
        <f>VLOOKUP(G951,'EXPORT IRIS PROD 13-11-2024'!D:D,1,0)</f>
        <v>Allarme coda in corsia di marcia dir. nord</v>
      </c>
      <c r="E951" s="37" t="s">
        <v>807</v>
      </c>
      <c r="F951" s="38" t="s">
        <v>1713</v>
      </c>
      <c r="G951" s="45" t="s">
        <v>1714</v>
      </c>
      <c r="H951" s="46" t="s">
        <v>1337</v>
      </c>
      <c r="I951" s="46" t="s">
        <v>1321</v>
      </c>
      <c r="J951" s="47" t="s">
        <v>31</v>
      </c>
      <c r="K951" s="48" t="s">
        <v>32</v>
      </c>
      <c r="L951" s="43">
        <v>1</v>
      </c>
      <c r="M951" s="43" t="s">
        <v>24</v>
      </c>
      <c r="N951" s="43" t="s">
        <v>25</v>
      </c>
      <c r="O951" s="42" t="s">
        <v>21</v>
      </c>
      <c r="P951" s="44"/>
    </row>
    <row r="952" spans="1:16" x14ac:dyDescent="0.25">
      <c r="A952" t="str">
        <f t="shared" si="14"/>
        <v>CODA_CORSIA_MARCIA_NORD-Allarme coda in corsia di marcia dir. nord</v>
      </c>
      <c r="B952" t="str">
        <f>VLOOKUP(A952,'EXPORT IRIS PROD 13-11-2024'!A:A,1,0)</f>
        <v>CODA_CORSIA_MARCIA_NORD-Allarme coda in corsia di marcia dir. nord</v>
      </c>
      <c r="C952" t="str">
        <f>VLOOKUP(F952,'EXPORT IRIS PROD 13-11-2024'!F:F,1,0)</f>
        <v>CODA_CORSIA_MARCIA_NORD</v>
      </c>
      <c r="D952" t="str">
        <f>VLOOKUP(G952,'EXPORT IRIS PROD 13-11-2024'!D:D,1,0)</f>
        <v>Allarme coda in corsia di marcia dir. nord</v>
      </c>
      <c r="E952" s="37" t="s">
        <v>807</v>
      </c>
      <c r="F952" s="38" t="s">
        <v>1713</v>
      </c>
      <c r="G952" s="45" t="s">
        <v>1714</v>
      </c>
      <c r="H952" s="46" t="s">
        <v>1337</v>
      </c>
      <c r="I952" s="46" t="s">
        <v>1338</v>
      </c>
      <c r="J952" s="47" t="s">
        <v>31</v>
      </c>
      <c r="K952" s="48" t="s">
        <v>32</v>
      </c>
      <c r="L952" s="43">
        <v>1</v>
      </c>
      <c r="M952" s="43" t="s">
        <v>24</v>
      </c>
      <c r="N952" s="43" t="s">
        <v>25</v>
      </c>
      <c r="O952" s="42" t="s">
        <v>21</v>
      </c>
      <c r="P952" s="44"/>
    </row>
    <row r="953" spans="1:16" x14ac:dyDescent="0.25">
      <c r="A953" t="str">
        <f t="shared" si="14"/>
        <v>CODA_CORSIA_MARCIA_SUD-Allarme coda in corsia di marcia dir. sud</v>
      </c>
      <c r="B953" t="str">
        <f>VLOOKUP(A953,'EXPORT IRIS PROD 13-11-2024'!A:A,1,0)</f>
        <v>CODA_CORSIA_MARCIA_SUD-Allarme coda in corsia di marcia dir. sud</v>
      </c>
      <c r="C953" t="str">
        <f>VLOOKUP(F953,'EXPORT IRIS PROD 13-11-2024'!F:F,1,0)</f>
        <v>CODA_CORSIA_MARCIA_SUD</v>
      </c>
      <c r="D953" t="str">
        <f>VLOOKUP(G953,'EXPORT IRIS PROD 13-11-2024'!D:D,1,0)</f>
        <v>Allarme coda in corsia di marcia dir. sud</v>
      </c>
      <c r="E953" s="37" t="s">
        <v>807</v>
      </c>
      <c r="F953" s="38" t="s">
        <v>1715</v>
      </c>
      <c r="G953" s="45" t="s">
        <v>1716</v>
      </c>
      <c r="H953" s="46" t="s">
        <v>1337</v>
      </c>
      <c r="I953" s="46" t="s">
        <v>1321</v>
      </c>
      <c r="J953" s="47" t="s">
        <v>31</v>
      </c>
      <c r="K953" s="48" t="s">
        <v>32</v>
      </c>
      <c r="L953" s="43">
        <v>1</v>
      </c>
      <c r="M953" s="43" t="s">
        <v>24</v>
      </c>
      <c r="N953" s="43" t="s">
        <v>25</v>
      </c>
      <c r="O953" s="42" t="s">
        <v>21</v>
      </c>
      <c r="P953" s="44"/>
    </row>
    <row r="954" spans="1:16" x14ac:dyDescent="0.25">
      <c r="A954" t="str">
        <f t="shared" si="14"/>
        <v>CODA_CORSIA_MARCIA_SUD-Allarme coda in corsia di marcia dir. sud</v>
      </c>
      <c r="B954" t="str">
        <f>VLOOKUP(A954,'EXPORT IRIS PROD 13-11-2024'!A:A,1,0)</f>
        <v>CODA_CORSIA_MARCIA_SUD-Allarme coda in corsia di marcia dir. sud</v>
      </c>
      <c r="C954" t="str">
        <f>VLOOKUP(F954,'EXPORT IRIS PROD 13-11-2024'!F:F,1,0)</f>
        <v>CODA_CORSIA_MARCIA_SUD</v>
      </c>
      <c r="D954" t="str">
        <f>VLOOKUP(G954,'EXPORT IRIS PROD 13-11-2024'!D:D,1,0)</f>
        <v>Allarme coda in corsia di marcia dir. sud</v>
      </c>
      <c r="E954" s="37" t="s">
        <v>807</v>
      </c>
      <c r="F954" s="38" t="s">
        <v>1715</v>
      </c>
      <c r="G954" s="45" t="s">
        <v>1716</v>
      </c>
      <c r="H954" s="46" t="s">
        <v>1337</v>
      </c>
      <c r="I954" s="46" t="s">
        <v>1338</v>
      </c>
      <c r="J954" s="47" t="s">
        <v>31</v>
      </c>
      <c r="K954" s="48" t="s">
        <v>32</v>
      </c>
      <c r="L954" s="43">
        <v>1</v>
      </c>
      <c r="M954" s="43" t="s">
        <v>24</v>
      </c>
      <c r="N954" s="43" t="s">
        <v>25</v>
      </c>
      <c r="O954" s="42" t="s">
        <v>21</v>
      </c>
      <c r="P954" s="44"/>
    </row>
    <row r="955" spans="1:16" x14ac:dyDescent="0.25">
      <c r="A955" t="str">
        <f t="shared" si="14"/>
        <v>CODA_CORSIA_SORPASSO_NORD-Allarme coda in corsia di sorpasso dir. nord</v>
      </c>
      <c r="B955" t="str">
        <f>VLOOKUP(A955,'EXPORT IRIS PROD 13-11-2024'!A:A,1,0)</f>
        <v>CODA_CORSIA_SORPASSO_NORD-Allarme coda in corsia di sorpasso dir. nord</v>
      </c>
      <c r="C955" t="str">
        <f>VLOOKUP(F955,'EXPORT IRIS PROD 13-11-2024'!F:F,1,0)</f>
        <v>CODA_CORSIA_SORPASSO_NORD</v>
      </c>
      <c r="D955" t="str">
        <f>VLOOKUP(G955,'EXPORT IRIS PROD 13-11-2024'!D:D,1,0)</f>
        <v>Allarme coda in corsia di sorpasso dir. nord</v>
      </c>
      <c r="E955" s="37" t="s">
        <v>807</v>
      </c>
      <c r="F955" s="38" t="s">
        <v>1717</v>
      </c>
      <c r="G955" s="45" t="s">
        <v>1718</v>
      </c>
      <c r="H955" s="46" t="s">
        <v>1337</v>
      </c>
      <c r="I955" s="46" t="s">
        <v>1321</v>
      </c>
      <c r="J955" s="47" t="s">
        <v>31</v>
      </c>
      <c r="K955" s="48" t="s">
        <v>32</v>
      </c>
      <c r="L955" s="43">
        <v>1</v>
      </c>
      <c r="M955" s="43" t="s">
        <v>24</v>
      </c>
      <c r="N955" s="43" t="s">
        <v>25</v>
      </c>
      <c r="O955" s="42" t="s">
        <v>21</v>
      </c>
      <c r="P955" s="44"/>
    </row>
    <row r="956" spans="1:16" x14ac:dyDescent="0.25">
      <c r="A956" t="str">
        <f t="shared" si="14"/>
        <v>CODA_CORSIA_SORPASSO_NORD-Allarme coda in corsia di sorpasso dir. nord</v>
      </c>
      <c r="B956" t="str">
        <f>VLOOKUP(A956,'EXPORT IRIS PROD 13-11-2024'!A:A,1,0)</f>
        <v>CODA_CORSIA_SORPASSO_NORD-Allarme coda in corsia di sorpasso dir. nord</v>
      </c>
      <c r="C956" t="str">
        <f>VLOOKUP(F956,'EXPORT IRIS PROD 13-11-2024'!F:F,1,0)</f>
        <v>CODA_CORSIA_SORPASSO_NORD</v>
      </c>
      <c r="D956" t="str">
        <f>VLOOKUP(G956,'EXPORT IRIS PROD 13-11-2024'!D:D,1,0)</f>
        <v>Allarme coda in corsia di sorpasso dir. nord</v>
      </c>
      <c r="E956" s="37" t="s">
        <v>807</v>
      </c>
      <c r="F956" s="38" t="s">
        <v>1717</v>
      </c>
      <c r="G956" s="45" t="s">
        <v>1718</v>
      </c>
      <c r="H956" s="46" t="s">
        <v>1337</v>
      </c>
      <c r="I956" s="46" t="s">
        <v>1338</v>
      </c>
      <c r="J956" s="47" t="s">
        <v>31</v>
      </c>
      <c r="K956" s="48" t="s">
        <v>32</v>
      </c>
      <c r="L956" s="43">
        <v>1</v>
      </c>
      <c r="M956" s="43" t="s">
        <v>24</v>
      </c>
      <c r="N956" s="43" t="s">
        <v>25</v>
      </c>
      <c r="O956" s="42" t="s">
        <v>21</v>
      </c>
      <c r="P956" s="44"/>
    </row>
    <row r="957" spans="1:16" x14ac:dyDescent="0.25">
      <c r="A957" t="str">
        <f t="shared" si="14"/>
        <v>CODA_CORSIA_SORPASSO_SUD-Allarme coda in corsia di sorpasso dir. sud</v>
      </c>
      <c r="B957" t="str">
        <f>VLOOKUP(A957,'EXPORT IRIS PROD 13-11-2024'!A:A,1,0)</f>
        <v>CODA_CORSIA_SORPASSO_SUD-Allarme coda in corsia di sorpasso dir. sud</v>
      </c>
      <c r="C957" t="str">
        <f>VLOOKUP(F957,'EXPORT IRIS PROD 13-11-2024'!F:F,1,0)</f>
        <v>CODA_CORSIA_SORPASSO_SUD</v>
      </c>
      <c r="D957" t="str">
        <f>VLOOKUP(G957,'EXPORT IRIS PROD 13-11-2024'!D:D,1,0)</f>
        <v>Allarme coda in corsia di sorpasso dir. sud</v>
      </c>
      <c r="E957" s="37" t="s">
        <v>807</v>
      </c>
      <c r="F957" s="38" t="s">
        <v>1719</v>
      </c>
      <c r="G957" s="45" t="s">
        <v>1720</v>
      </c>
      <c r="H957" s="46" t="s">
        <v>1337</v>
      </c>
      <c r="I957" s="46" t="s">
        <v>1338</v>
      </c>
      <c r="J957" s="47" t="s">
        <v>31</v>
      </c>
      <c r="K957" s="48" t="s">
        <v>32</v>
      </c>
      <c r="L957" s="43">
        <v>1</v>
      </c>
      <c r="M957" s="43" t="s">
        <v>24</v>
      </c>
      <c r="N957" s="43" t="s">
        <v>25</v>
      </c>
      <c r="O957" s="42" t="s">
        <v>21</v>
      </c>
      <c r="P957" s="44"/>
    </row>
    <row r="958" spans="1:16" x14ac:dyDescent="0.25">
      <c r="A958" t="str">
        <f t="shared" si="14"/>
        <v>CODA_CORSIA_SORPASSO_SUD-Allarme coda in corsia di sorpasso dir. sud</v>
      </c>
      <c r="B958" t="str">
        <f>VLOOKUP(A958,'EXPORT IRIS PROD 13-11-2024'!A:A,1,0)</f>
        <v>CODA_CORSIA_SORPASSO_SUD-Allarme coda in corsia di sorpasso dir. sud</v>
      </c>
      <c r="C958" t="str">
        <f>VLOOKUP(F958,'EXPORT IRIS PROD 13-11-2024'!F:F,1,0)</f>
        <v>CODA_CORSIA_SORPASSO_SUD</v>
      </c>
      <c r="D958" t="str">
        <f>VLOOKUP(G958,'EXPORT IRIS PROD 13-11-2024'!D:D,1,0)</f>
        <v>Allarme coda in corsia di sorpasso dir. sud</v>
      </c>
      <c r="E958" s="37" t="s">
        <v>807</v>
      </c>
      <c r="F958" s="38" t="s">
        <v>1719</v>
      </c>
      <c r="G958" s="45" t="s">
        <v>1720</v>
      </c>
      <c r="H958" s="46" t="s">
        <v>1337</v>
      </c>
      <c r="I958" s="46" t="s">
        <v>1321</v>
      </c>
      <c r="J958" s="47" t="s">
        <v>31</v>
      </c>
      <c r="K958" s="48" t="s">
        <v>32</v>
      </c>
      <c r="L958" s="43">
        <v>1</v>
      </c>
      <c r="M958" s="43" t="s">
        <v>24</v>
      </c>
      <c r="N958" s="43" t="s">
        <v>25</v>
      </c>
      <c r="O958" s="42" t="s">
        <v>21</v>
      </c>
      <c r="P958" s="44"/>
    </row>
    <row r="959" spans="1:16" x14ac:dyDescent="0.25">
      <c r="A959" t="str">
        <f t="shared" si="14"/>
        <v>FORTE_RALLENTAMENTO_CORSIA_LENTA-Allarme forte rallentamento corsia lenta</v>
      </c>
      <c r="B959" t="str">
        <f>VLOOKUP(A959,'EXPORT IRIS PROD 13-11-2024'!A:A,1,0)</f>
        <v>FORTE_RALLENTAMENTO_CORSIA_LENTA-Allarme forte rallentamento corsia lenta</v>
      </c>
      <c r="C959" t="str">
        <f>VLOOKUP(F959,'EXPORT IRIS PROD 13-11-2024'!F:F,1,0)</f>
        <v>FORTE_RALLENTAMENTO_CORSIA_LENTA</v>
      </c>
      <c r="D959" t="str">
        <f>VLOOKUP(G959,'EXPORT IRIS PROD 13-11-2024'!D:D,1,0)</f>
        <v>Allarme forte rallentamento corsia lenta</v>
      </c>
      <c r="E959" s="37" t="s">
        <v>822</v>
      </c>
      <c r="F959" s="38" t="s">
        <v>1721</v>
      </c>
      <c r="G959" s="38" t="s">
        <v>1722</v>
      </c>
      <c r="H959" s="39" t="s">
        <v>1337</v>
      </c>
      <c r="I959" s="39" t="s">
        <v>1321</v>
      </c>
      <c r="J959" s="40" t="s">
        <v>31</v>
      </c>
      <c r="K959" s="41" t="s">
        <v>32</v>
      </c>
      <c r="L959" s="43">
        <v>1</v>
      </c>
      <c r="M959" s="43" t="s">
        <v>24</v>
      </c>
      <c r="N959" s="42" t="s">
        <v>25</v>
      </c>
      <c r="O959" s="42" t="s">
        <v>21</v>
      </c>
      <c r="P959" s="44"/>
    </row>
    <row r="960" spans="1:16" x14ac:dyDescent="0.25">
      <c r="A960" t="str">
        <f t="shared" si="14"/>
        <v>FORTE_RALLENTAMENTO_CORSIA_MARCIA_NORD-Allarme forte rallentamento corsia di marcia nord</v>
      </c>
      <c r="B960" t="str">
        <f>VLOOKUP(A960,'EXPORT IRIS PROD 13-11-2024'!A:A,1,0)</f>
        <v>FORTE_RALLENTAMENTO_CORSIA_MARCIA_NORD-Allarme forte rallentamento corsia di marcia nord</v>
      </c>
      <c r="C960" t="str">
        <f>VLOOKUP(F960,'EXPORT IRIS PROD 13-11-2024'!F:F,1,0)</f>
        <v>FORTE_RALLENTAMENTO_CORSIA_MARCIA_NORD</v>
      </c>
      <c r="D960" t="str">
        <f>VLOOKUP(G960,'EXPORT IRIS PROD 13-11-2024'!D:D,1,0)</f>
        <v>Allarme forte rallentamento corsia di marcia nord</v>
      </c>
      <c r="E960" s="37" t="s">
        <v>822</v>
      </c>
      <c r="F960" s="38" t="s">
        <v>1723</v>
      </c>
      <c r="G960" s="45" t="s">
        <v>1724</v>
      </c>
      <c r="H960" s="46" t="s">
        <v>1337</v>
      </c>
      <c r="I960" s="46" t="s">
        <v>1321</v>
      </c>
      <c r="J960" s="47" t="s">
        <v>31</v>
      </c>
      <c r="K960" s="48" t="s">
        <v>32</v>
      </c>
      <c r="L960" s="43">
        <v>1</v>
      </c>
      <c r="M960" s="43" t="s">
        <v>24</v>
      </c>
      <c r="N960" s="43" t="s">
        <v>25</v>
      </c>
      <c r="O960" s="42" t="s">
        <v>21</v>
      </c>
      <c r="P960" s="44"/>
    </row>
    <row r="961" spans="1:16" x14ac:dyDescent="0.25">
      <c r="A961" t="str">
        <f t="shared" si="14"/>
        <v>FORTE_RALLENTAMENTO_CORSIA_MARCIA_SUD-Allarme forte rallentamento corsia di marcia sud</v>
      </c>
      <c r="B961" t="str">
        <f>VLOOKUP(A961,'EXPORT IRIS PROD 13-11-2024'!A:A,1,0)</f>
        <v>FORTE_RALLENTAMENTO_CORSIA_MARCIA_SUD-Allarme forte rallentamento corsia di marcia sud</v>
      </c>
      <c r="C961" t="str">
        <f>VLOOKUP(F961,'EXPORT IRIS PROD 13-11-2024'!F:F,1,0)</f>
        <v>FORTE_RALLENTAMENTO_CORSIA_MARCIA_SUD</v>
      </c>
      <c r="D961" t="str">
        <f>VLOOKUP(G961,'EXPORT IRIS PROD 13-11-2024'!D:D,1,0)</f>
        <v>Allarme forte rallentamento corsia di marcia sud</v>
      </c>
      <c r="E961" s="37" t="s">
        <v>822</v>
      </c>
      <c r="F961" s="38" t="s">
        <v>1725</v>
      </c>
      <c r="G961" s="45" t="s">
        <v>1726</v>
      </c>
      <c r="H961" s="46" t="s">
        <v>1337</v>
      </c>
      <c r="I961" s="46" t="s">
        <v>1321</v>
      </c>
      <c r="J961" s="47" t="s">
        <v>31</v>
      </c>
      <c r="K961" s="48" t="s">
        <v>32</v>
      </c>
      <c r="L961" s="43">
        <v>1</v>
      </c>
      <c r="M961" s="43" t="s">
        <v>24</v>
      </c>
      <c r="N961" s="43" t="s">
        <v>25</v>
      </c>
      <c r="O961" s="42" t="s">
        <v>21</v>
      </c>
      <c r="P961" s="44"/>
    </row>
    <row r="962" spans="1:16" x14ac:dyDescent="0.25">
      <c r="A962" t="str">
        <f t="shared" si="14"/>
        <v>FUMO_CORSIA_LENTA-Allarme fumo corsia lenta</v>
      </c>
      <c r="B962" t="str">
        <f>VLOOKUP(A962,'EXPORT IRIS PROD 13-11-2024'!A:A,1,0)</f>
        <v>FUMO_CORSIA_LENTA-Allarme fumo corsia lenta</v>
      </c>
      <c r="C962" t="str">
        <f>VLOOKUP(F962,'EXPORT IRIS PROD 13-11-2024'!F:F,1,0)</f>
        <v>FUMO_CORSIA_LENTA</v>
      </c>
      <c r="D962" t="str">
        <f>VLOOKUP(G962,'EXPORT IRIS PROD 13-11-2024'!D:D,1,0)</f>
        <v>Allarme fumo corsia lenta</v>
      </c>
      <c r="E962" s="37" t="s">
        <v>836</v>
      </c>
      <c r="F962" s="38" t="s">
        <v>1727</v>
      </c>
      <c r="G962" s="38" t="s">
        <v>1728</v>
      </c>
      <c r="H962" s="39" t="s">
        <v>1337</v>
      </c>
      <c r="I962" s="39" t="s">
        <v>1321</v>
      </c>
      <c r="J962" s="40" t="s">
        <v>31</v>
      </c>
      <c r="K962" s="41" t="s">
        <v>32</v>
      </c>
      <c r="L962" s="43">
        <v>2</v>
      </c>
      <c r="M962" s="43" t="s">
        <v>45</v>
      </c>
      <c r="N962" s="43" t="s">
        <v>46</v>
      </c>
      <c r="O962" s="43" t="s">
        <v>31</v>
      </c>
      <c r="P962" s="49"/>
    </row>
    <row r="963" spans="1:16" x14ac:dyDescent="0.25">
      <c r="A963" t="str">
        <f t="shared" ref="A963:A1026" si="15">CONCATENATE(F963,"-",G963)</f>
        <v>FUMO_DIR_NORD-Allarme fumo dir. nord</v>
      </c>
      <c r="B963" t="str">
        <f>VLOOKUP(A963,'EXPORT IRIS PROD 13-11-2024'!A:A,1,0)</f>
        <v>FUMO_DIR_NORD-Allarme fumo dir. nord</v>
      </c>
      <c r="C963" t="str">
        <f>VLOOKUP(F963,'EXPORT IRIS PROD 13-11-2024'!F:F,1,0)</f>
        <v>FUMO_DIR_NORD</v>
      </c>
      <c r="D963" t="str">
        <f>VLOOKUP(G963,'EXPORT IRIS PROD 13-11-2024'!D:D,1,0)</f>
        <v>Allarme fumo dir. nord</v>
      </c>
      <c r="E963" s="37" t="s">
        <v>836</v>
      </c>
      <c r="F963" s="38" t="s">
        <v>1729</v>
      </c>
      <c r="G963" s="45" t="s">
        <v>1730</v>
      </c>
      <c r="H963" s="46" t="s">
        <v>1337</v>
      </c>
      <c r="I963" s="46" t="s">
        <v>1338</v>
      </c>
      <c r="J963" s="47" t="s">
        <v>31</v>
      </c>
      <c r="K963" s="48" t="s">
        <v>32</v>
      </c>
      <c r="L963" s="43">
        <v>2</v>
      </c>
      <c r="M963" s="43" t="s">
        <v>45</v>
      </c>
      <c r="N963" s="43" t="s">
        <v>46</v>
      </c>
      <c r="O963" s="43" t="s">
        <v>31</v>
      </c>
      <c r="P963" s="49"/>
    </row>
    <row r="964" spans="1:16" x14ac:dyDescent="0.25">
      <c r="A964" t="str">
        <f t="shared" si="15"/>
        <v>FUMO_DIR_NORD-Allarme fumo dir. nord</v>
      </c>
      <c r="B964" t="str">
        <f>VLOOKUP(A964,'EXPORT IRIS PROD 13-11-2024'!A:A,1,0)</f>
        <v>FUMO_DIR_NORD-Allarme fumo dir. nord</v>
      </c>
      <c r="C964" t="str">
        <f>VLOOKUP(F964,'EXPORT IRIS PROD 13-11-2024'!F:F,1,0)</f>
        <v>FUMO_DIR_NORD</v>
      </c>
      <c r="D964" t="str">
        <f>VLOOKUP(G964,'EXPORT IRIS PROD 13-11-2024'!D:D,1,0)</f>
        <v>Allarme fumo dir. nord</v>
      </c>
      <c r="E964" s="37" t="s">
        <v>836</v>
      </c>
      <c r="F964" s="38" t="s">
        <v>1729</v>
      </c>
      <c r="G964" s="45" t="s">
        <v>1730</v>
      </c>
      <c r="H964" s="46" t="s">
        <v>1337</v>
      </c>
      <c r="I964" s="46" t="s">
        <v>1321</v>
      </c>
      <c r="J964" s="47" t="s">
        <v>31</v>
      </c>
      <c r="K964" s="48" t="s">
        <v>32</v>
      </c>
      <c r="L964" s="43">
        <v>2</v>
      </c>
      <c r="M964" s="43" t="s">
        <v>45</v>
      </c>
      <c r="N964" s="43" t="s">
        <v>46</v>
      </c>
      <c r="O964" s="43" t="s">
        <v>31</v>
      </c>
      <c r="P964" s="49"/>
    </row>
    <row r="965" spans="1:16" x14ac:dyDescent="0.25">
      <c r="A965" t="str">
        <f t="shared" si="15"/>
        <v>FUMO_DIR_SUD-Allarme fumo dir. sud</v>
      </c>
      <c r="B965" t="str">
        <f>VLOOKUP(A965,'EXPORT IRIS PROD 13-11-2024'!A:A,1,0)</f>
        <v>FUMO_DIR_SUD-Allarme fumo dir. sud</v>
      </c>
      <c r="C965" t="str">
        <f>VLOOKUP(F965,'EXPORT IRIS PROD 13-11-2024'!F:F,1,0)</f>
        <v>FUMO_DIR_SUD</v>
      </c>
      <c r="D965" t="str">
        <f>VLOOKUP(G965,'EXPORT IRIS PROD 13-11-2024'!D:D,1,0)</f>
        <v>Allarme fumo dir. sud</v>
      </c>
      <c r="E965" s="37" t="s">
        <v>836</v>
      </c>
      <c r="F965" s="38" t="s">
        <v>1731</v>
      </c>
      <c r="G965" s="45" t="s">
        <v>1732</v>
      </c>
      <c r="H965" s="46" t="s">
        <v>1337</v>
      </c>
      <c r="I965" s="46" t="s">
        <v>1338</v>
      </c>
      <c r="J965" s="47" t="s">
        <v>31</v>
      </c>
      <c r="K965" s="48" t="s">
        <v>32</v>
      </c>
      <c r="L965" s="43">
        <v>2</v>
      </c>
      <c r="M965" s="43" t="s">
        <v>45</v>
      </c>
      <c r="N965" s="43" t="s">
        <v>46</v>
      </c>
      <c r="O965" s="43" t="s">
        <v>31</v>
      </c>
      <c r="P965" s="49"/>
    </row>
    <row r="966" spans="1:16" x14ac:dyDescent="0.25">
      <c r="A966" t="str">
        <f t="shared" si="15"/>
        <v>FUMO_DIR_SUD-Allarme fumo dir. sud</v>
      </c>
      <c r="B966" t="str">
        <f>VLOOKUP(A966,'EXPORT IRIS PROD 13-11-2024'!A:A,1,0)</f>
        <v>FUMO_DIR_SUD-Allarme fumo dir. sud</v>
      </c>
      <c r="C966" t="str">
        <f>VLOOKUP(F966,'EXPORT IRIS PROD 13-11-2024'!F:F,1,0)</f>
        <v>FUMO_DIR_SUD</v>
      </c>
      <c r="D966" t="str">
        <f>VLOOKUP(G966,'EXPORT IRIS PROD 13-11-2024'!D:D,1,0)</f>
        <v>Allarme fumo dir. sud</v>
      </c>
      <c r="E966" s="37" t="s">
        <v>836</v>
      </c>
      <c r="F966" s="38" t="s">
        <v>1731</v>
      </c>
      <c r="G966" s="45" t="s">
        <v>1732</v>
      </c>
      <c r="H966" s="46" t="s">
        <v>1337</v>
      </c>
      <c r="I966" s="46" t="s">
        <v>1321</v>
      </c>
      <c r="J966" s="47" t="s">
        <v>31</v>
      </c>
      <c r="K966" s="48" t="s">
        <v>32</v>
      </c>
      <c r="L966" s="43">
        <v>2</v>
      </c>
      <c r="M966" s="43" t="s">
        <v>45</v>
      </c>
      <c r="N966" s="43" t="s">
        <v>46</v>
      </c>
      <c r="O966" s="43" t="s">
        <v>31</v>
      </c>
      <c r="P966" s="49"/>
    </row>
    <row r="967" spans="1:16" x14ac:dyDescent="0.25">
      <c r="A967" t="str">
        <f t="shared" si="15"/>
        <v>INCENDIO_CORSIA_1-Allarme incendio corsia di emergenza</v>
      </c>
      <c r="B967" t="str">
        <f>VLOOKUP(A967,'EXPORT IRIS PROD 13-11-2024'!A:A,1,0)</f>
        <v>INCENDIO_CORSIA_1-Allarme incendio corsia di emergenza</v>
      </c>
      <c r="C967" t="str">
        <f>VLOOKUP(F967,'EXPORT IRIS PROD 13-11-2024'!F:F,1,0)</f>
        <v>INCENDIO_CORSIA_1</v>
      </c>
      <c r="D967" t="str">
        <f>VLOOKUP(G967,'EXPORT IRIS PROD 13-11-2024'!D:D,1,0)</f>
        <v>Allarme incendio corsia di emergenza</v>
      </c>
      <c r="E967" s="37" t="s">
        <v>40</v>
      </c>
      <c r="F967" s="38" t="s">
        <v>1733</v>
      </c>
      <c r="G967" s="45" t="s">
        <v>1734</v>
      </c>
      <c r="H967" s="46" t="s">
        <v>1337</v>
      </c>
      <c r="I967" s="46" t="s">
        <v>1321</v>
      </c>
      <c r="J967" s="47" t="s">
        <v>31</v>
      </c>
      <c r="K967" s="48" t="s">
        <v>32</v>
      </c>
      <c r="L967" s="43">
        <v>2</v>
      </c>
      <c r="M967" s="43" t="s">
        <v>45</v>
      </c>
      <c r="N967" s="43" t="s">
        <v>46</v>
      </c>
      <c r="O967" s="43" t="s">
        <v>31</v>
      </c>
      <c r="P967" s="49"/>
    </row>
    <row r="968" spans="1:16" x14ac:dyDescent="0.25">
      <c r="A968" t="str">
        <f t="shared" si="15"/>
        <v>INCENDIO_CORSIA_2-Allarme incendio corsia di marcia</v>
      </c>
      <c r="B968" t="str">
        <f>VLOOKUP(A968,'EXPORT IRIS PROD 13-11-2024'!A:A,1,0)</f>
        <v>INCENDIO_CORSIA_2-Allarme incendio corsia di marcia</v>
      </c>
      <c r="C968" t="str">
        <f>VLOOKUP(F968,'EXPORT IRIS PROD 13-11-2024'!F:F,1,0)</f>
        <v>INCENDIO_CORSIA_2</v>
      </c>
      <c r="D968" t="str">
        <f>VLOOKUP(G968,'EXPORT IRIS PROD 13-11-2024'!D:D,1,0)</f>
        <v>Allarme incendio corsia di marcia</v>
      </c>
      <c r="E968" s="37" t="s">
        <v>40</v>
      </c>
      <c r="F968" s="38" t="s">
        <v>1735</v>
      </c>
      <c r="G968" s="45" t="s">
        <v>1736</v>
      </c>
      <c r="H968" s="46" t="s">
        <v>1337</v>
      </c>
      <c r="I968" s="46" t="s">
        <v>1321</v>
      </c>
      <c r="J968" s="47" t="s">
        <v>31</v>
      </c>
      <c r="K968" s="48" t="s">
        <v>32</v>
      </c>
      <c r="L968" s="43">
        <v>2</v>
      </c>
      <c r="M968" s="43" t="s">
        <v>45</v>
      </c>
      <c r="N968" s="43" t="s">
        <v>46</v>
      </c>
      <c r="O968" s="43" t="s">
        <v>31</v>
      </c>
      <c r="P968" s="49"/>
    </row>
    <row r="969" spans="1:16" x14ac:dyDescent="0.25">
      <c r="A969" t="str">
        <f t="shared" si="15"/>
        <v>INCENDIO_CORSIA_3-Allarme incendio corsia veloce</v>
      </c>
      <c r="B969" t="str">
        <f>VLOOKUP(A969,'EXPORT IRIS PROD 13-11-2024'!A:A,1,0)</f>
        <v>INCENDIO_CORSIA_3-Allarme incendio corsia veloce</v>
      </c>
      <c r="C969" t="str">
        <f>VLOOKUP(F969,'EXPORT IRIS PROD 13-11-2024'!F:F,1,0)</f>
        <v>INCENDIO_CORSIA_3</v>
      </c>
      <c r="D969" t="str">
        <f>VLOOKUP(G969,'EXPORT IRIS PROD 13-11-2024'!D:D,1,0)</f>
        <v>Allarme incendio corsia veloce</v>
      </c>
      <c r="E969" s="37" t="s">
        <v>40</v>
      </c>
      <c r="F969" s="38" t="s">
        <v>1737</v>
      </c>
      <c r="G969" s="45" t="s">
        <v>1738</v>
      </c>
      <c r="H969" s="46" t="s">
        <v>1337</v>
      </c>
      <c r="I969" s="46" t="s">
        <v>1321</v>
      </c>
      <c r="J969" s="47" t="s">
        <v>31</v>
      </c>
      <c r="K969" s="48" t="s">
        <v>32</v>
      </c>
      <c r="L969" s="43">
        <v>2</v>
      </c>
      <c r="M969" s="43" t="s">
        <v>45</v>
      </c>
      <c r="N969" s="43" t="s">
        <v>46</v>
      </c>
      <c r="O969" s="43" t="s">
        <v>31</v>
      </c>
      <c r="P969" s="49"/>
    </row>
    <row r="970" spans="1:16" x14ac:dyDescent="0.25">
      <c r="A970" t="str">
        <f t="shared" si="15"/>
        <v>LIVELLO_ACQUA_TROPPO_PIENO-Allarme livello acqua troppo pieno</v>
      </c>
      <c r="B970" t="str">
        <f>VLOOKUP(A970,'EXPORT IRIS PROD 13-11-2024'!A:A,1,0)</f>
        <v>LIVELLO_ACQUA_TROPPO_PIENO-Allarme livello acqua troppo pieno</v>
      </c>
      <c r="C970" t="str">
        <f>VLOOKUP(F970,'EXPORT IRIS PROD 13-11-2024'!F:F,1,0)</f>
        <v>LIVELLO_ACQUA_TROPPO_PIENO</v>
      </c>
      <c r="D970" t="str">
        <f>VLOOKUP(G970,'EXPORT IRIS PROD 13-11-2024'!D:D,1,0)</f>
        <v>Allarme livello acqua troppo pieno</v>
      </c>
      <c r="E970" s="37" t="s">
        <v>35</v>
      </c>
      <c r="F970" s="38" t="s">
        <v>1739</v>
      </c>
      <c r="G970" s="45" t="s">
        <v>1740</v>
      </c>
      <c r="H970" s="46" t="s">
        <v>38</v>
      </c>
      <c r="I970" s="46" t="s">
        <v>1741</v>
      </c>
      <c r="J970" s="40" t="s">
        <v>21</v>
      </c>
      <c r="K970" s="41" t="s">
        <v>22</v>
      </c>
      <c r="L970" s="42" t="s">
        <v>23</v>
      </c>
      <c r="M970" s="43" t="s">
        <v>24</v>
      </c>
      <c r="N970" s="42" t="s">
        <v>25</v>
      </c>
      <c r="O970" s="42" t="s">
        <v>21</v>
      </c>
      <c r="P970" s="44"/>
    </row>
    <row r="971" spans="1:16" x14ac:dyDescent="0.25">
      <c r="A971" t="str">
        <f t="shared" si="15"/>
        <v>MANCATO_AVVIO_POMPA-Allarme Mancato Avviamento pompa pilota</v>
      </c>
      <c r="B971" t="str">
        <f>VLOOKUP(A971,'EXPORT IRIS PROD 13-11-2024'!A:A,1,0)</f>
        <v>MANCATO_AVVIO_POMPA-Allarme Mancato Avviamento pompa pilota</v>
      </c>
      <c r="C971" t="str">
        <f>VLOOKUP(F971,'EXPORT IRIS PROD 13-11-2024'!F:F,1,0)</f>
        <v>MANCATO_AVVIO_POMPA</v>
      </c>
      <c r="D971" t="str">
        <f>VLOOKUP(G971,'EXPORT IRIS PROD 13-11-2024'!D:D,1,0)</f>
        <v>Allarme Mancato Avviamento pompa pilota</v>
      </c>
      <c r="E971" s="37" t="s">
        <v>35</v>
      </c>
      <c r="F971" s="38" t="s">
        <v>1742</v>
      </c>
      <c r="G971" s="45" t="s">
        <v>1743</v>
      </c>
      <c r="H971" s="46" t="s">
        <v>38</v>
      </c>
      <c r="I971" s="46" t="s">
        <v>39</v>
      </c>
      <c r="J971" s="40" t="s">
        <v>21</v>
      </c>
      <c r="K971" s="41" t="s">
        <v>22</v>
      </c>
      <c r="L971" s="42" t="s">
        <v>23</v>
      </c>
      <c r="M971" s="43" t="s">
        <v>24</v>
      </c>
      <c r="N971" s="42" t="s">
        <v>25</v>
      </c>
      <c r="O971" s="42" t="s">
        <v>21</v>
      </c>
      <c r="P971" s="44"/>
    </row>
    <row r="972" spans="1:16" x14ac:dyDescent="0.25">
      <c r="A972" t="str">
        <f t="shared" si="15"/>
        <v>MANCATO_AVVIO_POMPA_SOS-Allarme mancato avvio pompa SOS</v>
      </c>
      <c r="B972" t="str">
        <f>VLOOKUP(A972,'EXPORT IRIS PROD 13-11-2024'!A:A,1,0)</f>
        <v>MANCATO_AVVIO_POMPA_SOS-Allarme mancato avvio pompa SOS</v>
      </c>
      <c r="C972" t="str">
        <f>VLOOKUP(F972,'EXPORT IRIS PROD 13-11-2024'!F:F,1,0)</f>
        <v>MANCATO_AVVIO_POMPA_SOS</v>
      </c>
      <c r="D972" t="str">
        <f>VLOOKUP(G972,'EXPORT IRIS PROD 13-11-2024'!D:D,1,0)</f>
        <v>Allarme mancato avvio pompa SOS</v>
      </c>
      <c r="E972" s="37" t="s">
        <v>35</v>
      </c>
      <c r="F972" s="38" t="s">
        <v>1744</v>
      </c>
      <c r="G972" s="45" t="s">
        <v>1745</v>
      </c>
      <c r="H972" s="46" t="s">
        <v>38</v>
      </c>
      <c r="I972" s="46" t="s">
        <v>39</v>
      </c>
      <c r="J972" s="40" t="s">
        <v>21</v>
      </c>
      <c r="K972" s="41" t="s">
        <v>22</v>
      </c>
      <c r="L972" s="42" t="s">
        <v>23</v>
      </c>
      <c r="M972" s="43" t="s">
        <v>24</v>
      </c>
      <c r="N972" s="42" t="s">
        <v>25</v>
      </c>
      <c r="O972" s="42" t="s">
        <v>21</v>
      </c>
      <c r="P972" s="44"/>
    </row>
    <row r="973" spans="1:16" x14ac:dyDescent="0.25">
      <c r="A973" t="str">
        <f t="shared" si="15"/>
        <v>MANOMISSIONE_DIR_NORD-Allarme manomissione dir. nord</v>
      </c>
      <c r="B973" t="str">
        <f>VLOOKUP(A973,'EXPORT IRIS PROD 13-11-2024'!A:A,1,0)</f>
        <v>MANOMISSIONE_DIR_NORD-Allarme manomissione dir. nord</v>
      </c>
      <c r="C973" t="str">
        <f>VLOOKUP(F973,'EXPORT IRIS PROD 13-11-2024'!F:F,1,0)</f>
        <v>MANOMISSIONE_DIR_NORD</v>
      </c>
      <c r="D973" t="str">
        <f>VLOOKUP(G973,'EXPORT IRIS PROD 13-11-2024'!D:D,1,0)</f>
        <v>Allarme manomissione dir. nord</v>
      </c>
      <c r="E973" s="37" t="s">
        <v>198</v>
      </c>
      <c r="F973" s="38" t="s">
        <v>1746</v>
      </c>
      <c r="G973" s="45" t="s">
        <v>1747</v>
      </c>
      <c r="H973" s="46" t="s">
        <v>1337</v>
      </c>
      <c r="I973" s="46" t="s">
        <v>1338</v>
      </c>
      <c r="J973" s="40" t="s">
        <v>31</v>
      </c>
      <c r="K973" s="41" t="s">
        <v>32</v>
      </c>
      <c r="L973" s="43">
        <v>2</v>
      </c>
      <c r="M973" s="43" t="s">
        <v>24</v>
      </c>
      <c r="N973" s="42" t="s">
        <v>25</v>
      </c>
      <c r="O973" s="42" t="s">
        <v>21</v>
      </c>
      <c r="P973" s="44"/>
    </row>
    <row r="974" spans="1:16" x14ac:dyDescent="0.25">
      <c r="A974" t="str">
        <f t="shared" si="15"/>
        <v>MANOMISSIONE_DIR_SUD-Allarme manomissione dir. sud</v>
      </c>
      <c r="B974" t="str">
        <f>VLOOKUP(A974,'EXPORT IRIS PROD 13-11-2024'!A:A,1,0)</f>
        <v>MANOMISSIONE_DIR_SUD-Allarme manomissione dir. sud</v>
      </c>
      <c r="C974" t="str">
        <f>VLOOKUP(F974,'EXPORT IRIS PROD 13-11-2024'!F:F,1,0)</f>
        <v>MANOMISSIONE_DIR_SUD</v>
      </c>
      <c r="D974" t="str">
        <f>VLOOKUP(G974,'EXPORT IRIS PROD 13-11-2024'!D:D,1,0)</f>
        <v>Allarme manomissione dir. sud</v>
      </c>
      <c r="E974" s="37" t="s">
        <v>198</v>
      </c>
      <c r="F974" s="38" t="s">
        <v>1748</v>
      </c>
      <c r="G974" s="45" t="s">
        <v>1749</v>
      </c>
      <c r="H974" s="46" t="s">
        <v>1337</v>
      </c>
      <c r="I974" s="46" t="s">
        <v>1338</v>
      </c>
      <c r="J974" s="40" t="s">
        <v>31</v>
      </c>
      <c r="K974" s="41" t="s">
        <v>32</v>
      </c>
      <c r="L974" s="43">
        <v>2</v>
      </c>
      <c r="M974" s="43" t="s">
        <v>24</v>
      </c>
      <c r="N974" s="42" t="s">
        <v>25</v>
      </c>
      <c r="O974" s="42" t="s">
        <v>21</v>
      </c>
      <c r="P974" s="44"/>
    </row>
    <row r="975" spans="1:16" x14ac:dyDescent="0.25">
      <c r="A975" t="str">
        <f t="shared" si="15"/>
        <v>MISURA_DIR_FAULT-Allarme misurazione direzione fallita</v>
      </c>
      <c r="B975" t="str">
        <f>VLOOKUP(A975,'EXPORT IRIS PROD 13-11-2024'!A:A,1,0)</f>
        <v>MISURA_DIR_FAULT-Allarme misurazione direzione fallita</v>
      </c>
      <c r="C975" t="str">
        <f>VLOOKUP(F975,'EXPORT IRIS PROD 13-11-2024'!F:F,1,0)</f>
        <v>MISURA_DIR_FAULT</v>
      </c>
      <c r="D975" t="str">
        <f>VLOOKUP(G975,'EXPORT IRIS PROD 13-11-2024'!D:D,1,0)</f>
        <v>Allarme misurazione direzione fallita</v>
      </c>
      <c r="E975" s="37" t="s">
        <v>85</v>
      </c>
      <c r="F975" s="38" t="s">
        <v>1750</v>
      </c>
      <c r="G975" s="45" t="s">
        <v>1751</v>
      </c>
      <c r="H975" s="46" t="s">
        <v>50</v>
      </c>
      <c r="I975" s="46" t="s">
        <v>88</v>
      </c>
      <c r="J975" s="40" t="s">
        <v>21</v>
      </c>
      <c r="K975" s="41" t="s">
        <v>22</v>
      </c>
      <c r="L975" s="42" t="s">
        <v>23</v>
      </c>
      <c r="M975" s="43" t="s">
        <v>24</v>
      </c>
      <c r="N975" s="42" t="s">
        <v>25</v>
      </c>
      <c r="O975" s="42" t="s">
        <v>21</v>
      </c>
      <c r="P975" s="44"/>
    </row>
    <row r="976" spans="1:16" x14ac:dyDescent="0.25">
      <c r="A976" t="str">
        <f t="shared" si="15"/>
        <v>MISURA_FUORI_SOGLIA_CO_INFERIORE_SUPERATA_TRAFFICO_CONGESTIONATO_NORD-Misura fuori soglia CO inferiore superata traffico congestionato Nord</v>
      </c>
      <c r="B976" t="str">
        <f>VLOOKUP(A976,'EXPORT IRIS PROD 13-11-2024'!A:A,1,0)</f>
        <v>MISURA_FUORI_SOGLIA_CO_INFERIORE_SUPERATA_TRAFFICO_CONGESTIONATO_NORD-Misura fuori soglia CO inferiore superata traffico congestionato Nord</v>
      </c>
      <c r="C976" t="str">
        <f>VLOOKUP(F976,'EXPORT IRIS PROD 13-11-2024'!F:F,1,0)</f>
        <v>MISURA_FUORI_SOGLIA_CO_INFERIORE_SUPERATA_TRAFFICO_CONGESTIONATO_NORD</v>
      </c>
      <c r="D976" t="str">
        <f>VLOOKUP(G976,'EXPORT IRIS PROD 13-11-2024'!D:D,1,0)</f>
        <v>Misura fuori soglia CO inferiore superata traffico congestionato Nord</v>
      </c>
      <c r="E976" s="37" t="s">
        <v>85</v>
      </c>
      <c r="F976" s="38" t="s">
        <v>1752</v>
      </c>
      <c r="G976" s="45" t="s">
        <v>1753</v>
      </c>
      <c r="H976" s="46" t="s">
        <v>50</v>
      </c>
      <c r="I976" s="46" t="s">
        <v>1466</v>
      </c>
      <c r="J976" s="40" t="s">
        <v>21</v>
      </c>
      <c r="K976" s="41" t="s">
        <v>22</v>
      </c>
      <c r="L976" s="42" t="s">
        <v>23</v>
      </c>
      <c r="M976" s="43" t="s">
        <v>24</v>
      </c>
      <c r="N976" s="42" t="s">
        <v>25</v>
      </c>
      <c r="O976" s="42" t="s">
        <v>21</v>
      </c>
      <c r="P976" s="44"/>
    </row>
    <row r="977" spans="1:16" x14ac:dyDescent="0.25">
      <c r="A977" t="str">
        <f t="shared" si="15"/>
        <v>MISURA_FUORI_SOGLIA_CO_INFERIORE_SUPERATA_TRAFFICO_CONGESTIONATO_SUD-Misura fuori soglia CO inferiore superata traffico congestionato Sud</v>
      </c>
      <c r="B977" t="str">
        <f>VLOOKUP(A977,'EXPORT IRIS PROD 13-11-2024'!A:A,1,0)</f>
        <v>MISURA_FUORI_SOGLIA_CO_INFERIORE_SUPERATA_TRAFFICO_CONGESTIONATO_SUD-Misura fuori soglia CO inferiore superata traffico congestionato Sud</v>
      </c>
      <c r="C977" t="str">
        <f>VLOOKUP(F977,'EXPORT IRIS PROD 13-11-2024'!F:F,1,0)</f>
        <v>MISURA_FUORI_SOGLIA_CO_INFERIORE_SUPERATA_TRAFFICO_CONGESTIONATO_SUD</v>
      </c>
      <c r="D977" t="str">
        <f>VLOOKUP(G977,'EXPORT IRIS PROD 13-11-2024'!D:D,1,0)</f>
        <v>Misura fuori soglia CO inferiore superata traffico congestionato Sud</v>
      </c>
      <c r="E977" s="37" t="s">
        <v>85</v>
      </c>
      <c r="F977" s="38" t="s">
        <v>1754</v>
      </c>
      <c r="G977" s="45" t="s">
        <v>1755</v>
      </c>
      <c r="H977" s="46" t="s">
        <v>50</v>
      </c>
      <c r="I977" s="46" t="s">
        <v>1466</v>
      </c>
      <c r="J977" s="40" t="s">
        <v>21</v>
      </c>
      <c r="K977" s="41" t="s">
        <v>22</v>
      </c>
      <c r="L977" s="42" t="s">
        <v>23</v>
      </c>
      <c r="M977" s="43" t="s">
        <v>24</v>
      </c>
      <c r="N977" s="42" t="s">
        <v>25</v>
      </c>
      <c r="O977" s="42" t="s">
        <v>21</v>
      </c>
      <c r="P977" s="44"/>
    </row>
    <row r="978" spans="1:16" x14ac:dyDescent="0.25">
      <c r="A978" t="str">
        <f t="shared" si="15"/>
        <v>MISURA_FUORI_SOGLIA_CO_INFERIORE_SUPERATA_TRAFFICO_FLUIDO_NORD-Misura fuori soglia CO inferiore superata traffico fluido Nord</v>
      </c>
      <c r="B978" t="str">
        <f>VLOOKUP(A978,'EXPORT IRIS PROD 13-11-2024'!A:A,1,0)</f>
        <v>MISURA_FUORI_SOGLIA_CO_INFERIORE_SUPERATA_TRAFFICO_FLUIDO_NORD-Misura fuori soglia CO inferiore superata traffico fluido Nord</v>
      </c>
      <c r="C978" t="str">
        <f>VLOOKUP(F978,'EXPORT IRIS PROD 13-11-2024'!F:F,1,0)</f>
        <v>MISURA_FUORI_SOGLIA_CO_INFERIORE_SUPERATA_TRAFFICO_FLUIDO_NORD</v>
      </c>
      <c r="D978" t="str">
        <f>VLOOKUP(G978,'EXPORT IRIS PROD 13-11-2024'!D:D,1,0)</f>
        <v>Misura fuori soglia CO inferiore superata traffico fluido Nord</v>
      </c>
      <c r="E978" s="37" t="s">
        <v>85</v>
      </c>
      <c r="F978" s="38" t="s">
        <v>1756</v>
      </c>
      <c r="G978" s="45" t="s">
        <v>1757</v>
      </c>
      <c r="H978" s="46" t="s">
        <v>50</v>
      </c>
      <c r="I978" s="46" t="s">
        <v>1466</v>
      </c>
      <c r="J978" s="40" t="s">
        <v>21</v>
      </c>
      <c r="K978" s="41" t="s">
        <v>22</v>
      </c>
      <c r="L978" s="42" t="s">
        <v>23</v>
      </c>
      <c r="M978" s="43" t="s">
        <v>24</v>
      </c>
      <c r="N978" s="42" t="s">
        <v>25</v>
      </c>
      <c r="O978" s="42" t="s">
        <v>21</v>
      </c>
      <c r="P978" s="44"/>
    </row>
    <row r="979" spans="1:16" x14ac:dyDescent="0.25">
      <c r="A979" t="str">
        <f t="shared" si="15"/>
        <v>MISURA_FUORI_SOGLIA_CO_INFERIORE_SUPERATA_TRAFFICO_FLUIDO_SUD-Misura fuori soglia CO inferiore superata traffico fluido Sud</v>
      </c>
      <c r="B979" t="str">
        <f>VLOOKUP(A979,'EXPORT IRIS PROD 13-11-2024'!A:A,1,0)</f>
        <v>MISURA_FUORI_SOGLIA_CO_INFERIORE_SUPERATA_TRAFFICO_FLUIDO_SUD-Misura fuori soglia CO inferiore superata traffico fluido Sud</v>
      </c>
      <c r="C979" t="str">
        <f>VLOOKUP(F979,'EXPORT IRIS PROD 13-11-2024'!F:F,1,0)</f>
        <v>MISURA_FUORI_SOGLIA_CO_INFERIORE_SUPERATA_TRAFFICO_FLUIDO_SUD</v>
      </c>
      <c r="D979" t="str">
        <f>VLOOKUP(G979,'EXPORT IRIS PROD 13-11-2024'!D:D,1,0)</f>
        <v>Misura fuori soglia CO inferiore superata traffico fluido Sud</v>
      </c>
      <c r="E979" s="37" t="s">
        <v>85</v>
      </c>
      <c r="F979" s="38" t="s">
        <v>1758</v>
      </c>
      <c r="G979" s="45" t="s">
        <v>1759</v>
      </c>
      <c r="H979" s="46" t="s">
        <v>50</v>
      </c>
      <c r="I979" s="46" t="s">
        <v>1466</v>
      </c>
      <c r="J979" s="40" t="s">
        <v>21</v>
      </c>
      <c r="K979" s="41" t="s">
        <v>22</v>
      </c>
      <c r="L979" s="42" t="s">
        <v>23</v>
      </c>
      <c r="M979" s="43" t="s">
        <v>24</v>
      </c>
      <c r="N979" s="42" t="s">
        <v>25</v>
      </c>
      <c r="O979" s="42" t="s">
        <v>21</v>
      </c>
      <c r="P979" s="44"/>
    </row>
    <row r="980" spans="1:16" x14ac:dyDescent="0.25">
      <c r="A980" t="str">
        <f t="shared" si="15"/>
        <v>MISURA_FUORI_SOGLIA_NO_INFERIORE_SUPERATA_TRAFFICO_CONGESTIONATO_NORD-Misura fuori soglia NO inferiore superata traffico congestionato Nord</v>
      </c>
      <c r="B980" t="str">
        <f>VLOOKUP(A980,'EXPORT IRIS PROD 13-11-2024'!A:A,1,0)</f>
        <v>MISURA_FUORI_SOGLIA_NO_INFERIORE_SUPERATA_TRAFFICO_CONGESTIONATO_NORD-Misura fuori soglia NO inferiore superata traffico congestionato Nord</v>
      </c>
      <c r="C980" t="str">
        <f>VLOOKUP(F980,'EXPORT IRIS PROD 13-11-2024'!F:F,1,0)</f>
        <v>MISURA_FUORI_SOGLIA_NO_INFERIORE_SUPERATA_TRAFFICO_CONGESTIONATO_NORD</v>
      </c>
      <c r="D980" t="str">
        <f>VLOOKUP(G980,'EXPORT IRIS PROD 13-11-2024'!D:D,1,0)</f>
        <v>Misura fuori soglia NO inferiore superata traffico congestionato Nord</v>
      </c>
      <c r="E980" s="37" t="s">
        <v>85</v>
      </c>
      <c r="F980" s="38" t="s">
        <v>1760</v>
      </c>
      <c r="G980" s="45" t="s">
        <v>1761</v>
      </c>
      <c r="H980" s="46" t="s">
        <v>50</v>
      </c>
      <c r="I980" s="46" t="s">
        <v>1615</v>
      </c>
      <c r="J980" s="40" t="s">
        <v>21</v>
      </c>
      <c r="K980" s="41" t="s">
        <v>22</v>
      </c>
      <c r="L980" s="42" t="s">
        <v>23</v>
      </c>
      <c r="M980" s="43" t="s">
        <v>24</v>
      </c>
      <c r="N980" s="42" t="s">
        <v>25</v>
      </c>
      <c r="O980" s="42" t="s">
        <v>21</v>
      </c>
      <c r="P980" s="44"/>
    </row>
    <row r="981" spans="1:16" x14ac:dyDescent="0.25">
      <c r="A981" t="str">
        <f t="shared" si="15"/>
        <v>MISURA_FUORI_SOGLIA_NO_INFERIORE_SUPERATA_TRAFFICO_CONGESTIONATO_SUD-Misura fuori soglia NO inferiore superata traffico congestionato Sud</v>
      </c>
      <c r="B981" t="str">
        <f>VLOOKUP(A981,'EXPORT IRIS PROD 13-11-2024'!A:A,1,0)</f>
        <v>MISURA_FUORI_SOGLIA_NO_INFERIORE_SUPERATA_TRAFFICO_CONGESTIONATO_SUD-Misura fuori soglia NO inferiore superata traffico congestionato Sud</v>
      </c>
      <c r="C981" t="str">
        <f>VLOOKUP(F981,'EXPORT IRIS PROD 13-11-2024'!F:F,1,0)</f>
        <v>MISURA_FUORI_SOGLIA_NO_INFERIORE_SUPERATA_TRAFFICO_CONGESTIONATO_SUD</v>
      </c>
      <c r="D981" t="str">
        <f>VLOOKUP(G981,'EXPORT IRIS PROD 13-11-2024'!D:D,1,0)</f>
        <v>Misura fuori soglia NO inferiore superata traffico congestionato Sud</v>
      </c>
      <c r="E981" s="37" t="s">
        <v>85</v>
      </c>
      <c r="F981" s="38" t="s">
        <v>1762</v>
      </c>
      <c r="G981" s="45" t="s">
        <v>1763</v>
      </c>
      <c r="H981" s="46" t="s">
        <v>50</v>
      </c>
      <c r="I981" s="46" t="s">
        <v>1615</v>
      </c>
      <c r="J981" s="40" t="s">
        <v>21</v>
      </c>
      <c r="K981" s="41" t="s">
        <v>22</v>
      </c>
      <c r="L981" s="42" t="s">
        <v>23</v>
      </c>
      <c r="M981" s="43" t="s">
        <v>24</v>
      </c>
      <c r="N981" s="42" t="s">
        <v>25</v>
      </c>
      <c r="O981" s="42" t="s">
        <v>21</v>
      </c>
      <c r="P981" s="44"/>
    </row>
    <row r="982" spans="1:16" x14ac:dyDescent="0.25">
      <c r="A982" t="str">
        <f t="shared" si="15"/>
        <v>MISURA_FUORI_SOGLIA_NO_INFERIORE_SUPERATA_TRAFFICO_FLUIDO_NORD-Misura fuori soglia NO inferiore superata traffico fluido Nord</v>
      </c>
      <c r="B982" t="str">
        <f>VLOOKUP(A982,'EXPORT IRIS PROD 13-11-2024'!A:A,1,0)</f>
        <v>MISURA_FUORI_SOGLIA_NO_INFERIORE_SUPERATA_TRAFFICO_FLUIDO_NORD-Misura fuori soglia NO inferiore superata traffico fluido Nord</v>
      </c>
      <c r="C982" t="str">
        <f>VLOOKUP(F982,'EXPORT IRIS PROD 13-11-2024'!F:F,1,0)</f>
        <v>MISURA_FUORI_SOGLIA_NO_INFERIORE_SUPERATA_TRAFFICO_FLUIDO_NORD</v>
      </c>
      <c r="D982" t="str">
        <f>VLOOKUP(G982,'EXPORT IRIS PROD 13-11-2024'!D:D,1,0)</f>
        <v>Misura fuori soglia NO inferiore superata traffico fluido Nord</v>
      </c>
      <c r="E982" s="37" t="s">
        <v>85</v>
      </c>
      <c r="F982" s="38" t="s">
        <v>1764</v>
      </c>
      <c r="G982" s="45" t="s">
        <v>1765</v>
      </c>
      <c r="H982" s="46" t="s">
        <v>50</v>
      </c>
      <c r="I982" s="46" t="s">
        <v>1615</v>
      </c>
      <c r="J982" s="40" t="s">
        <v>21</v>
      </c>
      <c r="K982" s="41" t="s">
        <v>22</v>
      </c>
      <c r="L982" s="42" t="s">
        <v>23</v>
      </c>
      <c r="M982" s="43" t="s">
        <v>24</v>
      </c>
      <c r="N982" s="42" t="s">
        <v>25</v>
      </c>
      <c r="O982" s="42" t="s">
        <v>21</v>
      </c>
      <c r="P982" s="44"/>
    </row>
    <row r="983" spans="1:16" x14ac:dyDescent="0.25">
      <c r="A983" t="str">
        <f t="shared" si="15"/>
        <v>MISURA_FUORI_SOGLIA_OP_INFERIORE_SUPERATA_TRAFFICO_CONGESTIONATO_NORD-Misura fuori soglia OP inferiore superata traffico congestionato Nord</v>
      </c>
      <c r="B983" t="str">
        <f>VLOOKUP(A983,'EXPORT IRIS PROD 13-11-2024'!A:A,1,0)</f>
        <v>MISURA_FUORI_SOGLIA_OP_INFERIORE_SUPERATA_TRAFFICO_CONGESTIONATO_NORD-Misura fuori soglia OP inferiore superata traffico congestionato Nord</v>
      </c>
      <c r="C983" t="str">
        <f>VLOOKUP(F983,'EXPORT IRIS PROD 13-11-2024'!F:F,1,0)</f>
        <v>MISURA_FUORI_SOGLIA_OP_INFERIORE_SUPERATA_TRAFFICO_CONGESTIONATO_NORD</v>
      </c>
      <c r="D983" t="str">
        <f>VLOOKUP(G983,'EXPORT IRIS PROD 13-11-2024'!D:D,1,0)</f>
        <v>Misura fuori soglia OP inferiore superata traffico congestionato Nord</v>
      </c>
      <c r="E983" s="37" t="s">
        <v>85</v>
      </c>
      <c r="F983" s="38" t="s">
        <v>1766</v>
      </c>
      <c r="G983" s="45" t="s">
        <v>1767</v>
      </c>
      <c r="H983" s="46" t="s">
        <v>50</v>
      </c>
      <c r="I983" s="46" t="s">
        <v>1768</v>
      </c>
      <c r="J983" s="40" t="s">
        <v>21</v>
      </c>
      <c r="K983" s="41" t="s">
        <v>22</v>
      </c>
      <c r="L983" s="42" t="s">
        <v>23</v>
      </c>
      <c r="M983" s="43" t="s">
        <v>24</v>
      </c>
      <c r="N983" s="42" t="s">
        <v>25</v>
      </c>
      <c r="O983" s="42" t="s">
        <v>21</v>
      </c>
      <c r="P983" s="44"/>
    </row>
    <row r="984" spans="1:16" x14ac:dyDescent="0.25">
      <c r="A984" t="str">
        <f t="shared" si="15"/>
        <v>MISURA_FUORI_SOGLIA_OP_INFERIORE_SUPERATA_TRAFFICO_CONGESTIONATO_SUD-Misura fuori soglia OP inferiore superata traffico congestionato Sud</v>
      </c>
      <c r="B984" t="str">
        <f>VLOOKUP(A984,'EXPORT IRIS PROD 13-11-2024'!A:A,1,0)</f>
        <v>MISURA_FUORI_SOGLIA_OP_INFERIORE_SUPERATA_TRAFFICO_CONGESTIONATO_SUD-Misura fuori soglia OP inferiore superata traffico congestionato Sud</v>
      </c>
      <c r="C984" t="str">
        <f>VLOOKUP(F984,'EXPORT IRIS PROD 13-11-2024'!F:F,1,0)</f>
        <v>MISURA_FUORI_SOGLIA_OP_INFERIORE_SUPERATA_TRAFFICO_CONGESTIONATO_SUD</v>
      </c>
      <c r="D984" t="str">
        <f>VLOOKUP(G984,'EXPORT IRIS PROD 13-11-2024'!D:D,1,0)</f>
        <v>Misura fuori soglia OP inferiore superata traffico congestionato Sud</v>
      </c>
      <c r="E984" s="37" t="s">
        <v>85</v>
      </c>
      <c r="F984" s="38" t="s">
        <v>1769</v>
      </c>
      <c r="G984" s="45" t="s">
        <v>1770</v>
      </c>
      <c r="H984" s="46" t="s">
        <v>50</v>
      </c>
      <c r="I984" s="46" t="s">
        <v>1768</v>
      </c>
      <c r="J984" s="40" t="s">
        <v>21</v>
      </c>
      <c r="K984" s="41" t="s">
        <v>22</v>
      </c>
      <c r="L984" s="42" t="s">
        <v>23</v>
      </c>
      <c r="M984" s="43" t="s">
        <v>24</v>
      </c>
      <c r="N984" s="42" t="s">
        <v>25</v>
      </c>
      <c r="O984" s="42" t="s">
        <v>21</v>
      </c>
      <c r="P984" s="44"/>
    </row>
    <row r="985" spans="1:16" x14ac:dyDescent="0.25">
      <c r="A985" t="str">
        <f t="shared" si="15"/>
        <v>MISURA_FUORI_SOGLIA_OP_INFERIORE_SUPERATA_TRAFFICO_FLUIDO_NORD-Misura fuori soglia OP inferiore superata traffico fluido Nord</v>
      </c>
      <c r="B985" t="str">
        <f>VLOOKUP(A985,'EXPORT IRIS PROD 13-11-2024'!A:A,1,0)</f>
        <v>MISURA_FUORI_SOGLIA_OP_INFERIORE_SUPERATA_TRAFFICO_FLUIDO_NORD-Misura fuori soglia OP inferiore superata traffico fluido Nord</v>
      </c>
      <c r="C985" t="str">
        <f>VLOOKUP(F985,'EXPORT IRIS PROD 13-11-2024'!F:F,1,0)</f>
        <v>MISURA_FUORI_SOGLIA_OP_INFERIORE_SUPERATA_TRAFFICO_FLUIDO_NORD</v>
      </c>
      <c r="D985" t="str">
        <f>VLOOKUP(G985,'EXPORT IRIS PROD 13-11-2024'!D:D,1,0)</f>
        <v>Misura fuori soglia OP inferiore superata traffico fluido Nord</v>
      </c>
      <c r="E985" s="37" t="s">
        <v>85</v>
      </c>
      <c r="F985" s="38" t="s">
        <v>1771</v>
      </c>
      <c r="G985" s="45" t="s">
        <v>1772</v>
      </c>
      <c r="H985" s="46" t="s">
        <v>50</v>
      </c>
      <c r="I985" s="46" t="s">
        <v>1768</v>
      </c>
      <c r="J985" s="40" t="s">
        <v>21</v>
      </c>
      <c r="K985" s="41" t="s">
        <v>22</v>
      </c>
      <c r="L985" s="42" t="s">
        <v>23</v>
      </c>
      <c r="M985" s="43" t="s">
        <v>24</v>
      </c>
      <c r="N985" s="42" t="s">
        <v>25</v>
      </c>
      <c r="O985" s="42" t="s">
        <v>21</v>
      </c>
      <c r="P985" s="44"/>
    </row>
    <row r="986" spans="1:16" x14ac:dyDescent="0.25">
      <c r="A986" t="str">
        <f t="shared" si="15"/>
        <v>MISURA_FUORI_SOGLIA_OP_INFERIORE_SUPERATA_TRAFFICO_FLUIDO_SUD-Misura fuori soglia OP inferiore superata traffico fluido Sud</v>
      </c>
      <c r="B986" t="str">
        <f>VLOOKUP(A986,'EXPORT IRIS PROD 13-11-2024'!A:A,1,0)</f>
        <v>MISURA_FUORI_SOGLIA_OP_INFERIORE_SUPERATA_TRAFFICO_FLUIDO_SUD-Misura fuori soglia OP inferiore superata traffico fluido Sud</v>
      </c>
      <c r="C986" t="str">
        <f>VLOOKUP(F986,'EXPORT IRIS PROD 13-11-2024'!F:F,1,0)</f>
        <v>MISURA_FUORI_SOGLIA_OP_INFERIORE_SUPERATA_TRAFFICO_FLUIDO_SUD</v>
      </c>
      <c r="D986" t="str">
        <f>VLOOKUP(G986,'EXPORT IRIS PROD 13-11-2024'!D:D,1,0)</f>
        <v>Misura fuori soglia OP inferiore superata traffico fluido Sud</v>
      </c>
      <c r="E986" s="37" t="s">
        <v>85</v>
      </c>
      <c r="F986" s="38" t="s">
        <v>1773</v>
      </c>
      <c r="G986" s="45" t="s">
        <v>1774</v>
      </c>
      <c r="H986" s="46" t="s">
        <v>50</v>
      </c>
      <c r="I986" s="46" t="s">
        <v>1768</v>
      </c>
      <c r="J986" s="40" t="s">
        <v>21</v>
      </c>
      <c r="K986" s="41" t="s">
        <v>22</v>
      </c>
      <c r="L986" s="42" t="s">
        <v>23</v>
      </c>
      <c r="M986" s="43" t="s">
        <v>24</v>
      </c>
      <c r="N986" s="42" t="s">
        <v>25</v>
      </c>
      <c r="O986" s="42" t="s">
        <v>21</v>
      </c>
      <c r="P986" s="44"/>
    </row>
    <row r="987" spans="1:16" x14ac:dyDescent="0.25">
      <c r="A987" t="str">
        <f t="shared" si="15"/>
        <v>PEDONE_CORSIA_LENTA-Allarme pedone corsia lenta</v>
      </c>
      <c r="B987" t="str">
        <f>VLOOKUP(A987,'EXPORT IRIS PROD 13-11-2024'!A:A,1,0)</f>
        <v>PEDONE_CORSIA_LENTA-Allarme pedone corsia lenta</v>
      </c>
      <c r="C987" t="str">
        <f>VLOOKUP(F987,'EXPORT IRIS PROD 13-11-2024'!F:F,1,0)</f>
        <v>PEDONE_CORSIA_LENTA</v>
      </c>
      <c r="D987" t="str">
        <f>VLOOKUP(G987,'EXPORT IRIS PROD 13-11-2024'!D:D,1,0)</f>
        <v>Allarme pedone corsia lenta</v>
      </c>
      <c r="E987" s="37" t="s">
        <v>471</v>
      </c>
      <c r="F987" s="38" t="s">
        <v>1775</v>
      </c>
      <c r="G987" s="38" t="s">
        <v>1776</v>
      </c>
      <c r="H987" s="39" t="s">
        <v>1337</v>
      </c>
      <c r="I987" s="39" t="s">
        <v>1321</v>
      </c>
      <c r="J987" s="40" t="s">
        <v>31</v>
      </c>
      <c r="K987" s="41" t="s">
        <v>32</v>
      </c>
      <c r="L987" s="43">
        <v>1</v>
      </c>
      <c r="M987" s="43" t="s">
        <v>33</v>
      </c>
      <c r="N987" s="42" t="s">
        <v>34</v>
      </c>
      <c r="O987" s="42" t="s">
        <v>31</v>
      </c>
      <c r="P987" s="44"/>
    </row>
    <row r="988" spans="1:16" x14ac:dyDescent="0.25">
      <c r="A988" t="str">
        <f t="shared" si="15"/>
        <v>PEDONE_CORSIA_MARCIA_NORD-Allarme pedone corsia di marcia nord</v>
      </c>
      <c r="B988" t="str">
        <f>VLOOKUP(A988,'EXPORT IRIS PROD 13-11-2024'!A:A,1,0)</f>
        <v>PEDONE_CORSIA_MARCIA_NORD-Allarme pedone corsia di marcia nord</v>
      </c>
      <c r="C988" t="str">
        <f>VLOOKUP(F988,'EXPORT IRIS PROD 13-11-2024'!F:F,1,0)</f>
        <v>PEDONE_CORSIA_MARCIA_NORD</v>
      </c>
      <c r="D988" t="str">
        <f>VLOOKUP(G988,'EXPORT IRIS PROD 13-11-2024'!D:D,1,0)</f>
        <v>Allarme pedone corsia di marcia nord</v>
      </c>
      <c r="E988" s="37" t="s">
        <v>471</v>
      </c>
      <c r="F988" s="38" t="s">
        <v>1777</v>
      </c>
      <c r="G988" s="45" t="s">
        <v>1778</v>
      </c>
      <c r="H988" s="46" t="s">
        <v>1337</v>
      </c>
      <c r="I988" s="46" t="s">
        <v>1321</v>
      </c>
      <c r="J988" s="47" t="s">
        <v>31</v>
      </c>
      <c r="K988" s="48" t="s">
        <v>32</v>
      </c>
      <c r="L988" s="43">
        <v>1</v>
      </c>
      <c r="M988" s="43" t="s">
        <v>33</v>
      </c>
      <c r="N988" s="43" t="s">
        <v>34</v>
      </c>
      <c r="O988" s="43" t="s">
        <v>31</v>
      </c>
      <c r="P988" s="44"/>
    </row>
    <row r="989" spans="1:16" x14ac:dyDescent="0.25">
      <c r="A989" t="str">
        <f t="shared" si="15"/>
        <v>PEDONE_CORSIA_MARCIA_NORD-Allarme pedone corsia di marcia nord</v>
      </c>
      <c r="B989" t="str">
        <f>VLOOKUP(A989,'EXPORT IRIS PROD 13-11-2024'!A:A,1,0)</f>
        <v>PEDONE_CORSIA_MARCIA_NORD-Allarme pedone corsia di marcia nord</v>
      </c>
      <c r="C989" t="str">
        <f>VLOOKUP(F989,'EXPORT IRIS PROD 13-11-2024'!F:F,1,0)</f>
        <v>PEDONE_CORSIA_MARCIA_NORD</v>
      </c>
      <c r="D989" t="str">
        <f>VLOOKUP(G989,'EXPORT IRIS PROD 13-11-2024'!D:D,1,0)</f>
        <v>Allarme pedone corsia di marcia nord</v>
      </c>
      <c r="E989" s="37" t="s">
        <v>471</v>
      </c>
      <c r="F989" s="38" t="s">
        <v>1777</v>
      </c>
      <c r="G989" s="45" t="s">
        <v>1778</v>
      </c>
      <c r="H989" s="46" t="s">
        <v>1337</v>
      </c>
      <c r="I989" s="46" t="s">
        <v>1321</v>
      </c>
      <c r="J989" s="47" t="s">
        <v>31</v>
      </c>
      <c r="K989" s="48" t="s">
        <v>32</v>
      </c>
      <c r="L989" s="43">
        <v>1</v>
      </c>
      <c r="M989" s="43" t="s">
        <v>33</v>
      </c>
      <c r="N989" s="43" t="s">
        <v>34</v>
      </c>
      <c r="O989" s="43" t="s">
        <v>31</v>
      </c>
      <c r="P989" s="44"/>
    </row>
    <row r="990" spans="1:16" x14ac:dyDescent="0.25">
      <c r="A990" t="str">
        <f t="shared" si="15"/>
        <v>PEDONE_CORSIA_MARCIA_SUD-Allarme pedone corsia di marcia sud</v>
      </c>
      <c r="B990" t="str">
        <f>VLOOKUP(A990,'EXPORT IRIS PROD 13-11-2024'!A:A,1,0)</f>
        <v>PEDONE_CORSIA_MARCIA_SUD-Allarme pedone corsia di marcia sud</v>
      </c>
      <c r="C990" t="str">
        <f>VLOOKUP(F990,'EXPORT IRIS PROD 13-11-2024'!F:F,1,0)</f>
        <v>PEDONE_CORSIA_MARCIA_SUD</v>
      </c>
      <c r="D990" t="str">
        <f>VLOOKUP(G990,'EXPORT IRIS PROD 13-11-2024'!D:D,1,0)</f>
        <v>Allarme pedone corsia di marcia sud</v>
      </c>
      <c r="E990" s="37" t="s">
        <v>471</v>
      </c>
      <c r="F990" s="38" t="s">
        <v>1779</v>
      </c>
      <c r="G990" s="45" t="s">
        <v>1780</v>
      </c>
      <c r="H990" s="46" t="s">
        <v>1337</v>
      </c>
      <c r="I990" s="46" t="s">
        <v>1338</v>
      </c>
      <c r="J990" s="47" t="s">
        <v>31</v>
      </c>
      <c r="K990" s="48" t="s">
        <v>32</v>
      </c>
      <c r="L990" s="43">
        <v>1</v>
      </c>
      <c r="M990" s="43" t="s">
        <v>33</v>
      </c>
      <c r="N990" s="43" t="s">
        <v>34</v>
      </c>
      <c r="O990" s="43" t="s">
        <v>31</v>
      </c>
      <c r="P990" s="44"/>
    </row>
    <row r="991" spans="1:16" x14ac:dyDescent="0.25">
      <c r="A991" t="str">
        <f t="shared" si="15"/>
        <v>PEDONE_CORSIA_MARCIA_SUD-Allarme pedone corsia di marcia sud</v>
      </c>
      <c r="B991" t="str">
        <f>VLOOKUP(A991,'EXPORT IRIS PROD 13-11-2024'!A:A,1,0)</f>
        <v>PEDONE_CORSIA_MARCIA_SUD-Allarme pedone corsia di marcia sud</v>
      </c>
      <c r="C991" t="str">
        <f>VLOOKUP(F991,'EXPORT IRIS PROD 13-11-2024'!F:F,1,0)</f>
        <v>PEDONE_CORSIA_MARCIA_SUD</v>
      </c>
      <c r="D991" t="str">
        <f>VLOOKUP(G991,'EXPORT IRIS PROD 13-11-2024'!D:D,1,0)</f>
        <v>Allarme pedone corsia di marcia sud</v>
      </c>
      <c r="E991" s="37" t="s">
        <v>471</v>
      </c>
      <c r="F991" s="38" t="s">
        <v>1779</v>
      </c>
      <c r="G991" s="45" t="s">
        <v>1780</v>
      </c>
      <c r="H991" s="46" t="s">
        <v>1337</v>
      </c>
      <c r="I991" s="46" t="s">
        <v>1321</v>
      </c>
      <c r="J991" s="47" t="s">
        <v>31</v>
      </c>
      <c r="K991" s="48" t="s">
        <v>32</v>
      </c>
      <c r="L991" s="43">
        <v>1</v>
      </c>
      <c r="M991" s="43" t="s">
        <v>33</v>
      </c>
      <c r="N991" s="43" t="s">
        <v>34</v>
      </c>
      <c r="O991" s="43" t="s">
        <v>31</v>
      </c>
      <c r="P991" s="44"/>
    </row>
    <row r="992" spans="1:16" x14ac:dyDescent="0.25">
      <c r="A992" t="str">
        <f t="shared" si="15"/>
        <v>PEDONE_DIR_NORD-Allarme presenza pedone direzione Nord</v>
      </c>
      <c r="B992" t="str">
        <f>VLOOKUP(A992,'EXPORT IRIS PROD 13-11-2024'!A:A,1,0)</f>
        <v>PEDONE_DIR_NORD-Allarme presenza pedone direzione Nord</v>
      </c>
      <c r="C992" t="str">
        <f>VLOOKUP(F992,'EXPORT IRIS PROD 13-11-2024'!F:F,1,0)</f>
        <v>PEDONE_DIR_NORD</v>
      </c>
      <c r="D992" t="str">
        <f>VLOOKUP(G992,'EXPORT IRIS PROD 13-11-2024'!D:D,1,0)</f>
        <v>Allarme presenza pedone direzione Nord</v>
      </c>
      <c r="E992" s="37" t="s">
        <v>471</v>
      </c>
      <c r="F992" s="38" t="s">
        <v>1781</v>
      </c>
      <c r="G992" s="45" t="s">
        <v>1782</v>
      </c>
      <c r="H992" s="46" t="s">
        <v>1337</v>
      </c>
      <c r="I992" s="46" t="s">
        <v>1321</v>
      </c>
      <c r="J992" s="47" t="s">
        <v>31</v>
      </c>
      <c r="K992" s="48" t="s">
        <v>32</v>
      </c>
      <c r="L992" s="43">
        <v>1</v>
      </c>
      <c r="M992" s="43" t="s">
        <v>33</v>
      </c>
      <c r="N992" s="43" t="s">
        <v>34</v>
      </c>
      <c r="O992" s="43" t="s">
        <v>31</v>
      </c>
      <c r="P992" s="44"/>
    </row>
    <row r="993" spans="1:16" x14ac:dyDescent="0.25">
      <c r="A993" t="str">
        <f t="shared" si="15"/>
        <v>PEDONE_DIR_NORD-Allarme presenza pedone direzione Nord</v>
      </c>
      <c r="B993" t="str">
        <f>VLOOKUP(A993,'EXPORT IRIS PROD 13-11-2024'!A:A,1,0)</f>
        <v>PEDONE_DIR_NORD-Allarme presenza pedone direzione Nord</v>
      </c>
      <c r="C993" t="str">
        <f>VLOOKUP(F993,'EXPORT IRIS PROD 13-11-2024'!F:F,1,0)</f>
        <v>PEDONE_DIR_NORD</v>
      </c>
      <c r="D993" t="str">
        <f>VLOOKUP(G993,'EXPORT IRIS PROD 13-11-2024'!D:D,1,0)</f>
        <v>Allarme presenza pedone direzione Nord</v>
      </c>
      <c r="E993" s="37" t="s">
        <v>471</v>
      </c>
      <c r="F993" s="38" t="s">
        <v>1781</v>
      </c>
      <c r="G993" s="45" t="s">
        <v>1782</v>
      </c>
      <c r="H993" s="46" t="s">
        <v>1337</v>
      </c>
      <c r="I993" s="46" t="s">
        <v>1338</v>
      </c>
      <c r="J993" s="47" t="s">
        <v>31</v>
      </c>
      <c r="K993" s="48" t="s">
        <v>32</v>
      </c>
      <c r="L993" s="43">
        <v>1</v>
      </c>
      <c r="M993" s="43" t="s">
        <v>33</v>
      </c>
      <c r="N993" s="43" t="s">
        <v>34</v>
      </c>
      <c r="O993" s="43" t="s">
        <v>31</v>
      </c>
      <c r="P993" s="44"/>
    </row>
    <row r="994" spans="1:16" x14ac:dyDescent="0.25">
      <c r="A994" t="str">
        <f t="shared" si="15"/>
        <v>PEDONE_DIR_SUD-Allarme presenza pedone direzione Sud</v>
      </c>
      <c r="B994" t="str">
        <f>VLOOKUP(A994,'EXPORT IRIS PROD 13-11-2024'!A:A,1,0)</f>
        <v>PEDONE_DIR_SUD-Allarme presenza pedone direzione Sud</v>
      </c>
      <c r="C994" t="str">
        <f>VLOOKUP(F994,'EXPORT IRIS PROD 13-11-2024'!F:F,1,0)</f>
        <v>PEDONE_DIR_SUD</v>
      </c>
      <c r="D994" t="str">
        <f>VLOOKUP(G994,'EXPORT IRIS PROD 13-11-2024'!D:D,1,0)</f>
        <v>Allarme presenza pedone direzione Sud</v>
      </c>
      <c r="E994" s="37" t="s">
        <v>471</v>
      </c>
      <c r="F994" s="38" t="s">
        <v>1783</v>
      </c>
      <c r="G994" s="45" t="s">
        <v>1784</v>
      </c>
      <c r="H994" s="46" t="s">
        <v>1337</v>
      </c>
      <c r="I994" s="46" t="s">
        <v>1321</v>
      </c>
      <c r="J994" s="47" t="s">
        <v>31</v>
      </c>
      <c r="K994" s="48" t="s">
        <v>32</v>
      </c>
      <c r="L994" s="43">
        <v>1</v>
      </c>
      <c r="M994" s="43" t="s">
        <v>33</v>
      </c>
      <c r="N994" s="43" t="s">
        <v>34</v>
      </c>
      <c r="O994" s="43" t="s">
        <v>31</v>
      </c>
      <c r="P994" s="44"/>
    </row>
    <row r="995" spans="1:16" x14ac:dyDescent="0.25">
      <c r="A995" t="str">
        <f t="shared" si="15"/>
        <v>PEDONE_DIR_SUD-Allarme presenza pedone direzione Sud</v>
      </c>
      <c r="B995" t="str">
        <f>VLOOKUP(A995,'EXPORT IRIS PROD 13-11-2024'!A:A,1,0)</f>
        <v>PEDONE_DIR_SUD-Allarme presenza pedone direzione Sud</v>
      </c>
      <c r="C995" t="str">
        <f>VLOOKUP(F995,'EXPORT IRIS PROD 13-11-2024'!F:F,1,0)</f>
        <v>PEDONE_DIR_SUD</v>
      </c>
      <c r="D995" t="str">
        <f>VLOOKUP(G995,'EXPORT IRIS PROD 13-11-2024'!D:D,1,0)</f>
        <v>Allarme presenza pedone direzione Sud</v>
      </c>
      <c r="E995" s="37" t="s">
        <v>471</v>
      </c>
      <c r="F995" s="38" t="s">
        <v>1783</v>
      </c>
      <c r="G995" s="45" t="s">
        <v>1784</v>
      </c>
      <c r="H995" s="46" t="s">
        <v>1337</v>
      </c>
      <c r="I995" s="46" t="s">
        <v>1338</v>
      </c>
      <c r="J995" s="47" t="s">
        <v>31</v>
      </c>
      <c r="K995" s="48" t="s">
        <v>32</v>
      </c>
      <c r="L995" s="43">
        <v>1</v>
      </c>
      <c r="M995" s="43" t="s">
        <v>33</v>
      </c>
      <c r="N995" s="43" t="s">
        <v>34</v>
      </c>
      <c r="O995" s="43" t="s">
        <v>31</v>
      </c>
      <c r="P995" s="44"/>
    </row>
    <row r="996" spans="1:16" x14ac:dyDescent="0.25">
      <c r="A996" t="str">
        <f t="shared" si="15"/>
        <v>PRE_ALLARME_INCENDIO_NORD-Preallarme incendio direzione nord</v>
      </c>
      <c r="B996" t="str">
        <f>VLOOKUP(A996,'EXPORT IRIS PROD 13-11-2024'!A:A,1,0)</f>
        <v>PRE_ALLARME_INCENDIO_NORD-Preallarme incendio direzione nord</v>
      </c>
      <c r="C996" t="str">
        <f>VLOOKUP(F996,'EXPORT IRIS PROD 13-11-2024'!F:F,1,0)</f>
        <v>PRE_ALLARME_INCENDIO_NORD</v>
      </c>
      <c r="D996" t="str">
        <f>VLOOKUP(G996,'EXPORT IRIS PROD 13-11-2024'!D:D,1,0)</f>
        <v>Preallarme incendio direzione nord</v>
      </c>
      <c r="E996" s="37" t="s">
        <v>47</v>
      </c>
      <c r="F996" s="38" t="s">
        <v>1785</v>
      </c>
      <c r="G996" s="45" t="s">
        <v>1786</v>
      </c>
      <c r="H996" s="46" t="s">
        <v>43</v>
      </c>
      <c r="I996" s="46" t="s">
        <v>394</v>
      </c>
      <c r="J996" s="47" t="s">
        <v>31</v>
      </c>
      <c r="K996" s="48" t="s">
        <v>32</v>
      </c>
      <c r="L996" s="43">
        <v>2</v>
      </c>
      <c r="M996" s="43" t="s">
        <v>45</v>
      </c>
      <c r="N996" s="43" t="s">
        <v>46</v>
      </c>
      <c r="O996" s="43" t="s">
        <v>31</v>
      </c>
      <c r="P996" s="49"/>
    </row>
    <row r="997" spans="1:16" x14ac:dyDescent="0.25">
      <c r="A997" t="str">
        <f t="shared" si="15"/>
        <v>PRE_ALLARME_INCENDIO_SUD-Preallarme incendio direzione sud</v>
      </c>
      <c r="B997" t="str">
        <f>VLOOKUP(A997,'EXPORT IRIS PROD 13-11-2024'!A:A,1,0)</f>
        <v>PRE_ALLARME_INCENDIO_SUD-Preallarme incendio direzione sud</v>
      </c>
      <c r="C997" t="str">
        <f>VLOOKUP(F997,'EXPORT IRIS PROD 13-11-2024'!F:F,1,0)</f>
        <v>PRE_ALLARME_INCENDIO_SUD</v>
      </c>
      <c r="D997" t="str">
        <f>VLOOKUP(G997,'EXPORT IRIS PROD 13-11-2024'!D:D,1,0)</f>
        <v>Preallarme incendio direzione sud</v>
      </c>
      <c r="E997" s="37" t="s">
        <v>47</v>
      </c>
      <c r="F997" s="38" t="s">
        <v>1787</v>
      </c>
      <c r="G997" s="45" t="s">
        <v>1788</v>
      </c>
      <c r="H997" s="46" t="s">
        <v>43</v>
      </c>
      <c r="I997" s="46" t="s">
        <v>394</v>
      </c>
      <c r="J997" s="47" t="s">
        <v>31</v>
      </c>
      <c r="K997" s="48" t="s">
        <v>32</v>
      </c>
      <c r="L997" s="43">
        <v>2</v>
      </c>
      <c r="M997" s="43" t="s">
        <v>45</v>
      </c>
      <c r="N997" s="43" t="s">
        <v>46</v>
      </c>
      <c r="O997" s="43" t="s">
        <v>31</v>
      </c>
      <c r="P997" s="49"/>
    </row>
    <row r="998" spans="1:16" x14ac:dyDescent="0.25">
      <c r="A998" t="str">
        <f t="shared" si="15"/>
        <v>PRE_ALR_CENTRALINA-Preallarme centralina</v>
      </c>
      <c r="B998" t="str">
        <f>VLOOKUP(A998,'EXPORT IRIS PROD 13-11-2024'!A:A,1,0)</f>
        <v>PRE_ALR_CENTRALINA-Preallarme centralina</v>
      </c>
      <c r="C998" t="str">
        <f>VLOOKUP(F998,'EXPORT IRIS PROD 13-11-2024'!F:F,1,0)</f>
        <v>PRE_ALR_CENTRALINA</v>
      </c>
      <c r="D998" t="str">
        <f>VLOOKUP(G998,'EXPORT IRIS PROD 13-11-2024'!D:D,1,0)</f>
        <v>Preallarme centralina</v>
      </c>
      <c r="E998" s="37" t="s">
        <v>35</v>
      </c>
      <c r="F998" s="38" t="s">
        <v>1789</v>
      </c>
      <c r="G998" s="38" t="s">
        <v>1790</v>
      </c>
      <c r="H998" s="39" t="s">
        <v>38</v>
      </c>
      <c r="I998" s="39" t="s">
        <v>130</v>
      </c>
      <c r="J998" s="40" t="s">
        <v>21</v>
      </c>
      <c r="K998" s="41" t="s">
        <v>22</v>
      </c>
      <c r="L998" s="42" t="s">
        <v>23</v>
      </c>
      <c r="M998" s="43" t="s">
        <v>24</v>
      </c>
      <c r="N998" s="42" t="s">
        <v>25</v>
      </c>
      <c r="O998" s="42" t="s">
        <v>21</v>
      </c>
      <c r="P998" s="44"/>
    </row>
    <row r="999" spans="1:16" x14ac:dyDescent="0.25">
      <c r="A999" t="str">
        <f t="shared" si="15"/>
        <v>PREALLARME_CENTRALINA_FAULT-Preallarme centralina termometrica trasformatore</v>
      </c>
      <c r="B999" t="str">
        <f>VLOOKUP(A999,'EXPORT IRIS PROD 13-11-2024'!A:A,1,0)</f>
        <v>PREALLARME_CENTRALINA_FAULT-Preallarme centralina termometrica trasformatore</v>
      </c>
      <c r="C999" t="str">
        <f>VLOOKUP(F999,'EXPORT IRIS PROD 13-11-2024'!F:F,1,0)</f>
        <v>PREALLARME_CENTRALINA_FAULT</v>
      </c>
      <c r="D999" t="str">
        <f>VLOOKUP(G999,'EXPORT IRIS PROD 13-11-2024'!D:D,1,0)</f>
        <v>Preallarme centralina termometrica trasformatore</v>
      </c>
      <c r="E999" s="37" t="s">
        <v>53</v>
      </c>
      <c r="F999" s="38" t="s">
        <v>1791</v>
      </c>
      <c r="G999" s="45" t="s">
        <v>1792</v>
      </c>
      <c r="H999" s="46" t="s">
        <v>1106</v>
      </c>
      <c r="I999" s="46" t="s">
        <v>208</v>
      </c>
      <c r="J999" s="40" t="s">
        <v>21</v>
      </c>
      <c r="K999" s="41" t="s">
        <v>22</v>
      </c>
      <c r="L999" s="42" t="s">
        <v>23</v>
      </c>
      <c r="M999" s="43" t="s">
        <v>24</v>
      </c>
      <c r="N999" s="42" t="s">
        <v>25</v>
      </c>
      <c r="O999" s="42" t="s">
        <v>21</v>
      </c>
      <c r="P999" s="44"/>
    </row>
    <row r="1000" spans="1:16" x14ac:dyDescent="0.25">
      <c r="A1000" t="str">
        <f t="shared" si="15"/>
        <v>PREALLARME_VIBRA_BASAMENTO-Preallarme vibrazioni basamento</v>
      </c>
      <c r="B1000" t="str">
        <f>VLOOKUP(A1000,'EXPORT IRIS PROD 13-11-2024'!A:A,1,0)</f>
        <v>PREALLARME_VIBRA_BASAMENTO-Preallarme vibrazioni basamento</v>
      </c>
      <c r="C1000" t="str">
        <f>VLOOKUP(F1000,'EXPORT IRIS PROD 13-11-2024'!F:F,1,0)</f>
        <v>PREALLARME_VIBRA_BASAMENTO</v>
      </c>
      <c r="D1000" t="str">
        <f>VLOOKUP(G1000,'EXPORT IRIS PROD 13-11-2024'!D:D,1,0)</f>
        <v>Preallarme vibrazioni basamento</v>
      </c>
      <c r="E1000" s="37" t="s">
        <v>85</v>
      </c>
      <c r="F1000" s="38" t="s">
        <v>1793</v>
      </c>
      <c r="G1000" s="45" t="s">
        <v>1794</v>
      </c>
      <c r="H1000" s="46" t="s">
        <v>50</v>
      </c>
      <c r="I1000" s="46" t="s">
        <v>1639</v>
      </c>
      <c r="J1000" s="40" t="s">
        <v>21</v>
      </c>
      <c r="K1000" s="41" t="s">
        <v>22</v>
      </c>
      <c r="L1000" s="42" t="s">
        <v>23</v>
      </c>
      <c r="M1000" s="43" t="s">
        <v>24</v>
      </c>
      <c r="N1000" s="42" t="s">
        <v>25</v>
      </c>
      <c r="O1000" s="42" t="s">
        <v>21</v>
      </c>
      <c r="P1000" s="44"/>
    </row>
    <row r="1001" spans="1:16" x14ac:dyDescent="0.25">
      <c r="A1001" t="str">
        <f t="shared" si="15"/>
        <v>PREALLARME_VIBRA_CARCASSA-Preallarme vibrazioni carcassa</v>
      </c>
      <c r="B1001" t="str">
        <f>VLOOKUP(A1001,'EXPORT IRIS PROD 13-11-2024'!A:A,1,0)</f>
        <v>PREALLARME_VIBRA_CARCASSA-Preallarme vibrazioni carcassa</v>
      </c>
      <c r="C1001" t="str">
        <f>VLOOKUP(F1001,'EXPORT IRIS PROD 13-11-2024'!F:F,1,0)</f>
        <v>PREALLARME_VIBRA_CARCASSA</v>
      </c>
      <c r="D1001" t="str">
        <f>VLOOKUP(G1001,'EXPORT IRIS PROD 13-11-2024'!D:D,1,0)</f>
        <v>Preallarme vibrazioni carcassa</v>
      </c>
      <c r="E1001" s="37" t="s">
        <v>85</v>
      </c>
      <c r="F1001" s="38" t="s">
        <v>1795</v>
      </c>
      <c r="G1001" s="45" t="s">
        <v>1796</v>
      </c>
      <c r="H1001" s="46" t="s">
        <v>50</v>
      </c>
      <c r="I1001" s="46" t="s">
        <v>1639</v>
      </c>
      <c r="J1001" s="40" t="s">
        <v>21</v>
      </c>
      <c r="K1001" s="41" t="s">
        <v>22</v>
      </c>
      <c r="L1001" s="42" t="s">
        <v>23</v>
      </c>
      <c r="M1001" s="43" t="s">
        <v>24</v>
      </c>
      <c r="N1001" s="42" t="s">
        <v>25</v>
      </c>
      <c r="O1001" s="42" t="s">
        <v>21</v>
      </c>
      <c r="P1001" s="44"/>
    </row>
    <row r="1002" spans="1:16" x14ac:dyDescent="0.25">
      <c r="A1002" t="str">
        <f t="shared" si="15"/>
        <v>SCATTO_TERMICO_SCT-Allarme scatto protezione magnetotermica</v>
      </c>
      <c r="B1002" t="str">
        <f>VLOOKUP(A1002,'EXPORT IRIS PROD 13-11-2024'!A:A,1,0)</f>
        <v>SCATTO_TERMICO_SCT-Allarme scatto protezione magnetotermica</v>
      </c>
      <c r="C1002" t="str">
        <f>VLOOKUP(F1002,'EXPORT IRIS PROD 13-11-2024'!F:F,1,0)</f>
        <v>SCATTO_TERMICO_SCT</v>
      </c>
      <c r="D1002" t="str">
        <f>VLOOKUP(G1002,'EXPORT IRIS PROD 13-11-2024'!D:D,1,0)</f>
        <v>Allarme scatto protezione magnetotermica</v>
      </c>
      <c r="E1002" s="37" t="s">
        <v>53</v>
      </c>
      <c r="F1002" s="38" t="s">
        <v>1797</v>
      </c>
      <c r="G1002" s="45" t="s">
        <v>467</v>
      </c>
      <c r="H1002" s="46" t="s">
        <v>1106</v>
      </c>
      <c r="I1002" s="46" t="s">
        <v>355</v>
      </c>
      <c r="J1002" s="40" t="s">
        <v>21</v>
      </c>
      <c r="K1002" s="41" t="s">
        <v>22</v>
      </c>
      <c r="L1002" s="42" t="s">
        <v>23</v>
      </c>
      <c r="M1002" s="43" t="s">
        <v>24</v>
      </c>
      <c r="N1002" s="42" t="s">
        <v>25</v>
      </c>
      <c r="O1002" s="42" t="s">
        <v>21</v>
      </c>
      <c r="P1002" s="44"/>
    </row>
    <row r="1003" spans="1:16" x14ac:dyDescent="0.25">
      <c r="A1003" t="str">
        <f t="shared" si="15"/>
        <v>SCATTO_TERMICO_SCT-Allarme scatto protezione magnetotermica</v>
      </c>
      <c r="B1003" t="str">
        <f>VLOOKUP(A1003,'EXPORT IRIS PROD 13-11-2024'!A:A,1,0)</f>
        <v>SCATTO_TERMICO_SCT-Allarme scatto protezione magnetotermica</v>
      </c>
      <c r="C1003" t="str">
        <f>VLOOKUP(F1003,'EXPORT IRIS PROD 13-11-2024'!F:F,1,0)</f>
        <v>SCATTO_TERMICO_SCT</v>
      </c>
      <c r="D1003" t="str">
        <f>VLOOKUP(G1003,'EXPORT IRIS PROD 13-11-2024'!D:D,1,0)</f>
        <v>Allarme scatto protezione magnetotermica</v>
      </c>
      <c r="E1003" s="37" t="s">
        <v>85</v>
      </c>
      <c r="F1003" s="38" t="s">
        <v>1797</v>
      </c>
      <c r="G1003" s="45" t="s">
        <v>467</v>
      </c>
      <c r="H1003" s="46" t="s">
        <v>50</v>
      </c>
      <c r="I1003" s="46" t="s">
        <v>124</v>
      </c>
      <c r="J1003" s="40" t="s">
        <v>21</v>
      </c>
      <c r="K1003" s="41" t="s">
        <v>22</v>
      </c>
      <c r="L1003" s="42" t="s">
        <v>23</v>
      </c>
      <c r="M1003" s="43" t="s">
        <v>24</v>
      </c>
      <c r="N1003" s="42" t="s">
        <v>25</v>
      </c>
      <c r="O1003" s="42" t="s">
        <v>21</v>
      </c>
      <c r="P1003" s="44"/>
    </row>
    <row r="1004" spans="1:16" x14ac:dyDescent="0.25">
      <c r="A1004" t="str">
        <f t="shared" si="15"/>
        <v>SCATTO_TERMICO_SCT-Allarme scatto protezione magnetotermica</v>
      </c>
      <c r="B1004" t="str">
        <f>VLOOKUP(A1004,'EXPORT IRIS PROD 13-11-2024'!A:A,1,0)</f>
        <v>SCATTO_TERMICO_SCT-Allarme scatto protezione magnetotermica</v>
      </c>
      <c r="C1004" t="str">
        <f>VLOOKUP(F1004,'EXPORT IRIS PROD 13-11-2024'!F:F,1,0)</f>
        <v>SCATTO_TERMICO_SCT</v>
      </c>
      <c r="D1004" t="str">
        <f>VLOOKUP(G1004,'EXPORT IRIS PROD 13-11-2024'!D:D,1,0)</f>
        <v>Allarme scatto protezione magnetotermica</v>
      </c>
      <c r="E1004" s="37" t="s">
        <v>85</v>
      </c>
      <c r="F1004" s="38" t="s">
        <v>1797</v>
      </c>
      <c r="G1004" s="45" t="s">
        <v>467</v>
      </c>
      <c r="H1004" s="46" t="s">
        <v>50</v>
      </c>
      <c r="I1004" s="46" t="s">
        <v>275</v>
      </c>
      <c r="J1004" s="40" t="s">
        <v>21</v>
      </c>
      <c r="K1004" s="41" t="s">
        <v>22</v>
      </c>
      <c r="L1004" s="42" t="s">
        <v>23</v>
      </c>
      <c r="M1004" s="43" t="s">
        <v>24</v>
      </c>
      <c r="N1004" s="42" t="s">
        <v>25</v>
      </c>
      <c r="O1004" s="42" t="s">
        <v>21</v>
      </c>
      <c r="P1004" s="44"/>
    </row>
    <row r="1005" spans="1:16" x14ac:dyDescent="0.25">
      <c r="A1005" t="str">
        <f t="shared" si="15"/>
        <v>SCATTO_TERMICO_SCT-Allarme scatto protezione magnetotermica</v>
      </c>
      <c r="B1005" t="str">
        <f>VLOOKUP(A1005,'EXPORT IRIS PROD 13-11-2024'!A:A,1,0)</f>
        <v>SCATTO_TERMICO_SCT-Allarme scatto protezione magnetotermica</v>
      </c>
      <c r="C1005" t="str">
        <f>VLOOKUP(F1005,'EXPORT IRIS PROD 13-11-2024'!F:F,1,0)</f>
        <v>SCATTO_TERMICO_SCT</v>
      </c>
      <c r="D1005" t="str">
        <f>VLOOKUP(G1005,'EXPORT IRIS PROD 13-11-2024'!D:D,1,0)</f>
        <v>Allarme scatto protezione magnetotermica</v>
      </c>
      <c r="E1005" s="37" t="s">
        <v>85</v>
      </c>
      <c r="F1005" s="38" t="s">
        <v>1797</v>
      </c>
      <c r="G1005" s="45" t="s">
        <v>467</v>
      </c>
      <c r="H1005" s="46" t="s">
        <v>50</v>
      </c>
      <c r="I1005" s="46" t="s">
        <v>1798</v>
      </c>
      <c r="J1005" s="40" t="s">
        <v>21</v>
      </c>
      <c r="K1005" s="41" t="s">
        <v>22</v>
      </c>
      <c r="L1005" s="42" t="s">
        <v>23</v>
      </c>
      <c r="M1005" s="43" t="s">
        <v>24</v>
      </c>
      <c r="N1005" s="42" t="s">
        <v>25</v>
      </c>
      <c r="O1005" s="42" t="s">
        <v>21</v>
      </c>
      <c r="P1005" s="44"/>
    </row>
    <row r="1006" spans="1:16" x14ac:dyDescent="0.25">
      <c r="A1006" t="str">
        <f t="shared" si="15"/>
        <v>SERRANDA_IN_APERTURA_MEDIA-Allarme serranda in apertura media</v>
      </c>
      <c r="B1006" t="str">
        <f>VLOOKUP(A1006,'EXPORT IRIS PROD 13-11-2024'!A:A,1,0)</f>
        <v>SERRANDA_IN_APERTURA_MEDIA-Allarme serranda in apertura media</v>
      </c>
      <c r="C1006" t="str">
        <f>VLOOKUP(F1006,'EXPORT IRIS PROD 13-11-2024'!F:F,1,0)</f>
        <v>SERRANDA_IN_APERTURA_MEDIA</v>
      </c>
      <c r="D1006" t="str">
        <f>VLOOKUP(G1006,'EXPORT IRIS PROD 13-11-2024'!D:D,1,0)</f>
        <v>Allarme serranda in apertura media</v>
      </c>
      <c r="E1006" s="37" t="s">
        <v>576</v>
      </c>
      <c r="F1006" s="38" t="s">
        <v>1799</v>
      </c>
      <c r="G1006" s="45" t="s">
        <v>1800</v>
      </c>
      <c r="H1006" s="46" t="s">
        <v>1331</v>
      </c>
      <c r="I1006" s="46" t="s">
        <v>1294</v>
      </c>
      <c r="J1006" s="40" t="s">
        <v>21</v>
      </c>
      <c r="K1006" s="41" t="s">
        <v>22</v>
      </c>
      <c r="L1006" s="42" t="s">
        <v>23</v>
      </c>
      <c r="M1006" s="43" t="s">
        <v>24</v>
      </c>
      <c r="N1006" s="42" t="s">
        <v>25</v>
      </c>
      <c r="O1006" s="42" t="s">
        <v>21</v>
      </c>
      <c r="P1006" s="44"/>
    </row>
    <row r="1007" spans="1:16" x14ac:dyDescent="0.25">
      <c r="A1007" t="str">
        <f t="shared" si="15"/>
        <v>TELECAMERA_SPOSTATA-Allarme telecamera spostata</v>
      </c>
      <c r="B1007" t="str">
        <f>VLOOKUP(A1007,'EXPORT IRIS PROD 13-11-2024'!A:A,1,0)</f>
        <v>TELECAMERA_SPOSTATA-Allarme telecamera spostata</v>
      </c>
      <c r="C1007" t="str">
        <f>VLOOKUP(F1007,'EXPORT IRIS PROD 13-11-2024'!F:F,1,0)</f>
        <v>TELECAMERA_SPOSTATA</v>
      </c>
      <c r="D1007" t="str">
        <f>VLOOKUP(G1007,'EXPORT IRIS PROD 13-11-2024'!D:D,1,0)</f>
        <v>Allarme telecamera spostata</v>
      </c>
      <c r="E1007" s="37" t="s">
        <v>1017</v>
      </c>
      <c r="F1007" s="38" t="s">
        <v>1801</v>
      </c>
      <c r="G1007" s="45" t="s">
        <v>1802</v>
      </c>
      <c r="H1007" s="46" t="s">
        <v>1337</v>
      </c>
      <c r="I1007" s="46" t="s">
        <v>1338</v>
      </c>
      <c r="J1007" s="40" t="s">
        <v>31</v>
      </c>
      <c r="K1007" s="41" t="s">
        <v>32</v>
      </c>
      <c r="L1007" s="42">
        <v>4</v>
      </c>
      <c r="M1007" s="43" t="s">
        <v>157</v>
      </c>
      <c r="N1007" s="42" t="s">
        <v>158</v>
      </c>
      <c r="O1007" s="42" t="s">
        <v>21</v>
      </c>
      <c r="P1007" s="44"/>
    </row>
    <row r="1008" spans="1:16" x14ac:dyDescent="0.25">
      <c r="A1008" t="str">
        <f t="shared" si="15"/>
        <v>TELECAMERA_SPOSTATA-Allarme telecamera spostata</v>
      </c>
      <c r="B1008" t="str">
        <f>VLOOKUP(A1008,'EXPORT IRIS PROD 13-11-2024'!A:A,1,0)</f>
        <v>TELECAMERA_SPOSTATA-Allarme telecamera spostata</v>
      </c>
      <c r="C1008" t="str">
        <f>VLOOKUP(F1008,'EXPORT IRIS PROD 13-11-2024'!F:F,1,0)</f>
        <v>TELECAMERA_SPOSTATA</v>
      </c>
      <c r="D1008" t="str">
        <f>VLOOKUP(G1008,'EXPORT IRIS PROD 13-11-2024'!D:D,1,0)</f>
        <v>Allarme telecamera spostata</v>
      </c>
      <c r="E1008" s="37" t="s">
        <v>1017</v>
      </c>
      <c r="F1008" s="38" t="s">
        <v>1801</v>
      </c>
      <c r="G1008" s="45" t="s">
        <v>1802</v>
      </c>
      <c r="H1008" s="46" t="s">
        <v>1337</v>
      </c>
      <c r="I1008" s="46" t="s">
        <v>1321</v>
      </c>
      <c r="J1008" s="40" t="s">
        <v>31</v>
      </c>
      <c r="K1008" s="41" t="s">
        <v>32</v>
      </c>
      <c r="L1008" s="42">
        <v>4</v>
      </c>
      <c r="M1008" s="43" t="s">
        <v>157</v>
      </c>
      <c r="N1008" s="42" t="s">
        <v>158</v>
      </c>
      <c r="O1008" s="42" t="s">
        <v>21</v>
      </c>
      <c r="P1008" s="44"/>
    </row>
    <row r="1009" spans="1:16" x14ac:dyDescent="0.25">
      <c r="A1009" t="str">
        <f t="shared" si="15"/>
        <v>TELECAMERA_SPOSTATA_DIR_NORD-Allarme telecamera spostata dir. Nord</v>
      </c>
      <c r="B1009" t="str">
        <f>VLOOKUP(A1009,'EXPORT IRIS PROD 13-11-2024'!A:A,1,0)</f>
        <v>TELECAMERA_SPOSTATA_DIR_NORD-Allarme telecamera spostata dir. Nord</v>
      </c>
      <c r="C1009" t="str">
        <f>VLOOKUP(F1009,'EXPORT IRIS PROD 13-11-2024'!F:F,1,0)</f>
        <v>TELECAMERA_SPOSTATA_DIR_NORD</v>
      </c>
      <c r="D1009" t="str">
        <f>VLOOKUP(G1009,'EXPORT IRIS PROD 13-11-2024'!D:D,1,0)</f>
        <v>Allarme telecamera spostata dir. Nord</v>
      </c>
      <c r="E1009" s="37" t="s">
        <v>1017</v>
      </c>
      <c r="F1009" s="38" t="s">
        <v>1803</v>
      </c>
      <c r="G1009" s="45" t="s">
        <v>1804</v>
      </c>
      <c r="H1009" s="46" t="s">
        <v>1337</v>
      </c>
      <c r="I1009" s="46" t="s">
        <v>1338</v>
      </c>
      <c r="J1009" s="40" t="s">
        <v>31</v>
      </c>
      <c r="K1009" s="41" t="s">
        <v>32</v>
      </c>
      <c r="L1009" s="42">
        <v>4</v>
      </c>
      <c r="M1009" s="43" t="s">
        <v>157</v>
      </c>
      <c r="N1009" s="42" t="s">
        <v>158</v>
      </c>
      <c r="O1009" s="42" t="s">
        <v>21</v>
      </c>
      <c r="P1009" s="44"/>
    </row>
    <row r="1010" spans="1:16" x14ac:dyDescent="0.25">
      <c r="A1010" t="str">
        <f t="shared" si="15"/>
        <v>TELECAMERA_SPOSTATA_DIR_NORD-Allarme telecamera spostata dir. Nord</v>
      </c>
      <c r="B1010" t="str">
        <f>VLOOKUP(A1010,'EXPORT IRIS PROD 13-11-2024'!A:A,1,0)</f>
        <v>TELECAMERA_SPOSTATA_DIR_NORD-Allarme telecamera spostata dir. Nord</v>
      </c>
      <c r="C1010" t="str">
        <f>VLOOKUP(F1010,'EXPORT IRIS PROD 13-11-2024'!F:F,1,0)</f>
        <v>TELECAMERA_SPOSTATA_DIR_NORD</v>
      </c>
      <c r="D1010" t="str">
        <f>VLOOKUP(G1010,'EXPORT IRIS PROD 13-11-2024'!D:D,1,0)</f>
        <v>Allarme telecamera spostata dir. Nord</v>
      </c>
      <c r="E1010" s="37" t="s">
        <v>1017</v>
      </c>
      <c r="F1010" s="38" t="s">
        <v>1803</v>
      </c>
      <c r="G1010" s="45" t="s">
        <v>1804</v>
      </c>
      <c r="H1010" s="46" t="s">
        <v>1337</v>
      </c>
      <c r="I1010" s="46" t="s">
        <v>1321</v>
      </c>
      <c r="J1010" s="40" t="s">
        <v>31</v>
      </c>
      <c r="K1010" s="41" t="s">
        <v>32</v>
      </c>
      <c r="L1010" s="42">
        <v>4</v>
      </c>
      <c r="M1010" s="43" t="s">
        <v>157</v>
      </c>
      <c r="N1010" s="42" t="s">
        <v>158</v>
      </c>
      <c r="O1010" s="42" t="s">
        <v>21</v>
      </c>
      <c r="P1010" s="44"/>
    </row>
    <row r="1011" spans="1:16" x14ac:dyDescent="0.25">
      <c r="A1011" t="str">
        <f t="shared" si="15"/>
        <v>TELECAMERA_SPOSTATA_DIR_SUD-Allarme telecamera spostata dir. Sud</v>
      </c>
      <c r="B1011" t="str">
        <f>VLOOKUP(A1011,'EXPORT IRIS PROD 13-11-2024'!A:A,1,0)</f>
        <v>TELECAMERA_SPOSTATA_DIR_SUD-Allarme telecamera spostata dir. Sud</v>
      </c>
      <c r="C1011" t="str">
        <f>VLOOKUP(F1011,'EXPORT IRIS PROD 13-11-2024'!F:F,1,0)</f>
        <v>TELECAMERA_SPOSTATA_DIR_SUD</v>
      </c>
      <c r="D1011" t="str">
        <f>VLOOKUP(G1011,'EXPORT IRIS PROD 13-11-2024'!D:D,1,0)</f>
        <v>Allarme telecamera spostata dir. Sud</v>
      </c>
      <c r="E1011" s="37" t="s">
        <v>1017</v>
      </c>
      <c r="F1011" s="38" t="s">
        <v>1805</v>
      </c>
      <c r="G1011" s="45" t="s">
        <v>1806</v>
      </c>
      <c r="H1011" s="46" t="s">
        <v>1337</v>
      </c>
      <c r="I1011" s="46" t="s">
        <v>1338</v>
      </c>
      <c r="J1011" s="40" t="s">
        <v>31</v>
      </c>
      <c r="K1011" s="41" t="s">
        <v>32</v>
      </c>
      <c r="L1011" s="42">
        <v>4</v>
      </c>
      <c r="M1011" s="43" t="s">
        <v>157</v>
      </c>
      <c r="N1011" s="42" t="s">
        <v>158</v>
      </c>
      <c r="O1011" s="42" t="s">
        <v>21</v>
      </c>
      <c r="P1011" s="44"/>
    </row>
    <row r="1012" spans="1:16" x14ac:dyDescent="0.25">
      <c r="A1012" t="str">
        <f t="shared" si="15"/>
        <v>TELECAMERA_SPOSTATA_DIR_SUD-Allarme telecamera spostata dir. Sud</v>
      </c>
      <c r="B1012" t="str">
        <f>VLOOKUP(A1012,'EXPORT IRIS PROD 13-11-2024'!A:A,1,0)</f>
        <v>TELECAMERA_SPOSTATA_DIR_SUD-Allarme telecamera spostata dir. Sud</v>
      </c>
      <c r="C1012" t="str">
        <f>VLOOKUP(F1012,'EXPORT IRIS PROD 13-11-2024'!F:F,1,0)</f>
        <v>TELECAMERA_SPOSTATA_DIR_SUD</v>
      </c>
      <c r="D1012" t="str">
        <f>VLOOKUP(G1012,'EXPORT IRIS PROD 13-11-2024'!D:D,1,0)</f>
        <v>Allarme telecamera spostata dir. Sud</v>
      </c>
      <c r="E1012" s="37" t="s">
        <v>1017</v>
      </c>
      <c r="F1012" s="38" t="s">
        <v>1805</v>
      </c>
      <c r="G1012" s="45" t="s">
        <v>1806</v>
      </c>
      <c r="H1012" s="46" t="s">
        <v>1337</v>
      </c>
      <c r="I1012" s="46" t="s">
        <v>1321</v>
      </c>
      <c r="J1012" s="40" t="s">
        <v>31</v>
      </c>
      <c r="K1012" s="41" t="s">
        <v>32</v>
      </c>
      <c r="L1012" s="42">
        <v>4</v>
      </c>
      <c r="M1012" s="43" t="s">
        <v>157</v>
      </c>
      <c r="N1012" s="42" t="s">
        <v>158</v>
      </c>
      <c r="O1012" s="42" t="s">
        <v>21</v>
      </c>
      <c r="P1012" s="44"/>
    </row>
    <row r="1013" spans="1:16" x14ac:dyDescent="0.25">
      <c r="A1013" t="str">
        <f t="shared" si="15"/>
        <v>TRAFFICO_BLOCCATO_DIR_NORD-Allarme traffico bloccato direzione Nord</v>
      </c>
      <c r="B1013" t="str">
        <f>VLOOKUP(A1013,'EXPORT IRIS PROD 13-11-2024'!A:A,1,0)</f>
        <v>TRAFFICO_BLOCCATO_DIR_NORD-Allarme traffico bloccato direzione Nord</v>
      </c>
      <c r="C1013" t="str">
        <f>VLOOKUP(F1013,'EXPORT IRIS PROD 13-11-2024'!F:F,1,0)</f>
        <v>TRAFFICO_BLOCCATO_DIR_NORD</v>
      </c>
      <c r="D1013" t="str">
        <f>VLOOKUP(G1013,'EXPORT IRIS PROD 13-11-2024'!D:D,1,0)</f>
        <v>Allarme traffico bloccato direzione Nord</v>
      </c>
      <c r="E1013" s="37" t="s">
        <v>213</v>
      </c>
      <c r="F1013" s="38" t="s">
        <v>1807</v>
      </c>
      <c r="G1013" s="45" t="s">
        <v>1808</v>
      </c>
      <c r="H1013" s="46" t="s">
        <v>50</v>
      </c>
      <c r="I1013" s="46" t="s">
        <v>1809</v>
      </c>
      <c r="J1013" s="40" t="s">
        <v>31</v>
      </c>
      <c r="K1013" s="41" t="s">
        <v>32</v>
      </c>
      <c r="L1013" s="42">
        <v>2</v>
      </c>
      <c r="M1013" s="43" t="s">
        <v>33</v>
      </c>
      <c r="N1013" s="42" t="s">
        <v>34</v>
      </c>
      <c r="O1013" s="42" t="s">
        <v>31</v>
      </c>
      <c r="P1013" s="44"/>
    </row>
    <row r="1014" spans="1:16" x14ac:dyDescent="0.25">
      <c r="A1014" t="str">
        <f t="shared" si="15"/>
        <v>TRAFFICO_BLOCCATO_DIR_SUD-Allarme traffico bloccato direzione Sud</v>
      </c>
      <c r="B1014" t="str">
        <f>VLOOKUP(A1014,'EXPORT IRIS PROD 13-11-2024'!A:A,1,0)</f>
        <v>TRAFFICO_BLOCCATO_DIR_SUD-Allarme traffico bloccato direzione Sud</v>
      </c>
      <c r="C1014" t="str">
        <f>VLOOKUP(F1014,'EXPORT IRIS PROD 13-11-2024'!F:F,1,0)</f>
        <v>TRAFFICO_BLOCCATO_DIR_SUD</v>
      </c>
      <c r="D1014" t="str">
        <f>VLOOKUP(G1014,'EXPORT IRIS PROD 13-11-2024'!D:D,1,0)</f>
        <v>Allarme traffico bloccato direzione Sud</v>
      </c>
      <c r="E1014" s="37" t="s">
        <v>213</v>
      </c>
      <c r="F1014" s="38" t="s">
        <v>1810</v>
      </c>
      <c r="G1014" s="45" t="s">
        <v>1811</v>
      </c>
      <c r="H1014" s="46" t="s">
        <v>50</v>
      </c>
      <c r="I1014" s="46" t="s">
        <v>1809</v>
      </c>
      <c r="J1014" s="40" t="s">
        <v>31</v>
      </c>
      <c r="K1014" s="41" t="s">
        <v>32</v>
      </c>
      <c r="L1014" s="42">
        <v>2</v>
      </c>
      <c r="M1014" s="43" t="s">
        <v>33</v>
      </c>
      <c r="N1014" s="42" t="s">
        <v>34</v>
      </c>
      <c r="O1014" s="42" t="s">
        <v>31</v>
      </c>
      <c r="P1014" s="44"/>
    </row>
    <row r="1015" spans="1:16" customFormat="1" ht="15" customHeight="1" x14ac:dyDescent="0.25">
      <c r="A1015" t="str">
        <f t="shared" si="15"/>
        <v>VEICOLO_CONTROMANO_CORSIA_LENTA-Allarme veicolo contromano corsia lenta</v>
      </c>
      <c r="B1015" t="str">
        <f>VLOOKUP(A1015,'EXPORT IRIS PROD 13-11-2024'!A:A,1,0)</f>
        <v>VEICOLO_CONTROMANO_CORSIA_LENTA-Allarme veicolo contromano corsia lenta</v>
      </c>
      <c r="C1015" t="str">
        <f>VLOOKUP(F1015,'EXPORT IRIS PROD 13-11-2024'!F:F,1,0)</f>
        <v>VEICOLO_CONTROMANO_CORSIA_LENTA</v>
      </c>
      <c r="D1015" t="str">
        <f>VLOOKUP(G1015,'EXPORT IRIS PROD 13-11-2024'!D:D,1,0)</f>
        <v>Allarme veicolo contromano corsia lenta</v>
      </c>
      <c r="E1015" s="37" t="s">
        <v>988</v>
      </c>
      <c r="F1015" s="38" t="s">
        <v>1812</v>
      </c>
      <c r="G1015" s="38" t="s">
        <v>1813</v>
      </c>
      <c r="H1015" s="39" t="s">
        <v>1337</v>
      </c>
      <c r="I1015" s="39" t="s">
        <v>1321</v>
      </c>
      <c r="J1015" s="40" t="s">
        <v>31</v>
      </c>
      <c r="K1015" s="41" t="s">
        <v>32</v>
      </c>
      <c r="L1015" s="43">
        <v>1</v>
      </c>
      <c r="M1015" s="43" t="s">
        <v>33</v>
      </c>
      <c r="N1015" s="42" t="s">
        <v>34</v>
      </c>
      <c r="O1015" s="42" t="s">
        <v>31</v>
      </c>
      <c r="P1015" s="44"/>
    </row>
    <row r="1016" spans="1:16" customFormat="1" ht="15" customHeight="1" x14ac:dyDescent="0.25">
      <c r="A1016" t="str">
        <f t="shared" si="15"/>
        <v>VEICOLO_CONTROMANO_CORSIA_MARCIA_NORD-Allarme veicolo contromano corsia di marcia nord</v>
      </c>
      <c r="B1016" t="str">
        <f>VLOOKUP(A1016,'EXPORT IRIS PROD 13-11-2024'!A:A,1,0)</f>
        <v>VEICOLO_CONTROMANO_CORSIA_MARCIA_NORD-Allarme veicolo contromano corsia di marcia nord</v>
      </c>
      <c r="C1016" t="str">
        <f>VLOOKUP(F1016,'EXPORT IRIS PROD 13-11-2024'!F:F,1,0)</f>
        <v>VEICOLO_CONTROMANO_CORSIA_MARCIA_NORD</v>
      </c>
      <c r="D1016" t="str">
        <f>VLOOKUP(G1016,'EXPORT IRIS PROD 13-11-2024'!D:D,1,0)</f>
        <v>Allarme veicolo contromano corsia di marcia nord</v>
      </c>
      <c r="E1016" s="37" t="s">
        <v>988</v>
      </c>
      <c r="F1016" s="38" t="s">
        <v>1814</v>
      </c>
      <c r="G1016" s="45" t="s">
        <v>1815</v>
      </c>
      <c r="H1016" s="46" t="s">
        <v>1337</v>
      </c>
      <c r="I1016" s="46" t="s">
        <v>1338</v>
      </c>
      <c r="J1016" s="47" t="s">
        <v>31</v>
      </c>
      <c r="K1016" s="48" t="s">
        <v>32</v>
      </c>
      <c r="L1016" s="43">
        <v>1</v>
      </c>
      <c r="M1016" s="43" t="s">
        <v>33</v>
      </c>
      <c r="N1016" s="43" t="s">
        <v>34</v>
      </c>
      <c r="O1016" s="43" t="s">
        <v>31</v>
      </c>
      <c r="P1016" s="44"/>
    </row>
    <row r="1017" spans="1:16" customFormat="1" ht="15" customHeight="1" x14ac:dyDescent="0.25">
      <c r="A1017" t="str">
        <f t="shared" si="15"/>
        <v>VEICOLO_CONTROMANO_CORSIA_MARCIA_NORD-Allarme veicolo contromano corsia di marcia nord</v>
      </c>
      <c r="B1017" t="str">
        <f>VLOOKUP(A1017,'EXPORT IRIS PROD 13-11-2024'!A:A,1,0)</f>
        <v>VEICOLO_CONTROMANO_CORSIA_MARCIA_NORD-Allarme veicolo contromano corsia di marcia nord</v>
      </c>
      <c r="C1017" t="str">
        <f>VLOOKUP(F1017,'EXPORT IRIS PROD 13-11-2024'!F:F,1,0)</f>
        <v>VEICOLO_CONTROMANO_CORSIA_MARCIA_NORD</v>
      </c>
      <c r="D1017" t="str">
        <f>VLOOKUP(G1017,'EXPORT IRIS PROD 13-11-2024'!D:D,1,0)</f>
        <v>Allarme veicolo contromano corsia di marcia nord</v>
      </c>
      <c r="E1017" s="37" t="s">
        <v>988</v>
      </c>
      <c r="F1017" s="38" t="s">
        <v>1814</v>
      </c>
      <c r="G1017" s="45" t="s">
        <v>1815</v>
      </c>
      <c r="H1017" s="46" t="s">
        <v>1337</v>
      </c>
      <c r="I1017" s="46" t="s">
        <v>1321</v>
      </c>
      <c r="J1017" s="47" t="s">
        <v>31</v>
      </c>
      <c r="K1017" s="48" t="s">
        <v>32</v>
      </c>
      <c r="L1017" s="43">
        <v>1</v>
      </c>
      <c r="M1017" s="43" t="s">
        <v>33</v>
      </c>
      <c r="N1017" s="43" t="s">
        <v>34</v>
      </c>
      <c r="O1017" s="43" t="s">
        <v>31</v>
      </c>
      <c r="P1017" s="44"/>
    </row>
    <row r="1018" spans="1:16" customFormat="1" ht="15" customHeight="1" x14ac:dyDescent="0.25">
      <c r="A1018" t="str">
        <f t="shared" si="15"/>
        <v>VEICOLO_CONTROMANO_CORSIA_MARCIA_SUD-Allarme veicolo contromano corsia di marcia sud</v>
      </c>
      <c r="B1018" t="str">
        <f>VLOOKUP(A1018,'EXPORT IRIS PROD 13-11-2024'!A:A,1,0)</f>
        <v>VEICOLO_CONTROMANO_CORSIA_MARCIA_SUD-Allarme veicolo contromano corsia di marcia sud</v>
      </c>
      <c r="C1018" t="str">
        <f>VLOOKUP(F1018,'EXPORT IRIS PROD 13-11-2024'!F:F,1,0)</f>
        <v>VEICOLO_CONTROMANO_CORSIA_MARCIA_SUD</v>
      </c>
      <c r="D1018" t="str">
        <f>VLOOKUP(G1018,'EXPORT IRIS PROD 13-11-2024'!D:D,1,0)</f>
        <v>Allarme veicolo contromano corsia di marcia sud</v>
      </c>
      <c r="E1018" s="37" t="s">
        <v>988</v>
      </c>
      <c r="F1018" s="38" t="s">
        <v>1816</v>
      </c>
      <c r="G1018" s="45" t="s">
        <v>1817</v>
      </c>
      <c r="H1018" s="46" t="s">
        <v>1337</v>
      </c>
      <c r="I1018" s="46" t="s">
        <v>1338</v>
      </c>
      <c r="J1018" s="47" t="s">
        <v>31</v>
      </c>
      <c r="K1018" s="48" t="s">
        <v>32</v>
      </c>
      <c r="L1018" s="43">
        <v>1</v>
      </c>
      <c r="M1018" s="43" t="s">
        <v>33</v>
      </c>
      <c r="N1018" s="43" t="s">
        <v>34</v>
      </c>
      <c r="O1018" s="43" t="s">
        <v>31</v>
      </c>
      <c r="P1018" s="44"/>
    </row>
    <row r="1019" spans="1:16" customFormat="1" ht="15" customHeight="1" x14ac:dyDescent="0.25">
      <c r="A1019" t="str">
        <f t="shared" si="15"/>
        <v>VEICOLO_CONTROMANO_CORSIA_MARCIA_SUD-Allarme veicolo contromano corsia di marcia sud</v>
      </c>
      <c r="B1019" t="str">
        <f>VLOOKUP(A1019,'EXPORT IRIS PROD 13-11-2024'!A:A,1,0)</f>
        <v>VEICOLO_CONTROMANO_CORSIA_MARCIA_SUD-Allarme veicolo contromano corsia di marcia sud</v>
      </c>
      <c r="C1019" t="str">
        <f>VLOOKUP(F1019,'EXPORT IRIS PROD 13-11-2024'!F:F,1,0)</f>
        <v>VEICOLO_CONTROMANO_CORSIA_MARCIA_SUD</v>
      </c>
      <c r="D1019" t="str">
        <f>VLOOKUP(G1019,'EXPORT IRIS PROD 13-11-2024'!D:D,1,0)</f>
        <v>Allarme veicolo contromano corsia di marcia sud</v>
      </c>
      <c r="E1019" s="37" t="s">
        <v>988</v>
      </c>
      <c r="F1019" s="38" t="s">
        <v>1816</v>
      </c>
      <c r="G1019" s="45" t="s">
        <v>1817</v>
      </c>
      <c r="H1019" s="46" t="s">
        <v>1337</v>
      </c>
      <c r="I1019" s="46" t="s">
        <v>1321</v>
      </c>
      <c r="J1019" s="47" t="s">
        <v>31</v>
      </c>
      <c r="K1019" s="48" t="s">
        <v>32</v>
      </c>
      <c r="L1019" s="43">
        <v>1</v>
      </c>
      <c r="M1019" s="43" t="s">
        <v>33</v>
      </c>
      <c r="N1019" s="43" t="s">
        <v>34</v>
      </c>
      <c r="O1019" s="43" t="s">
        <v>31</v>
      </c>
      <c r="P1019" s="44"/>
    </row>
    <row r="1020" spans="1:16" customFormat="1" ht="15" customHeight="1" x14ac:dyDescent="0.25">
      <c r="A1020" t="str">
        <f t="shared" si="15"/>
        <v>VEICOLO_FERMO_CORSIA_LENTA-Allarme veicolo fermo corsia lenta</v>
      </c>
      <c r="B1020" t="str">
        <f>VLOOKUP(A1020,'EXPORT IRIS PROD 13-11-2024'!A:A,1,0)</f>
        <v>VEICOLO_FERMO_CORSIA_LENTA-Allarme veicolo fermo corsia lenta</v>
      </c>
      <c r="C1020" t="str">
        <f>VLOOKUP(F1020,'EXPORT IRIS PROD 13-11-2024'!F:F,1,0)</f>
        <v>VEICOLO_FERMO_CORSIA_LENTA</v>
      </c>
      <c r="D1020" t="str">
        <f>VLOOKUP(G1020,'EXPORT IRIS PROD 13-11-2024'!D:D,1,0)</f>
        <v>Allarme veicolo fermo corsia lenta</v>
      </c>
      <c r="E1020" s="37" t="s">
        <v>983</v>
      </c>
      <c r="F1020" s="38" t="s">
        <v>1818</v>
      </c>
      <c r="G1020" s="38" t="s">
        <v>1819</v>
      </c>
      <c r="H1020" s="39" t="s">
        <v>1337</v>
      </c>
      <c r="I1020" s="39" t="s">
        <v>1321</v>
      </c>
      <c r="J1020" s="40" t="s">
        <v>31</v>
      </c>
      <c r="K1020" s="41" t="s">
        <v>32</v>
      </c>
      <c r="L1020" s="43">
        <v>1</v>
      </c>
      <c r="M1020" s="43" t="s">
        <v>33</v>
      </c>
      <c r="N1020" s="42" t="s">
        <v>34</v>
      </c>
      <c r="O1020" s="42" t="s">
        <v>31</v>
      </c>
      <c r="P1020" s="44"/>
    </row>
    <row r="1021" spans="1:16" customFormat="1" ht="15" customHeight="1" x14ac:dyDescent="0.25">
      <c r="A1021" t="str">
        <f t="shared" si="15"/>
        <v>VEICOLO_FERMO_CORSIA_MARCIA_NORD-Allarme veicolo fermo corsia di marcia nord</v>
      </c>
      <c r="B1021" t="str">
        <f>VLOOKUP(A1021,'EXPORT IRIS PROD 13-11-2024'!A:A,1,0)</f>
        <v>VEICOLO_FERMO_CORSIA_MARCIA_NORD-Allarme veicolo fermo corsia di marcia nord</v>
      </c>
      <c r="C1021" t="str">
        <f>VLOOKUP(F1021,'EXPORT IRIS PROD 13-11-2024'!F:F,1,0)</f>
        <v>VEICOLO_FERMO_CORSIA_MARCIA_NORD</v>
      </c>
      <c r="D1021" t="str">
        <f>VLOOKUP(G1021,'EXPORT IRIS PROD 13-11-2024'!D:D,1,0)</f>
        <v>Allarme veicolo fermo corsia di marcia nord</v>
      </c>
      <c r="E1021" s="37" t="s">
        <v>983</v>
      </c>
      <c r="F1021" s="38" t="s">
        <v>1820</v>
      </c>
      <c r="G1021" s="45" t="s">
        <v>1821</v>
      </c>
      <c r="H1021" s="46" t="s">
        <v>1337</v>
      </c>
      <c r="I1021" s="46" t="s">
        <v>1338</v>
      </c>
      <c r="J1021" s="47" t="s">
        <v>31</v>
      </c>
      <c r="K1021" s="48" t="s">
        <v>32</v>
      </c>
      <c r="L1021" s="43">
        <v>1</v>
      </c>
      <c r="M1021" s="43" t="s">
        <v>33</v>
      </c>
      <c r="N1021" s="43" t="s">
        <v>34</v>
      </c>
      <c r="O1021" s="43" t="s">
        <v>31</v>
      </c>
      <c r="P1021" s="44"/>
    </row>
    <row r="1022" spans="1:16" customFormat="1" ht="15" customHeight="1" x14ac:dyDescent="0.25">
      <c r="A1022" t="str">
        <f t="shared" si="15"/>
        <v>VEICOLO_FERMO_CORSIA_MARCIA_NORD-Allarme veicolo fermo corsia di marcia nord</v>
      </c>
      <c r="B1022" t="str">
        <f>VLOOKUP(A1022,'EXPORT IRIS PROD 13-11-2024'!A:A,1,0)</f>
        <v>VEICOLO_FERMO_CORSIA_MARCIA_NORD-Allarme veicolo fermo corsia di marcia nord</v>
      </c>
      <c r="C1022" t="str">
        <f>VLOOKUP(F1022,'EXPORT IRIS PROD 13-11-2024'!F:F,1,0)</f>
        <v>VEICOLO_FERMO_CORSIA_MARCIA_NORD</v>
      </c>
      <c r="D1022" t="str">
        <f>VLOOKUP(G1022,'EXPORT IRIS PROD 13-11-2024'!D:D,1,0)</f>
        <v>Allarme veicolo fermo corsia di marcia nord</v>
      </c>
      <c r="E1022" s="37" t="s">
        <v>983</v>
      </c>
      <c r="F1022" s="38" t="s">
        <v>1820</v>
      </c>
      <c r="G1022" s="45" t="s">
        <v>1821</v>
      </c>
      <c r="H1022" s="46" t="s">
        <v>1337</v>
      </c>
      <c r="I1022" s="46" t="s">
        <v>1321</v>
      </c>
      <c r="J1022" s="47" t="s">
        <v>31</v>
      </c>
      <c r="K1022" s="48" t="s">
        <v>32</v>
      </c>
      <c r="L1022" s="43">
        <v>1</v>
      </c>
      <c r="M1022" s="43" t="s">
        <v>33</v>
      </c>
      <c r="N1022" s="43" t="s">
        <v>34</v>
      </c>
      <c r="O1022" s="43" t="s">
        <v>31</v>
      </c>
      <c r="P1022" s="44"/>
    </row>
    <row r="1023" spans="1:16" customFormat="1" ht="15" customHeight="1" x14ac:dyDescent="0.25">
      <c r="A1023" t="str">
        <f t="shared" si="15"/>
        <v>VEICOLO_FERMO_CORSIA_MARCIA_SUD-Allarme veicolo fermo corsia di marcia sud</v>
      </c>
      <c r="B1023" t="str">
        <f>VLOOKUP(A1023,'EXPORT IRIS PROD 13-11-2024'!A:A,1,0)</f>
        <v>VEICOLO_FERMO_CORSIA_MARCIA_SUD-Allarme veicolo fermo corsia di marcia sud</v>
      </c>
      <c r="C1023" t="str">
        <f>VLOOKUP(F1023,'EXPORT IRIS PROD 13-11-2024'!F:F,1,0)</f>
        <v>VEICOLO_FERMO_CORSIA_MARCIA_SUD</v>
      </c>
      <c r="D1023" t="str">
        <f>VLOOKUP(G1023,'EXPORT IRIS PROD 13-11-2024'!D:D,1,0)</f>
        <v>Allarme veicolo fermo corsia di marcia sud</v>
      </c>
      <c r="E1023" s="37" t="s">
        <v>983</v>
      </c>
      <c r="F1023" s="38" t="s">
        <v>1822</v>
      </c>
      <c r="G1023" s="45" t="s">
        <v>1823</v>
      </c>
      <c r="H1023" s="46" t="s">
        <v>1337</v>
      </c>
      <c r="I1023" s="46" t="s">
        <v>1338</v>
      </c>
      <c r="J1023" s="47" t="s">
        <v>31</v>
      </c>
      <c r="K1023" s="48" t="s">
        <v>32</v>
      </c>
      <c r="L1023" s="43">
        <v>1</v>
      </c>
      <c r="M1023" s="43" t="s">
        <v>33</v>
      </c>
      <c r="N1023" s="43" t="s">
        <v>34</v>
      </c>
      <c r="O1023" s="43" t="s">
        <v>31</v>
      </c>
      <c r="P1023" s="44"/>
    </row>
    <row r="1024" spans="1:16" customFormat="1" ht="15" customHeight="1" x14ac:dyDescent="0.25">
      <c r="A1024" t="str">
        <f t="shared" si="15"/>
        <v>VEICOLO_FERMO_CORSIA_MARCIA_SUD-Allarme veicolo fermo corsia di marcia sud</v>
      </c>
      <c r="B1024" t="str">
        <f>VLOOKUP(A1024,'EXPORT IRIS PROD 13-11-2024'!A:A,1,0)</f>
        <v>VEICOLO_FERMO_CORSIA_MARCIA_SUD-Allarme veicolo fermo corsia di marcia sud</v>
      </c>
      <c r="C1024" t="str">
        <f>VLOOKUP(F1024,'EXPORT IRIS PROD 13-11-2024'!F:F,1,0)</f>
        <v>VEICOLO_FERMO_CORSIA_MARCIA_SUD</v>
      </c>
      <c r="D1024" t="str">
        <f>VLOOKUP(G1024,'EXPORT IRIS PROD 13-11-2024'!D:D,1,0)</f>
        <v>Allarme veicolo fermo corsia di marcia sud</v>
      </c>
      <c r="E1024" s="37" t="s">
        <v>983</v>
      </c>
      <c r="F1024" s="38" t="s">
        <v>1822</v>
      </c>
      <c r="G1024" s="45" t="s">
        <v>1823</v>
      </c>
      <c r="H1024" s="46" t="s">
        <v>1337</v>
      </c>
      <c r="I1024" s="46" t="s">
        <v>1321</v>
      </c>
      <c r="J1024" s="47" t="s">
        <v>31</v>
      </c>
      <c r="K1024" s="48" t="s">
        <v>32</v>
      </c>
      <c r="L1024" s="43">
        <v>1</v>
      </c>
      <c r="M1024" s="43" t="s">
        <v>33</v>
      </c>
      <c r="N1024" s="43" t="s">
        <v>34</v>
      </c>
      <c r="O1024" s="43" t="s">
        <v>31</v>
      </c>
      <c r="P1024" s="44"/>
    </row>
    <row r="1025" spans="1:16" customFormat="1" ht="15" customHeight="1" x14ac:dyDescent="0.25">
      <c r="A1025" t="str">
        <f t="shared" si="15"/>
        <v>VEICOLO_FERMO_DIR_NORD-Allarme Veicolo Fermo direzione Nord</v>
      </c>
      <c r="B1025" t="str">
        <f>VLOOKUP(A1025,'EXPORT IRIS PROD 13-11-2024'!A:A,1,0)</f>
        <v>VEICOLO_FERMO_DIR_NORD-Allarme Veicolo Fermo direzione Nord</v>
      </c>
      <c r="C1025" t="str">
        <f>VLOOKUP(F1025,'EXPORT IRIS PROD 13-11-2024'!F:F,1,0)</f>
        <v>VEICOLO_FERMO_DIR_NORD</v>
      </c>
      <c r="D1025" t="str">
        <f>VLOOKUP(G1025,'EXPORT IRIS PROD 13-11-2024'!D:D,1,0)</f>
        <v>Allarme Veicolo Fermo direzione Nord</v>
      </c>
      <c r="E1025" s="37" t="s">
        <v>983</v>
      </c>
      <c r="F1025" s="38" t="s">
        <v>1824</v>
      </c>
      <c r="G1025" s="45" t="s">
        <v>1825</v>
      </c>
      <c r="H1025" s="46" t="s">
        <v>1337</v>
      </c>
      <c r="I1025" s="46" t="s">
        <v>1321</v>
      </c>
      <c r="J1025" s="47" t="s">
        <v>31</v>
      </c>
      <c r="K1025" s="48" t="s">
        <v>32</v>
      </c>
      <c r="L1025" s="43">
        <v>1</v>
      </c>
      <c r="M1025" s="43" t="s">
        <v>33</v>
      </c>
      <c r="N1025" s="43" t="s">
        <v>34</v>
      </c>
      <c r="O1025" s="43" t="s">
        <v>31</v>
      </c>
      <c r="P1025" s="44"/>
    </row>
    <row r="1026" spans="1:16" customFormat="1" ht="15" customHeight="1" x14ac:dyDescent="0.25">
      <c r="A1026" t="str">
        <f t="shared" si="15"/>
        <v>VEICOLO_FERMO_DIR_NORD-Allarme Veicolo Fermo direzione Nord</v>
      </c>
      <c r="B1026" t="str">
        <f>VLOOKUP(A1026,'EXPORT IRIS PROD 13-11-2024'!A:A,1,0)</f>
        <v>VEICOLO_FERMO_DIR_NORD-Allarme Veicolo Fermo direzione Nord</v>
      </c>
      <c r="C1026" t="str">
        <f>VLOOKUP(F1026,'EXPORT IRIS PROD 13-11-2024'!F:F,1,0)</f>
        <v>VEICOLO_FERMO_DIR_NORD</v>
      </c>
      <c r="D1026" t="str">
        <f>VLOOKUP(G1026,'EXPORT IRIS PROD 13-11-2024'!D:D,1,0)</f>
        <v>Allarme Veicolo Fermo direzione Nord</v>
      </c>
      <c r="E1026" s="37" t="s">
        <v>983</v>
      </c>
      <c r="F1026" s="38" t="s">
        <v>1824</v>
      </c>
      <c r="G1026" s="45" t="s">
        <v>1825</v>
      </c>
      <c r="H1026" s="46" t="s">
        <v>1337</v>
      </c>
      <c r="I1026" s="46" t="s">
        <v>1338</v>
      </c>
      <c r="J1026" s="47" t="s">
        <v>31</v>
      </c>
      <c r="K1026" s="48" t="s">
        <v>32</v>
      </c>
      <c r="L1026" s="43">
        <v>1</v>
      </c>
      <c r="M1026" s="43" t="s">
        <v>33</v>
      </c>
      <c r="N1026" s="43" t="s">
        <v>34</v>
      </c>
      <c r="O1026" s="43" t="s">
        <v>31</v>
      </c>
      <c r="P1026" s="44"/>
    </row>
    <row r="1027" spans="1:16" customFormat="1" ht="15" customHeight="1" x14ac:dyDescent="0.25">
      <c r="A1027" t="str">
        <f t="shared" ref="A1027:A1034" si="16">CONCATENATE(F1027,"-",G1027)</f>
        <v>VEICOLO_FERMO_DIR_SUD-Allarme Veicolo Fermo direzione Sud</v>
      </c>
      <c r="B1027" t="str">
        <f>VLOOKUP(A1027,'EXPORT IRIS PROD 13-11-2024'!A:A,1,0)</f>
        <v>VEICOLO_FERMO_DIR_SUD-Allarme Veicolo Fermo direzione Sud</v>
      </c>
      <c r="C1027" t="str">
        <f>VLOOKUP(F1027,'EXPORT IRIS PROD 13-11-2024'!F:F,1,0)</f>
        <v>VEICOLO_FERMO_DIR_SUD</v>
      </c>
      <c r="D1027" t="str">
        <f>VLOOKUP(G1027,'EXPORT IRIS PROD 13-11-2024'!D:D,1,0)</f>
        <v>Allarme Veicolo Fermo direzione Sud</v>
      </c>
      <c r="E1027" s="37" t="s">
        <v>983</v>
      </c>
      <c r="F1027" s="38" t="s">
        <v>1826</v>
      </c>
      <c r="G1027" s="45" t="s">
        <v>1827</v>
      </c>
      <c r="H1027" s="46" t="s">
        <v>1337</v>
      </c>
      <c r="I1027" s="46" t="s">
        <v>1321</v>
      </c>
      <c r="J1027" s="47" t="s">
        <v>31</v>
      </c>
      <c r="K1027" s="48" t="s">
        <v>32</v>
      </c>
      <c r="L1027" s="43">
        <v>1</v>
      </c>
      <c r="M1027" s="43" t="s">
        <v>33</v>
      </c>
      <c r="N1027" s="43" t="s">
        <v>34</v>
      </c>
      <c r="O1027" s="43" t="s">
        <v>31</v>
      </c>
      <c r="P1027" s="44"/>
    </row>
    <row r="1028" spans="1:16" customFormat="1" ht="15" customHeight="1" x14ac:dyDescent="0.25">
      <c r="A1028" t="str">
        <f t="shared" si="16"/>
        <v>VEICOLO_FERMO_DIR_SUD-Allarme Veicolo Fermo direzione Sud</v>
      </c>
      <c r="B1028" t="str">
        <f>VLOOKUP(A1028,'EXPORT IRIS PROD 13-11-2024'!A:A,1,0)</f>
        <v>VEICOLO_FERMO_DIR_SUD-Allarme Veicolo Fermo direzione Sud</v>
      </c>
      <c r="C1028" t="str">
        <f>VLOOKUP(F1028,'EXPORT IRIS PROD 13-11-2024'!F:F,1,0)</f>
        <v>VEICOLO_FERMO_DIR_SUD</v>
      </c>
      <c r="D1028" t="str">
        <f>VLOOKUP(G1028,'EXPORT IRIS PROD 13-11-2024'!D:D,1,0)</f>
        <v>Allarme Veicolo Fermo direzione Sud</v>
      </c>
      <c r="E1028" s="37" t="s">
        <v>983</v>
      </c>
      <c r="F1028" s="38" t="s">
        <v>1826</v>
      </c>
      <c r="G1028" s="45" t="s">
        <v>1827</v>
      </c>
      <c r="H1028" s="46" t="s">
        <v>1337</v>
      </c>
      <c r="I1028" s="46" t="s">
        <v>1338</v>
      </c>
      <c r="J1028" s="47" t="s">
        <v>31</v>
      </c>
      <c r="K1028" s="48" t="s">
        <v>32</v>
      </c>
      <c r="L1028" s="43">
        <v>1</v>
      </c>
      <c r="M1028" s="43" t="s">
        <v>33</v>
      </c>
      <c r="N1028" s="43" t="s">
        <v>34</v>
      </c>
      <c r="O1028" s="43" t="s">
        <v>31</v>
      </c>
      <c r="P1028" s="44"/>
    </row>
    <row r="1029" spans="1:16" customFormat="1" ht="15" customHeight="1" x14ac:dyDescent="0.25">
      <c r="A1029" t="str">
        <f t="shared" si="16"/>
        <v>VEICOLO_LENTO-Allarme veicolo lento</v>
      </c>
      <c r="B1029" t="str">
        <f>VLOOKUP(A1029,'EXPORT IRIS PROD 13-11-2024'!A:A,1,0)</f>
        <v>VEICOLO_LENTO-Allarme veicolo lento</v>
      </c>
      <c r="C1029" t="str">
        <f>VLOOKUP(F1029,'EXPORT IRIS PROD 13-11-2024'!F:F,1,0)</f>
        <v>VEICOLO_LENTO</v>
      </c>
      <c r="D1029" t="str">
        <f>VLOOKUP(G1029,'EXPORT IRIS PROD 13-11-2024'!D:D,1,0)</f>
        <v>Allarme veicolo lento</v>
      </c>
      <c r="E1029" s="37" t="s">
        <v>979</v>
      </c>
      <c r="F1029" s="38" t="s">
        <v>1828</v>
      </c>
      <c r="G1029" s="45" t="s">
        <v>1829</v>
      </c>
      <c r="H1029" s="46" t="s">
        <v>1337</v>
      </c>
      <c r="I1029" s="46" t="s">
        <v>1338</v>
      </c>
      <c r="J1029" s="47" t="s">
        <v>31</v>
      </c>
      <c r="K1029" s="48" t="s">
        <v>32</v>
      </c>
      <c r="L1029" s="43">
        <v>1</v>
      </c>
      <c r="M1029" s="43" t="s">
        <v>24</v>
      </c>
      <c r="N1029" s="43" t="s">
        <v>25</v>
      </c>
      <c r="O1029" s="42" t="s">
        <v>21</v>
      </c>
      <c r="P1029" s="44"/>
    </row>
    <row r="1030" spans="1:16" customFormat="1" ht="15" customHeight="1" x14ac:dyDescent="0.25">
      <c r="A1030" t="str">
        <f t="shared" si="16"/>
        <v>VEICOLO_LENTO-Allarme veicolo lento</v>
      </c>
      <c r="B1030" t="str">
        <f>VLOOKUP(A1030,'EXPORT IRIS PROD 13-11-2024'!A:A,1,0)</f>
        <v>VEICOLO_LENTO-Allarme veicolo lento</v>
      </c>
      <c r="C1030" t="str">
        <f>VLOOKUP(F1030,'EXPORT IRIS PROD 13-11-2024'!F:F,1,0)</f>
        <v>VEICOLO_LENTO</v>
      </c>
      <c r="D1030" t="str">
        <f>VLOOKUP(G1030,'EXPORT IRIS PROD 13-11-2024'!D:D,1,0)</f>
        <v>Allarme veicolo lento</v>
      </c>
      <c r="E1030" s="37" t="s">
        <v>979</v>
      </c>
      <c r="F1030" s="38" t="s">
        <v>1828</v>
      </c>
      <c r="G1030" s="45" t="s">
        <v>1829</v>
      </c>
      <c r="H1030" s="46" t="s">
        <v>1337</v>
      </c>
      <c r="I1030" s="46" t="s">
        <v>1321</v>
      </c>
      <c r="J1030" s="47" t="s">
        <v>31</v>
      </c>
      <c r="K1030" s="48" t="s">
        <v>32</v>
      </c>
      <c r="L1030" s="43">
        <v>1</v>
      </c>
      <c r="M1030" s="43" t="s">
        <v>24</v>
      </c>
      <c r="N1030" s="43" t="s">
        <v>25</v>
      </c>
      <c r="O1030" s="42" t="s">
        <v>21</v>
      </c>
      <c r="P1030" s="44"/>
    </row>
    <row r="1031" spans="1:16" customFormat="1" ht="15" customHeight="1" x14ac:dyDescent="0.25">
      <c r="A1031" t="str">
        <f t="shared" si="16"/>
        <v>VEICOLO_LENTO_CORSIA_MARCIA_NORD-Allarme veicolo lento corsia di marcia nord</v>
      </c>
      <c r="B1031" t="str">
        <f>VLOOKUP(A1031,'EXPORT IRIS PROD 13-11-2024'!A:A,1,0)</f>
        <v>VEICOLO_LENTO_CORSIA_MARCIA_NORD-Allarme veicolo lento corsia di marcia nord</v>
      </c>
      <c r="C1031" t="str">
        <f>VLOOKUP(F1031,'EXPORT IRIS PROD 13-11-2024'!F:F,1,0)</f>
        <v>VEICOLO_LENTO_CORSIA_MARCIA_NORD</v>
      </c>
      <c r="D1031" t="str">
        <f>VLOOKUP(G1031,'EXPORT IRIS PROD 13-11-2024'!D:D,1,0)</f>
        <v>Allarme veicolo lento corsia di marcia nord</v>
      </c>
      <c r="E1031" s="37" t="s">
        <v>979</v>
      </c>
      <c r="F1031" s="38" t="s">
        <v>1830</v>
      </c>
      <c r="G1031" s="45" t="s">
        <v>1831</v>
      </c>
      <c r="H1031" s="46" t="s">
        <v>1337</v>
      </c>
      <c r="I1031" s="46" t="s">
        <v>1338</v>
      </c>
      <c r="J1031" s="47" t="s">
        <v>31</v>
      </c>
      <c r="K1031" s="48" t="s">
        <v>32</v>
      </c>
      <c r="L1031" s="43">
        <v>1</v>
      </c>
      <c r="M1031" s="43" t="s">
        <v>24</v>
      </c>
      <c r="N1031" s="43" t="s">
        <v>25</v>
      </c>
      <c r="O1031" s="42" t="s">
        <v>21</v>
      </c>
      <c r="P1031" s="44"/>
    </row>
    <row r="1032" spans="1:16" customFormat="1" ht="15" customHeight="1" x14ac:dyDescent="0.25">
      <c r="A1032" t="str">
        <f t="shared" si="16"/>
        <v>VEICOLO_LENTO_CORSIA_MARCIA_NORD-Allarme veicolo lento corsia di marcia nord</v>
      </c>
      <c r="B1032" t="str">
        <f>VLOOKUP(A1032,'EXPORT IRIS PROD 13-11-2024'!A:A,1,0)</f>
        <v>VEICOLO_LENTO_CORSIA_MARCIA_NORD-Allarme veicolo lento corsia di marcia nord</v>
      </c>
      <c r="C1032" t="str">
        <f>VLOOKUP(F1032,'EXPORT IRIS PROD 13-11-2024'!F:F,1,0)</f>
        <v>VEICOLO_LENTO_CORSIA_MARCIA_NORD</v>
      </c>
      <c r="D1032" t="str">
        <f>VLOOKUP(G1032,'EXPORT IRIS PROD 13-11-2024'!D:D,1,0)</f>
        <v>Allarme veicolo lento corsia di marcia nord</v>
      </c>
      <c r="E1032" s="37" t="s">
        <v>979</v>
      </c>
      <c r="F1032" s="38" t="s">
        <v>1830</v>
      </c>
      <c r="G1032" s="45" t="s">
        <v>1831</v>
      </c>
      <c r="H1032" s="46" t="s">
        <v>1337</v>
      </c>
      <c r="I1032" s="46" t="s">
        <v>1321</v>
      </c>
      <c r="J1032" s="47" t="s">
        <v>31</v>
      </c>
      <c r="K1032" s="48" t="s">
        <v>32</v>
      </c>
      <c r="L1032" s="43">
        <v>1</v>
      </c>
      <c r="M1032" s="43" t="s">
        <v>24</v>
      </c>
      <c r="N1032" s="43" t="s">
        <v>25</v>
      </c>
      <c r="O1032" s="42" t="s">
        <v>21</v>
      </c>
      <c r="P1032" s="44"/>
    </row>
    <row r="1033" spans="1:16" customFormat="1" ht="15" customHeight="1" x14ac:dyDescent="0.25">
      <c r="A1033" t="str">
        <f t="shared" si="16"/>
        <v>VEICOLO_LENTO_CORSIA_MARCIA_SUD-Allarme veicolo lento corsia di marcia sud</v>
      </c>
      <c r="B1033" t="str">
        <f>VLOOKUP(A1033,'EXPORT IRIS PROD 13-11-2024'!A:A,1,0)</f>
        <v>VEICOLO_LENTO_CORSIA_MARCIA_SUD-Allarme veicolo lento corsia di marcia sud</v>
      </c>
      <c r="C1033" t="str">
        <f>VLOOKUP(F1033,'EXPORT IRIS PROD 13-11-2024'!F:F,1,0)</f>
        <v>VEICOLO_LENTO_CORSIA_MARCIA_SUD</v>
      </c>
      <c r="D1033" t="str">
        <f>VLOOKUP(G1033,'EXPORT IRIS PROD 13-11-2024'!D:D,1,0)</f>
        <v>Allarme veicolo lento corsia di marcia sud</v>
      </c>
      <c r="E1033" s="37" t="s">
        <v>979</v>
      </c>
      <c r="F1033" s="38" t="s">
        <v>1832</v>
      </c>
      <c r="G1033" s="45" t="s">
        <v>1833</v>
      </c>
      <c r="H1033" s="46" t="s">
        <v>1337</v>
      </c>
      <c r="I1033" s="46" t="s">
        <v>1338</v>
      </c>
      <c r="J1033" s="47" t="s">
        <v>31</v>
      </c>
      <c r="K1033" s="48" t="s">
        <v>32</v>
      </c>
      <c r="L1033" s="43">
        <v>1</v>
      </c>
      <c r="M1033" s="43" t="s">
        <v>24</v>
      </c>
      <c r="N1033" s="43" t="s">
        <v>25</v>
      </c>
      <c r="O1033" s="42" t="s">
        <v>21</v>
      </c>
      <c r="P1033" s="44"/>
    </row>
    <row r="1034" spans="1:16" customFormat="1" ht="15" customHeight="1" x14ac:dyDescent="0.25">
      <c r="A1034" t="str">
        <f t="shared" si="16"/>
        <v>VEICOLO_LENTO_CORSIA_MARCIA_SUD-Allarme veicolo lento corsia di marcia sud</v>
      </c>
      <c r="B1034" t="str">
        <f>VLOOKUP(A1034,'EXPORT IRIS PROD 13-11-2024'!A:A,1,0)</f>
        <v>VEICOLO_LENTO_CORSIA_MARCIA_SUD-Allarme veicolo lento corsia di marcia sud</v>
      </c>
      <c r="C1034" t="str">
        <f>VLOOKUP(F1034,'EXPORT IRIS PROD 13-11-2024'!F:F,1,0)</f>
        <v>VEICOLO_LENTO_CORSIA_MARCIA_SUD</v>
      </c>
      <c r="D1034" t="str">
        <f>VLOOKUP(G1034,'EXPORT IRIS PROD 13-11-2024'!D:D,1,0)</f>
        <v>Allarme veicolo lento corsia di marcia sud</v>
      </c>
      <c r="E1034" s="37" t="s">
        <v>979</v>
      </c>
      <c r="F1034" s="38" t="s">
        <v>1832</v>
      </c>
      <c r="G1034" s="45" t="s">
        <v>1833</v>
      </c>
      <c r="H1034" s="46" t="s">
        <v>1337</v>
      </c>
      <c r="I1034" s="46" t="s">
        <v>1321</v>
      </c>
      <c r="J1034" s="47" t="s">
        <v>31</v>
      </c>
      <c r="K1034" s="48" t="s">
        <v>32</v>
      </c>
      <c r="L1034" s="43">
        <v>1</v>
      </c>
      <c r="M1034" s="43" t="s">
        <v>24</v>
      </c>
      <c r="N1034" s="43" t="s">
        <v>25</v>
      </c>
      <c r="O1034" s="42" t="s">
        <v>21</v>
      </c>
      <c r="P1034" s="44"/>
    </row>
  </sheetData>
  <autoFilter ref="A1:P1034" xr:uid="{F40C0475-AAE6-4E29-872B-322D653504F0}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14F0-71A7-43BC-8F91-6D4DFE3D4C02}">
  <sheetPr>
    <tabColor rgb="FFFFFF00"/>
  </sheetPr>
  <dimension ref="A1:S66"/>
  <sheetViews>
    <sheetView showGridLines="0" topLeftCell="K1" zoomScale="70" zoomScaleNormal="70" workbookViewId="0">
      <pane ySplit="1" topLeftCell="A27" activePane="bottomLeft" state="frozen"/>
      <selection pane="bottomLeft" activeCell="F2" sqref="F2:P66"/>
    </sheetView>
  </sheetViews>
  <sheetFormatPr defaultRowHeight="15" x14ac:dyDescent="0.25"/>
  <cols>
    <col min="1" max="2" width="45.85546875" customWidth="1"/>
    <col min="3" max="5" width="3.5703125" customWidth="1"/>
    <col min="6" max="6" width="50.28515625" bestFit="1" customWidth="1"/>
    <col min="7" max="7" width="57.28515625" bestFit="1" customWidth="1"/>
    <col min="8" max="8" width="60.140625" bestFit="1" customWidth="1"/>
    <col min="9" max="9" width="29.7109375" bestFit="1" customWidth="1"/>
    <col min="10" max="10" width="40.140625" bestFit="1" customWidth="1"/>
    <col min="11" max="11" width="31.7109375" bestFit="1" customWidth="1"/>
    <col min="12" max="12" width="33" bestFit="1" customWidth="1"/>
    <col min="13" max="13" width="42.42578125" bestFit="1" customWidth="1"/>
    <col min="14" max="14" width="26.42578125" bestFit="1" customWidth="1"/>
    <col min="15" max="15" width="34.5703125" bestFit="1" customWidth="1"/>
    <col min="16" max="16" width="30.5703125" bestFit="1" customWidth="1"/>
    <col min="17" max="17" width="58.5703125" bestFit="1" customWidth="1"/>
    <col min="18" max="18" width="38.7109375" bestFit="1" customWidth="1"/>
    <col min="19" max="19" width="58.5703125" bestFit="1" customWidth="1"/>
  </cols>
  <sheetData>
    <row r="1" spans="1:19" s="3" customFormat="1" ht="78.75" x14ac:dyDescent="0.25">
      <c r="A1" s="84" t="s">
        <v>0</v>
      </c>
      <c r="B1" s="83" t="s">
        <v>1</v>
      </c>
      <c r="C1" s="21" t="s">
        <v>1834</v>
      </c>
      <c r="D1" s="21" t="s">
        <v>1835</v>
      </c>
      <c r="E1" s="21" t="s">
        <v>1836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34" t="s">
        <v>1837</v>
      </c>
      <c r="R1" s="34" t="s">
        <v>1838</v>
      </c>
      <c r="S1" s="34" t="s">
        <v>1839</v>
      </c>
    </row>
    <row r="2" spans="1:19" ht="15" customHeight="1" x14ac:dyDescent="0.25">
      <c r="A2" s="30" t="str">
        <f t="shared" ref="A2:A33" si="0">CONCATENATE(G2,"-",H2)</f>
        <v>ALR_AVARIA_INGRESSI_DIGITALI_PLC-Allarme avaria Scheda Ingressi Digitali PLC</v>
      </c>
      <c r="B2" s="30" t="str">
        <f>VLOOKUP(A2,'EXPORT IRIS PROD 13-11-2024'!A:A,1,0)</f>
        <v>ALR_AVARIA_INGRESSI_DIGITALI_PLC-Allarme avaria Scheda Ingressi Digitali PLC</v>
      </c>
      <c r="C2" s="30" t="s">
        <v>1840</v>
      </c>
      <c r="D2" s="24" t="s">
        <v>1841</v>
      </c>
      <c r="E2" s="30" t="s">
        <v>1842</v>
      </c>
      <c r="F2" s="25" t="s">
        <v>16</v>
      </c>
      <c r="G2" s="26" t="s">
        <v>1843</v>
      </c>
      <c r="H2" s="26" t="s">
        <v>1844</v>
      </c>
      <c r="I2" s="27" t="s">
        <v>1156</v>
      </c>
      <c r="J2" s="27" t="s">
        <v>1157</v>
      </c>
      <c r="K2" s="28" t="s">
        <v>21</v>
      </c>
      <c r="L2" s="71" t="s">
        <v>22</v>
      </c>
      <c r="M2" s="30" t="s">
        <v>23</v>
      </c>
      <c r="N2" s="72" t="s">
        <v>24</v>
      </c>
      <c r="O2" s="30" t="s">
        <v>25</v>
      </c>
      <c r="P2" s="30" t="s">
        <v>21</v>
      </c>
      <c r="Q2" s="33" t="s">
        <v>1845</v>
      </c>
      <c r="R2" s="33"/>
      <c r="S2" s="33"/>
    </row>
    <row r="3" spans="1:19" ht="15" customHeight="1" x14ac:dyDescent="0.25">
      <c r="A3" s="30" t="str">
        <f t="shared" si="0"/>
        <v>ALR_AVARIA_USCITE_DIGITALI_PLC-Allarme avaria Scheda Uscite Digitali PLC</v>
      </c>
      <c r="B3" s="30" t="str">
        <f>VLOOKUP(A3,'EXPORT IRIS PROD 13-11-2024'!A:A,1,0)</f>
        <v>ALR_AVARIA_USCITE_DIGITALI_PLC-Allarme avaria Scheda Uscite Digitali PLC</v>
      </c>
      <c r="C3" s="30" t="s">
        <v>1840</v>
      </c>
      <c r="D3" s="24" t="s">
        <v>1841</v>
      </c>
      <c r="E3" s="30" t="s">
        <v>1842</v>
      </c>
      <c r="F3" s="25" t="s">
        <v>16</v>
      </c>
      <c r="G3" s="26" t="s">
        <v>1846</v>
      </c>
      <c r="H3" s="26" t="s">
        <v>1847</v>
      </c>
      <c r="I3" s="27" t="s">
        <v>1156</v>
      </c>
      <c r="J3" s="27" t="s">
        <v>1157</v>
      </c>
      <c r="K3" s="28" t="s">
        <v>21</v>
      </c>
      <c r="L3" s="71" t="s">
        <v>22</v>
      </c>
      <c r="M3" s="30" t="s">
        <v>23</v>
      </c>
      <c r="N3" s="72" t="s">
        <v>24</v>
      </c>
      <c r="O3" s="30" t="s">
        <v>25</v>
      </c>
      <c r="P3" s="30" t="s">
        <v>21</v>
      </c>
      <c r="Q3" s="33" t="s">
        <v>1845</v>
      </c>
      <c r="R3" s="33"/>
      <c r="S3" s="33"/>
    </row>
    <row r="4" spans="1:19" ht="15" customHeight="1" x14ac:dyDescent="0.25">
      <c r="A4" s="30" t="str">
        <f t="shared" si="0"/>
        <v>ALR_GUASTO_2_IMP-Allarme guasto dispositivo</v>
      </c>
      <c r="B4" s="30" t="str">
        <f>VLOOKUP(A4,'EXPORT IRIS PROD 13-11-2024'!A:A,1,0)</f>
        <v>ALR_GUASTO_2_IMP-Allarme guasto dispositivo</v>
      </c>
      <c r="C4" s="30" t="s">
        <v>1848</v>
      </c>
      <c r="D4" s="24" t="s">
        <v>1849</v>
      </c>
      <c r="E4" s="30" t="s">
        <v>1850</v>
      </c>
      <c r="F4" s="25" t="s">
        <v>1109</v>
      </c>
      <c r="G4" s="26" t="s">
        <v>377</v>
      </c>
      <c r="H4" s="26" t="s">
        <v>375</v>
      </c>
      <c r="I4" s="27" t="s">
        <v>1186</v>
      </c>
      <c r="J4" s="27" t="s">
        <v>1510</v>
      </c>
      <c r="K4" s="28" t="s">
        <v>21</v>
      </c>
      <c r="L4" s="71" t="s">
        <v>22</v>
      </c>
      <c r="M4" s="30" t="s">
        <v>23</v>
      </c>
      <c r="N4" s="72" t="s">
        <v>24</v>
      </c>
      <c r="O4" s="30" t="s">
        <v>25</v>
      </c>
      <c r="P4" s="30" t="s">
        <v>21</v>
      </c>
      <c r="Q4" s="33" t="s">
        <v>1851</v>
      </c>
      <c r="R4" s="33"/>
      <c r="S4" s="33"/>
    </row>
    <row r="5" spans="1:19" ht="15" customHeight="1" x14ac:dyDescent="0.25">
      <c r="A5" s="30" t="str">
        <f t="shared" si="0"/>
        <v>ALR_AVVIAMENTO_IN_CORSO-Allarme avviamento in corso</v>
      </c>
      <c r="B5" s="30" t="str">
        <f>VLOOKUP(A5,'EXPORT IRIS PROD 13-11-2024'!A:A,1,0)</f>
        <v>ALR_AVVIAMENTO_IN_CORSO-Allarme avviamento in corso</v>
      </c>
      <c r="C5" s="30" t="s">
        <v>1848</v>
      </c>
      <c r="D5" s="24" t="s">
        <v>1849</v>
      </c>
      <c r="E5" s="30" t="s">
        <v>1850</v>
      </c>
      <c r="F5" s="25" t="s">
        <v>53</v>
      </c>
      <c r="G5" s="26" t="s">
        <v>1852</v>
      </c>
      <c r="H5" s="26" t="s">
        <v>1853</v>
      </c>
      <c r="I5" s="27" t="s">
        <v>56</v>
      </c>
      <c r="J5" s="27" t="s">
        <v>57</v>
      </c>
      <c r="K5" s="28" t="s">
        <v>21</v>
      </c>
      <c r="L5" s="71" t="s">
        <v>22</v>
      </c>
      <c r="M5" s="30" t="s">
        <v>23</v>
      </c>
      <c r="N5" s="72" t="s">
        <v>157</v>
      </c>
      <c r="O5" s="30" t="s">
        <v>158</v>
      </c>
      <c r="P5" s="30" t="s">
        <v>21</v>
      </c>
      <c r="Q5" s="33" t="s">
        <v>1845</v>
      </c>
      <c r="R5" s="33"/>
      <c r="S5" s="33"/>
    </row>
    <row r="6" spans="1:19" ht="15" customHeight="1" x14ac:dyDescent="0.25">
      <c r="A6" s="30" t="str">
        <f t="shared" si="0"/>
        <v>ALR_ARRESTO_IN_CORSO-Allarme arresto in corso</v>
      </c>
      <c r="B6" s="30" t="str">
        <f>VLOOKUP(A6,'EXPORT IRIS PROD 13-11-2024'!A:A,1,0)</f>
        <v>ALR_ARRESTO_IN_CORSO-Allarme arresto in corso</v>
      </c>
      <c r="C6" s="30" t="s">
        <v>1848</v>
      </c>
      <c r="D6" s="24" t="s">
        <v>1849</v>
      </c>
      <c r="E6" s="30" t="s">
        <v>1850</v>
      </c>
      <c r="F6" s="25" t="s">
        <v>53</v>
      </c>
      <c r="G6" s="26" t="s">
        <v>1854</v>
      </c>
      <c r="H6" s="26" t="s">
        <v>1855</v>
      </c>
      <c r="I6" s="27" t="s">
        <v>56</v>
      </c>
      <c r="J6" s="27" t="s">
        <v>57</v>
      </c>
      <c r="K6" s="28" t="s">
        <v>21</v>
      </c>
      <c r="L6" s="71" t="s">
        <v>22</v>
      </c>
      <c r="M6" s="30" t="s">
        <v>23</v>
      </c>
      <c r="N6" s="72" t="s">
        <v>157</v>
      </c>
      <c r="O6" s="30" t="s">
        <v>158</v>
      </c>
      <c r="P6" s="30" t="s">
        <v>21</v>
      </c>
      <c r="Q6" s="33" t="s">
        <v>1845</v>
      </c>
      <c r="R6" s="33"/>
      <c r="S6" s="33"/>
    </row>
    <row r="7" spans="1:19" ht="15" customHeight="1" x14ac:dyDescent="0.25">
      <c r="A7" s="30" t="str">
        <f t="shared" si="0"/>
        <v>ALR_FAULT_MODULO_1-Allarme fault modulo 1</v>
      </c>
      <c r="B7" s="30" t="str">
        <f>VLOOKUP(A7,'EXPORT IRIS PROD 13-11-2024'!A:A,1,0)</f>
        <v>ALR_FAULT_MODULO_1-Allarme fault modulo 1</v>
      </c>
      <c r="C7" s="30" t="s">
        <v>1848</v>
      </c>
      <c r="D7" s="24" t="s">
        <v>1849</v>
      </c>
      <c r="E7" s="30" t="s">
        <v>1850</v>
      </c>
      <c r="F7" s="25" t="s">
        <v>16</v>
      </c>
      <c r="G7" s="26" t="s">
        <v>1856</v>
      </c>
      <c r="H7" s="26" t="s">
        <v>1857</v>
      </c>
      <c r="I7" s="27" t="s">
        <v>19</v>
      </c>
      <c r="J7" s="27" t="s">
        <v>258</v>
      </c>
      <c r="K7" s="28" t="s">
        <v>21</v>
      </c>
      <c r="L7" s="29" t="s">
        <v>22</v>
      </c>
      <c r="M7" s="30" t="s">
        <v>23</v>
      </c>
      <c r="N7" s="31" t="s">
        <v>24</v>
      </c>
      <c r="O7" s="32" t="s">
        <v>25</v>
      </c>
      <c r="P7" s="30" t="s">
        <v>21</v>
      </c>
      <c r="Q7" s="33" t="s">
        <v>1845</v>
      </c>
      <c r="R7" s="33"/>
      <c r="S7" s="33"/>
    </row>
    <row r="8" spans="1:19" ht="15" customHeight="1" x14ac:dyDescent="0.25">
      <c r="A8" s="30" t="str">
        <f t="shared" si="0"/>
        <v>ALR_FAULT_MODULO_2-Allarme fault modulo 2</v>
      </c>
      <c r="B8" s="30" t="str">
        <f>VLOOKUP(A8,'EXPORT IRIS PROD 13-11-2024'!A:A,1,0)</f>
        <v>ALR_FAULT_MODULO_2-Allarme fault modulo 2</v>
      </c>
      <c r="C8" s="30" t="s">
        <v>1848</v>
      </c>
      <c r="D8" s="24" t="s">
        <v>1849</v>
      </c>
      <c r="E8" s="30" t="s">
        <v>1850</v>
      </c>
      <c r="F8" s="25" t="s">
        <v>16</v>
      </c>
      <c r="G8" s="26" t="s">
        <v>1858</v>
      </c>
      <c r="H8" s="26" t="s">
        <v>1859</v>
      </c>
      <c r="I8" s="27" t="s">
        <v>19</v>
      </c>
      <c r="J8" s="27" t="s">
        <v>258</v>
      </c>
      <c r="K8" s="28" t="s">
        <v>21</v>
      </c>
      <c r="L8" s="29" t="s">
        <v>22</v>
      </c>
      <c r="M8" s="30" t="s">
        <v>23</v>
      </c>
      <c r="N8" s="31" t="s">
        <v>24</v>
      </c>
      <c r="O8" s="32" t="s">
        <v>25</v>
      </c>
      <c r="P8" s="30" t="s">
        <v>21</v>
      </c>
      <c r="Q8" s="33" t="s">
        <v>1845</v>
      </c>
      <c r="R8" s="33"/>
      <c r="S8" s="33"/>
    </row>
    <row r="9" spans="1:19" ht="15" customHeight="1" x14ac:dyDescent="0.25">
      <c r="A9" s="30" t="str">
        <f t="shared" si="0"/>
        <v>ALR_FAULT_MODULO_3-Allarme fault modulo 3</v>
      </c>
      <c r="B9" s="30" t="str">
        <f>VLOOKUP(A9,'EXPORT IRIS PROD 13-11-2024'!A:A,1,0)</f>
        <v>ALR_FAULT_MODULO_3-Allarme fault modulo 3</v>
      </c>
      <c r="C9" s="30" t="s">
        <v>1848</v>
      </c>
      <c r="D9" s="24" t="s">
        <v>1849</v>
      </c>
      <c r="E9" s="30" t="s">
        <v>1850</v>
      </c>
      <c r="F9" s="25" t="s">
        <v>16</v>
      </c>
      <c r="G9" s="26" t="s">
        <v>1860</v>
      </c>
      <c r="H9" s="26" t="s">
        <v>1861</v>
      </c>
      <c r="I9" s="27" t="s">
        <v>19</v>
      </c>
      <c r="J9" s="27" t="s">
        <v>258</v>
      </c>
      <c r="K9" s="28" t="s">
        <v>21</v>
      </c>
      <c r="L9" s="29" t="s">
        <v>22</v>
      </c>
      <c r="M9" s="30" t="s">
        <v>23</v>
      </c>
      <c r="N9" s="31" t="s">
        <v>24</v>
      </c>
      <c r="O9" s="32" t="s">
        <v>25</v>
      </c>
      <c r="P9" s="30" t="s">
        <v>21</v>
      </c>
      <c r="Q9" s="33" t="s">
        <v>1845</v>
      </c>
      <c r="R9" s="33"/>
      <c r="S9" s="33"/>
    </row>
    <row r="10" spans="1:19" ht="15" customHeight="1" x14ac:dyDescent="0.25">
      <c r="A10" s="30" t="str">
        <f t="shared" si="0"/>
        <v>ALR_FAULT_MODULO_4-Allarme fault modulo 4</v>
      </c>
      <c r="B10" s="30" t="str">
        <f>VLOOKUP(A10,'EXPORT IRIS PROD 13-11-2024'!A:A,1,0)</f>
        <v>ALR_FAULT_MODULO_4-Allarme fault modulo 4</v>
      </c>
      <c r="C10" s="30" t="s">
        <v>1848</v>
      </c>
      <c r="D10" s="24" t="s">
        <v>1849</v>
      </c>
      <c r="E10" s="30" t="s">
        <v>1850</v>
      </c>
      <c r="F10" s="25" t="s">
        <v>16</v>
      </c>
      <c r="G10" s="26" t="s">
        <v>1862</v>
      </c>
      <c r="H10" s="26" t="s">
        <v>1863</v>
      </c>
      <c r="I10" s="27" t="s">
        <v>19</v>
      </c>
      <c r="J10" s="27" t="s">
        <v>258</v>
      </c>
      <c r="K10" s="28" t="s">
        <v>21</v>
      </c>
      <c r="L10" s="29" t="s">
        <v>22</v>
      </c>
      <c r="M10" s="30" t="s">
        <v>23</v>
      </c>
      <c r="N10" s="31" t="s">
        <v>24</v>
      </c>
      <c r="O10" s="32" t="s">
        <v>25</v>
      </c>
      <c r="P10" s="30" t="s">
        <v>21</v>
      </c>
      <c r="Q10" s="33" t="s">
        <v>1845</v>
      </c>
      <c r="R10" s="33"/>
      <c r="S10" s="33"/>
    </row>
    <row r="11" spans="1:19" ht="15" customHeight="1" x14ac:dyDescent="0.25">
      <c r="A11" s="30" t="str">
        <f t="shared" si="0"/>
        <v>ALR_FAULT_MODULO_5-Allarme fault modulo 5</v>
      </c>
      <c r="B11" s="30" t="str">
        <f>VLOOKUP(A11,'EXPORT IRIS PROD 13-11-2024'!A:A,1,0)</f>
        <v>ALR_FAULT_MODULO_5-Allarme fault modulo 5</v>
      </c>
      <c r="C11" s="30" t="s">
        <v>1848</v>
      </c>
      <c r="D11" s="24" t="s">
        <v>1849</v>
      </c>
      <c r="E11" s="30" t="s">
        <v>1850</v>
      </c>
      <c r="F11" s="25" t="s">
        <v>16</v>
      </c>
      <c r="G11" s="26" t="s">
        <v>1864</v>
      </c>
      <c r="H11" s="26" t="s">
        <v>1865</v>
      </c>
      <c r="I11" s="27" t="s">
        <v>19</v>
      </c>
      <c r="J11" s="27" t="s">
        <v>258</v>
      </c>
      <c r="K11" s="28" t="s">
        <v>21</v>
      </c>
      <c r="L11" s="29" t="s">
        <v>22</v>
      </c>
      <c r="M11" s="30" t="s">
        <v>23</v>
      </c>
      <c r="N11" s="31" t="s">
        <v>24</v>
      </c>
      <c r="O11" s="32" t="s">
        <v>25</v>
      </c>
      <c r="P11" s="30" t="s">
        <v>21</v>
      </c>
      <c r="Q11" s="33" t="s">
        <v>1845</v>
      </c>
      <c r="R11" s="33"/>
      <c r="S11" s="33"/>
    </row>
    <row r="12" spans="1:19" ht="15" customHeight="1" x14ac:dyDescent="0.25">
      <c r="A12" s="30" t="str">
        <f t="shared" si="0"/>
        <v>ALR_FAULT_MODULO_6-Allarme fault modulo 6</v>
      </c>
      <c r="B12" s="30" t="str">
        <f>VLOOKUP(A12,'EXPORT IRIS PROD 13-11-2024'!A:A,1,0)</f>
        <v>ALR_FAULT_MODULO_6-Allarme fault modulo 6</v>
      </c>
      <c r="C12" s="30" t="s">
        <v>1848</v>
      </c>
      <c r="D12" s="24" t="s">
        <v>1849</v>
      </c>
      <c r="E12" s="30" t="s">
        <v>1850</v>
      </c>
      <c r="F12" s="25" t="s">
        <v>16</v>
      </c>
      <c r="G12" s="26" t="s">
        <v>1866</v>
      </c>
      <c r="H12" s="26" t="s">
        <v>1867</v>
      </c>
      <c r="I12" s="27" t="s">
        <v>19</v>
      </c>
      <c r="J12" s="27" t="s">
        <v>258</v>
      </c>
      <c r="K12" s="28" t="s">
        <v>21</v>
      </c>
      <c r="L12" s="29" t="s">
        <v>22</v>
      </c>
      <c r="M12" s="30" t="s">
        <v>23</v>
      </c>
      <c r="N12" s="31" t="s">
        <v>24</v>
      </c>
      <c r="O12" s="32" t="s">
        <v>25</v>
      </c>
      <c r="P12" s="30" t="s">
        <v>21</v>
      </c>
      <c r="Q12" s="33" t="s">
        <v>1845</v>
      </c>
      <c r="R12" s="33"/>
      <c r="S12" s="33"/>
    </row>
    <row r="13" spans="1:19" ht="15" customHeight="1" x14ac:dyDescent="0.25">
      <c r="A13" s="30" t="str">
        <f t="shared" si="0"/>
        <v>ALR_FAULT_MODULO_7-Allarme fault modulo 7</v>
      </c>
      <c r="B13" s="30" t="str">
        <f>VLOOKUP(A13,'EXPORT IRIS PROD 13-11-2024'!A:A,1,0)</f>
        <v>ALR_FAULT_MODULO_7-Allarme fault modulo 7</v>
      </c>
      <c r="C13" s="30" t="s">
        <v>1848</v>
      </c>
      <c r="D13" s="24" t="s">
        <v>1849</v>
      </c>
      <c r="E13" s="30" t="s">
        <v>1850</v>
      </c>
      <c r="F13" s="25" t="s">
        <v>16</v>
      </c>
      <c r="G13" s="26" t="s">
        <v>1868</v>
      </c>
      <c r="H13" s="26" t="s">
        <v>1869</v>
      </c>
      <c r="I13" s="27" t="s">
        <v>19</v>
      </c>
      <c r="J13" s="27" t="s">
        <v>258</v>
      </c>
      <c r="K13" s="28" t="s">
        <v>21</v>
      </c>
      <c r="L13" s="29" t="s">
        <v>22</v>
      </c>
      <c r="M13" s="30" t="s">
        <v>23</v>
      </c>
      <c r="N13" s="31" t="s">
        <v>24</v>
      </c>
      <c r="O13" s="32" t="s">
        <v>25</v>
      </c>
      <c r="P13" s="30" t="s">
        <v>21</v>
      </c>
      <c r="Q13" s="33" t="s">
        <v>1845</v>
      </c>
      <c r="R13" s="33"/>
      <c r="S13" s="33"/>
    </row>
    <row r="14" spans="1:19" ht="15" customHeight="1" x14ac:dyDescent="0.25">
      <c r="A14" s="30" t="str">
        <f t="shared" si="0"/>
        <v>ALR_FAULT_MODULO_8-Allarme fault modulo 8</v>
      </c>
      <c r="B14" s="30" t="str">
        <f>VLOOKUP(A14,'EXPORT IRIS PROD 13-11-2024'!A:A,1,0)</f>
        <v>ALR_FAULT_MODULO_8-Allarme fault modulo 8</v>
      </c>
      <c r="C14" s="30" t="s">
        <v>1848</v>
      </c>
      <c r="D14" s="24" t="s">
        <v>1849</v>
      </c>
      <c r="E14" s="30" t="s">
        <v>1850</v>
      </c>
      <c r="F14" s="25" t="s">
        <v>16</v>
      </c>
      <c r="G14" s="26" t="s">
        <v>1870</v>
      </c>
      <c r="H14" s="26" t="s">
        <v>1871</v>
      </c>
      <c r="I14" s="27" t="s">
        <v>19</v>
      </c>
      <c r="J14" s="27" t="s">
        <v>258</v>
      </c>
      <c r="K14" s="28" t="s">
        <v>21</v>
      </c>
      <c r="L14" s="29" t="s">
        <v>22</v>
      </c>
      <c r="M14" s="30" t="s">
        <v>23</v>
      </c>
      <c r="N14" s="31" t="s">
        <v>24</v>
      </c>
      <c r="O14" s="32" t="s">
        <v>25</v>
      </c>
      <c r="P14" s="30" t="s">
        <v>21</v>
      </c>
      <c r="Q14" s="33" t="s">
        <v>1845</v>
      </c>
      <c r="R14" s="33"/>
      <c r="S14" s="33"/>
    </row>
    <row r="15" spans="1:19" ht="15" customHeight="1" x14ac:dyDescent="0.25">
      <c r="A15" s="30" t="str">
        <f t="shared" si="0"/>
        <v>ALR_FAULT_MODULO_9-Allarme fault modulo 9</v>
      </c>
      <c r="B15" s="30" t="str">
        <f>VLOOKUP(A15,'EXPORT IRIS PROD 13-11-2024'!A:A,1,0)</f>
        <v>ALR_FAULT_MODULO_9-Allarme fault modulo 9</v>
      </c>
      <c r="C15" s="30" t="s">
        <v>1848</v>
      </c>
      <c r="D15" s="24" t="s">
        <v>1849</v>
      </c>
      <c r="E15" s="30" t="s">
        <v>1850</v>
      </c>
      <c r="F15" s="25" t="s">
        <v>16</v>
      </c>
      <c r="G15" s="26" t="s">
        <v>1872</v>
      </c>
      <c r="H15" s="26" t="s">
        <v>1873</v>
      </c>
      <c r="I15" s="27" t="s">
        <v>19</v>
      </c>
      <c r="J15" s="27" t="s">
        <v>258</v>
      </c>
      <c r="K15" s="28" t="s">
        <v>21</v>
      </c>
      <c r="L15" s="29" t="s">
        <v>22</v>
      </c>
      <c r="M15" s="30" t="s">
        <v>23</v>
      </c>
      <c r="N15" s="31" t="s">
        <v>24</v>
      </c>
      <c r="O15" s="32" t="s">
        <v>25</v>
      </c>
      <c r="P15" s="30" t="s">
        <v>21</v>
      </c>
      <c r="Q15" s="33" t="s">
        <v>1845</v>
      </c>
      <c r="R15" s="33"/>
      <c r="S15" s="33"/>
    </row>
    <row r="16" spans="1:19" ht="15" customHeight="1" x14ac:dyDescent="0.25">
      <c r="A16" s="30" t="str">
        <f t="shared" si="0"/>
        <v>ALR_CPU-Allarme CPU</v>
      </c>
      <c r="B16" s="30" t="str">
        <f>VLOOKUP(A16,'EXPORT IRIS PROD 13-11-2024'!A:A,1,0)</f>
        <v>ALR_CPU-Allarme CPU</v>
      </c>
      <c r="C16" s="30" t="s">
        <v>1848</v>
      </c>
      <c r="D16" s="24" t="s">
        <v>1849</v>
      </c>
      <c r="E16" s="30" t="s">
        <v>1850</v>
      </c>
      <c r="F16" s="25" t="s">
        <v>249</v>
      </c>
      <c r="G16" s="26" t="s">
        <v>1874</v>
      </c>
      <c r="H16" s="26" t="s">
        <v>1875</v>
      </c>
      <c r="I16" s="27" t="s">
        <v>19</v>
      </c>
      <c r="J16" s="27" t="s">
        <v>167</v>
      </c>
      <c r="K16" s="28" t="s">
        <v>31</v>
      </c>
      <c r="L16" s="29" t="s">
        <v>32</v>
      </c>
      <c r="M16" s="30">
        <v>3</v>
      </c>
      <c r="N16" s="31" t="s">
        <v>33</v>
      </c>
      <c r="O16" s="32" t="s">
        <v>34</v>
      </c>
      <c r="P16" s="30" t="s">
        <v>31</v>
      </c>
      <c r="Q16" s="33" t="s">
        <v>1845</v>
      </c>
      <c r="R16" s="33"/>
      <c r="S16" s="33"/>
    </row>
    <row r="17" spans="1:19" ht="15" customHeight="1" x14ac:dyDescent="0.25">
      <c r="A17" s="30" t="str">
        <f t="shared" si="0"/>
        <v>ALR_SEZ_SCATTATO-Allarme sezionatore scattato</v>
      </c>
      <c r="B17" s="30" t="str">
        <f>VLOOKUP(A17,'EXPORT IRIS PROD 13-11-2024'!A:A,1,0)</f>
        <v>ALR_SEZ_SCATTATO-Allarme sezionatore scattato</v>
      </c>
      <c r="C17" s="30" t="s">
        <v>1848</v>
      </c>
      <c r="D17" s="24" t="s">
        <v>1849</v>
      </c>
      <c r="E17" s="30" t="s">
        <v>1850</v>
      </c>
      <c r="F17" s="25" t="s">
        <v>53</v>
      </c>
      <c r="G17" s="26" t="s">
        <v>1876</v>
      </c>
      <c r="H17" s="26" t="s">
        <v>1877</v>
      </c>
      <c r="I17" s="27" t="s">
        <v>56</v>
      </c>
      <c r="J17" s="27" t="s">
        <v>463</v>
      </c>
      <c r="K17" s="28" t="s">
        <v>21</v>
      </c>
      <c r="L17" s="29" t="s">
        <v>22</v>
      </c>
      <c r="M17" s="30" t="s">
        <v>23</v>
      </c>
      <c r="N17" s="31" t="s">
        <v>24</v>
      </c>
      <c r="O17" s="32" t="s">
        <v>25</v>
      </c>
      <c r="P17" s="30" t="s">
        <v>21</v>
      </c>
      <c r="Q17" s="33" t="s">
        <v>1845</v>
      </c>
      <c r="R17" s="33"/>
      <c r="S17" s="33"/>
    </row>
    <row r="18" spans="1:19" ht="15" customHeight="1" x14ac:dyDescent="0.25">
      <c r="A18" s="30" t="str">
        <f t="shared" si="0"/>
        <v>ALR-MULTI-FAULT-Allarme multimetro fault</v>
      </c>
      <c r="B18" s="30" t="str">
        <f>VLOOKUP(A18,'EXPORT IRIS PROD 13-11-2024'!A:A,1,0)</f>
        <v>ALR-MULTI-FAULT-Allarme multimetro fault</v>
      </c>
      <c r="C18" s="30" t="s">
        <v>1848</v>
      </c>
      <c r="D18" s="24" t="s">
        <v>1849</v>
      </c>
      <c r="E18" s="30" t="s">
        <v>1850</v>
      </c>
      <c r="F18" s="25" t="s">
        <v>53</v>
      </c>
      <c r="G18" s="26" t="s">
        <v>1878</v>
      </c>
      <c r="H18" s="26" t="s">
        <v>1879</v>
      </c>
      <c r="I18" s="27" t="s">
        <v>56</v>
      </c>
      <c r="J18" s="27" t="s">
        <v>254</v>
      </c>
      <c r="K18" s="28" t="s">
        <v>21</v>
      </c>
      <c r="L18" s="29" t="s">
        <v>22</v>
      </c>
      <c r="M18" s="30" t="s">
        <v>23</v>
      </c>
      <c r="N18" s="31" t="s">
        <v>24</v>
      </c>
      <c r="O18" s="32" t="s">
        <v>25</v>
      </c>
      <c r="P18" s="30" t="s">
        <v>21</v>
      </c>
      <c r="Q18" s="33" t="s">
        <v>1845</v>
      </c>
      <c r="R18" s="33"/>
      <c r="S18" s="33"/>
    </row>
    <row r="19" spans="1:19" ht="15" customHeight="1" x14ac:dyDescent="0.25">
      <c r="A19" s="30" t="str">
        <f t="shared" si="0"/>
        <v>ALR_GENERICO-Allarme dispositivo</v>
      </c>
      <c r="B19" s="30" t="str">
        <f>VLOOKUP(A19,'EXPORT IRIS PROD 13-11-2024'!A:A,1,0)</f>
        <v>ALR_GENERICO-Allarme dispositivo</v>
      </c>
      <c r="C19" s="30" t="s">
        <v>1848</v>
      </c>
      <c r="D19" s="24" t="s">
        <v>1849</v>
      </c>
      <c r="E19" s="30" t="s">
        <v>1850</v>
      </c>
      <c r="F19" s="25" t="s">
        <v>53</v>
      </c>
      <c r="G19" s="26" t="s">
        <v>353</v>
      </c>
      <c r="H19" s="26" t="s">
        <v>354</v>
      </c>
      <c r="I19" s="27" t="s">
        <v>56</v>
      </c>
      <c r="J19" s="27" t="s">
        <v>177</v>
      </c>
      <c r="K19" s="28" t="s">
        <v>21</v>
      </c>
      <c r="L19" s="29" t="s">
        <v>22</v>
      </c>
      <c r="M19" s="30" t="s">
        <v>23</v>
      </c>
      <c r="N19" s="31" t="s">
        <v>24</v>
      </c>
      <c r="O19" s="32" t="s">
        <v>25</v>
      </c>
      <c r="P19" s="30" t="s">
        <v>21</v>
      </c>
      <c r="Q19" s="33" t="s">
        <v>1851</v>
      </c>
      <c r="R19" s="33"/>
      <c r="S19" s="33"/>
    </row>
    <row r="20" spans="1:19" ht="15" customHeight="1" x14ac:dyDescent="0.25">
      <c r="A20" s="30" t="str">
        <f t="shared" si="0"/>
        <v>CENTRALINA_TRIP_I-Centralina trip</v>
      </c>
      <c r="B20" s="30" t="str">
        <f>VLOOKUP(A20,'EXPORT IRIS PROD 13-11-2024'!A:A,1,0)</f>
        <v>CENTRALINA_TRIP_I-Centralina trip</v>
      </c>
      <c r="C20" s="30" t="s">
        <v>1848</v>
      </c>
      <c r="D20" s="24" t="s">
        <v>1849</v>
      </c>
      <c r="E20" s="30" t="s">
        <v>1850</v>
      </c>
      <c r="F20" s="25" t="s">
        <v>53</v>
      </c>
      <c r="G20" s="26" t="s">
        <v>1880</v>
      </c>
      <c r="H20" s="26" t="s">
        <v>1881</v>
      </c>
      <c r="I20" s="27" t="s">
        <v>1106</v>
      </c>
      <c r="J20" s="27" t="s">
        <v>177</v>
      </c>
      <c r="K20" s="28" t="s">
        <v>21</v>
      </c>
      <c r="L20" s="29" t="s">
        <v>22</v>
      </c>
      <c r="M20" s="30" t="s">
        <v>23</v>
      </c>
      <c r="N20" s="31" t="s">
        <v>24</v>
      </c>
      <c r="O20" s="32" t="s">
        <v>25</v>
      </c>
      <c r="P20" s="30" t="s">
        <v>21</v>
      </c>
      <c r="Q20" s="33" t="s">
        <v>1851</v>
      </c>
      <c r="R20" s="33"/>
      <c r="S20" s="33"/>
    </row>
    <row r="21" spans="1:19" ht="15" customHeight="1" x14ac:dyDescent="0.25">
      <c r="A21" s="30" t="str">
        <f t="shared" si="0"/>
        <v>CENTRALINA_TRIP-Centralina trip</v>
      </c>
      <c r="B21" s="30" t="str">
        <f>VLOOKUP(A21,'EXPORT IRIS PROD 13-11-2024'!A:A,1,0)</f>
        <v>CENTRALINA_TRIP-Centralina trip</v>
      </c>
      <c r="C21" s="30" t="s">
        <v>1848</v>
      </c>
      <c r="D21" s="24" t="s">
        <v>1849</v>
      </c>
      <c r="E21" s="30" t="s">
        <v>1850</v>
      </c>
      <c r="F21" s="25" t="s">
        <v>53</v>
      </c>
      <c r="G21" s="26" t="s">
        <v>1882</v>
      </c>
      <c r="H21" s="26" t="s">
        <v>1881</v>
      </c>
      <c r="I21" s="27" t="s">
        <v>1106</v>
      </c>
      <c r="J21" s="27" t="s">
        <v>208</v>
      </c>
      <c r="K21" s="28" t="s">
        <v>21</v>
      </c>
      <c r="L21" s="29" t="s">
        <v>22</v>
      </c>
      <c r="M21" s="30" t="s">
        <v>23</v>
      </c>
      <c r="N21" s="31" t="s">
        <v>24</v>
      </c>
      <c r="O21" s="32" t="s">
        <v>25</v>
      </c>
      <c r="P21" s="30" t="s">
        <v>21</v>
      </c>
      <c r="Q21" s="33" t="s">
        <v>1851</v>
      </c>
      <c r="R21" s="33"/>
      <c r="S21" s="33"/>
    </row>
    <row r="22" spans="1:19" ht="15" customHeight="1" x14ac:dyDescent="0.25">
      <c r="A22" s="30" t="str">
        <f t="shared" si="0"/>
        <v>CENTRALINA_TRIP_GRUPPO-Centralina trip Gruppo</v>
      </c>
      <c r="B22" s="30" t="str">
        <f>VLOOKUP(A22,'EXPORT IRIS PROD 13-11-2024'!A:A,1,0)</f>
        <v>CENTRALINA_TRIP_GRUPPO-Centralina trip Gruppo</v>
      </c>
      <c r="C22" s="30" t="s">
        <v>1848</v>
      </c>
      <c r="D22" s="24" t="s">
        <v>1849</v>
      </c>
      <c r="E22" s="30" t="s">
        <v>1850</v>
      </c>
      <c r="F22" s="25" t="s">
        <v>53</v>
      </c>
      <c r="G22" s="26" t="s">
        <v>1883</v>
      </c>
      <c r="H22" s="26" t="s">
        <v>1884</v>
      </c>
      <c r="I22" s="27" t="s">
        <v>1106</v>
      </c>
      <c r="J22" s="27" t="s">
        <v>177</v>
      </c>
      <c r="K22" s="28" t="s">
        <v>21</v>
      </c>
      <c r="L22" s="29" t="s">
        <v>22</v>
      </c>
      <c r="M22" s="30" t="s">
        <v>23</v>
      </c>
      <c r="N22" s="31" t="s">
        <v>24</v>
      </c>
      <c r="O22" s="32" t="s">
        <v>25</v>
      </c>
      <c r="P22" s="30" t="s">
        <v>21</v>
      </c>
      <c r="Q22" s="33" t="s">
        <v>1845</v>
      </c>
      <c r="R22" s="33"/>
      <c r="S22" s="33"/>
    </row>
    <row r="23" spans="1:19" ht="15" customHeight="1" x14ac:dyDescent="0.25">
      <c r="A23" s="30" t="str">
        <f t="shared" si="0"/>
        <v>ALR_GUASTO_2_IMP-Allarme guasto dispositivo</v>
      </c>
      <c r="B23" s="30" t="str">
        <f>VLOOKUP(A23,'EXPORT IRIS PROD 13-11-2024'!A:A,1,0)</f>
        <v>ALR_GUASTO_2_IMP-Allarme guasto dispositivo</v>
      </c>
      <c r="C23" s="30" t="s">
        <v>1848</v>
      </c>
      <c r="D23" s="24" t="s">
        <v>1849</v>
      </c>
      <c r="E23" s="30" t="s">
        <v>1850</v>
      </c>
      <c r="F23" s="25" t="s">
        <v>53</v>
      </c>
      <c r="G23" s="26" t="s">
        <v>377</v>
      </c>
      <c r="H23" s="26" t="s">
        <v>375</v>
      </c>
      <c r="I23" s="27" t="s">
        <v>56</v>
      </c>
      <c r="J23" s="27" t="s">
        <v>1545</v>
      </c>
      <c r="K23" s="28" t="s">
        <v>21</v>
      </c>
      <c r="L23" s="29" t="s">
        <v>22</v>
      </c>
      <c r="M23" s="30" t="s">
        <v>23</v>
      </c>
      <c r="N23" s="31" t="s">
        <v>24</v>
      </c>
      <c r="O23" s="32" t="s">
        <v>25</v>
      </c>
      <c r="P23" s="30" t="s">
        <v>21</v>
      </c>
      <c r="Q23" s="33" t="s">
        <v>1851</v>
      </c>
      <c r="R23" s="33"/>
      <c r="S23" s="33"/>
    </row>
    <row r="24" spans="1:19" ht="15" customHeight="1" x14ac:dyDescent="0.25">
      <c r="A24" s="30" t="str">
        <f t="shared" si="0"/>
        <v>ALR_NON_PRONTO-Allarme dispositivo non pronto</v>
      </c>
      <c r="B24" s="30" t="str">
        <f>VLOOKUP(A24,'EXPORT IRIS PROD 13-11-2024'!A:A,1,0)</f>
        <v>ALR_NON_PRONTO-Allarme dispositivo non pronto</v>
      </c>
      <c r="C24" s="30" t="s">
        <v>1848</v>
      </c>
      <c r="D24" s="24" t="s">
        <v>1849</v>
      </c>
      <c r="E24" s="30" t="s">
        <v>1850</v>
      </c>
      <c r="F24" s="25" t="s">
        <v>249</v>
      </c>
      <c r="G24" s="26" t="s">
        <v>1467</v>
      </c>
      <c r="H24" s="26" t="s">
        <v>1468</v>
      </c>
      <c r="I24" s="27" t="s">
        <v>19</v>
      </c>
      <c r="J24" s="27" t="s">
        <v>167</v>
      </c>
      <c r="K24" s="28" t="s">
        <v>31</v>
      </c>
      <c r="L24" s="29" t="s">
        <v>32</v>
      </c>
      <c r="M24" s="30">
        <v>3</v>
      </c>
      <c r="N24" s="31" t="s">
        <v>33</v>
      </c>
      <c r="O24" s="32" t="s">
        <v>34</v>
      </c>
      <c r="P24" s="30" t="s">
        <v>31</v>
      </c>
      <c r="Q24" s="33" t="s">
        <v>1851</v>
      </c>
      <c r="R24" s="33"/>
      <c r="S24" s="33"/>
    </row>
    <row r="25" spans="1:19" ht="15" customHeight="1" x14ac:dyDescent="0.25">
      <c r="A25" s="30" t="str">
        <f t="shared" si="0"/>
        <v>ALR_COMUNICAZIONE_2_IMP-Allarme comunicazione dispositivo</v>
      </c>
      <c r="B25" s="30" t="str">
        <f>VLOOKUP(A25,'EXPORT IRIS PROD 13-11-2024'!A:A,1,0)</f>
        <v>ALR_COMUNICAZIONE_2_IMP-Allarme comunicazione dispositivo</v>
      </c>
      <c r="C25" s="30" t="s">
        <v>1848</v>
      </c>
      <c r="D25" s="24" t="s">
        <v>1849</v>
      </c>
      <c r="E25" s="30" t="s">
        <v>1850</v>
      </c>
      <c r="F25" s="25" t="s">
        <v>53</v>
      </c>
      <c r="G25" s="26" t="s">
        <v>253</v>
      </c>
      <c r="H25" s="26" t="s">
        <v>251</v>
      </c>
      <c r="I25" s="27" t="s">
        <v>56</v>
      </c>
      <c r="J25" s="27" t="s">
        <v>177</v>
      </c>
      <c r="K25" s="28" t="s">
        <v>21</v>
      </c>
      <c r="L25" s="29" t="s">
        <v>22</v>
      </c>
      <c r="M25" s="30" t="s">
        <v>23</v>
      </c>
      <c r="N25" s="31" t="s">
        <v>24</v>
      </c>
      <c r="O25" s="32" t="s">
        <v>25</v>
      </c>
      <c r="P25" s="30" t="s">
        <v>21</v>
      </c>
      <c r="Q25" s="33" t="s">
        <v>1851</v>
      </c>
      <c r="R25" s="33"/>
      <c r="S25" s="33"/>
    </row>
    <row r="26" spans="1:19" ht="15" customHeight="1" x14ac:dyDescent="0.25">
      <c r="A26" s="30" t="str">
        <f t="shared" si="0"/>
        <v>ALR_SURRISCALDAMENTO-Allarme surriscaldamento</v>
      </c>
      <c r="B26" s="30" t="str">
        <f>VLOOKUP(A26,'EXPORT IRIS PROD 13-11-2024'!A:A,1,0)</f>
        <v>ALR_SURRISCALDAMENTO-Allarme surriscaldamento</v>
      </c>
      <c r="C26" s="30" t="s">
        <v>1885</v>
      </c>
      <c r="D26" s="24" t="s">
        <v>1886</v>
      </c>
      <c r="E26" s="30" t="s">
        <v>1885</v>
      </c>
      <c r="F26" s="25" t="s">
        <v>198</v>
      </c>
      <c r="G26" s="26" t="s">
        <v>1887</v>
      </c>
      <c r="H26" s="26" t="s">
        <v>1888</v>
      </c>
      <c r="I26" s="27" t="s">
        <v>1337</v>
      </c>
      <c r="J26" s="27" t="s">
        <v>1321</v>
      </c>
      <c r="K26" s="28" t="s">
        <v>21</v>
      </c>
      <c r="L26" s="29" t="s">
        <v>22</v>
      </c>
      <c r="M26" s="30" t="s">
        <v>23</v>
      </c>
      <c r="N26" s="31" t="s">
        <v>24</v>
      </c>
      <c r="O26" s="32" t="s">
        <v>25</v>
      </c>
      <c r="P26" s="30" t="s">
        <v>21</v>
      </c>
      <c r="Q26" s="33" t="s">
        <v>1845</v>
      </c>
      <c r="R26" s="33"/>
      <c r="S26" s="33"/>
    </row>
    <row r="27" spans="1:19" ht="15" customHeight="1" x14ac:dyDescent="0.25">
      <c r="A27" s="30" t="str">
        <f t="shared" si="0"/>
        <v>ALR_FAULT_CORSIA_3-Allarme fault corsia veloce</v>
      </c>
      <c r="B27" s="30" t="str">
        <f>VLOOKUP(A27,'EXPORT IRIS PROD 13-11-2024'!A:A,1,0)</f>
        <v>ALR_FAULT_CORSIA_3-Allarme fault corsia veloce</v>
      </c>
      <c r="C27" s="30" t="s">
        <v>1885</v>
      </c>
      <c r="D27" s="24" t="s">
        <v>1886</v>
      </c>
      <c r="E27" s="30" t="s">
        <v>1885</v>
      </c>
      <c r="F27" s="25" t="s">
        <v>198</v>
      </c>
      <c r="G27" s="26" t="s">
        <v>1889</v>
      </c>
      <c r="H27" s="26" t="s">
        <v>1890</v>
      </c>
      <c r="I27" s="27" t="s">
        <v>1337</v>
      </c>
      <c r="J27" s="27" t="s">
        <v>1321</v>
      </c>
      <c r="K27" s="28" t="s">
        <v>21</v>
      </c>
      <c r="L27" s="29" t="s">
        <v>22</v>
      </c>
      <c r="M27" s="30" t="s">
        <v>23</v>
      </c>
      <c r="N27" s="31" t="s">
        <v>24</v>
      </c>
      <c r="O27" s="32" t="s">
        <v>25</v>
      </c>
      <c r="P27" s="30" t="s">
        <v>21</v>
      </c>
      <c r="Q27" s="33" t="s">
        <v>1845</v>
      </c>
      <c r="R27" s="33"/>
      <c r="S27" s="33"/>
    </row>
    <row r="28" spans="1:19" ht="15" customHeight="1" x14ac:dyDescent="0.25">
      <c r="A28" s="30" t="str">
        <f t="shared" si="0"/>
        <v>ALR_FAULT_CORSIA_1-Allarme fault corsia di emergenza</v>
      </c>
      <c r="B28" s="30" t="str">
        <f>VLOOKUP(A28,'EXPORT IRIS PROD 13-11-2024'!A:A,1,0)</f>
        <v>ALR_FAULT_CORSIA_1-Allarme fault corsia di emergenza</v>
      </c>
      <c r="C28" s="30" t="s">
        <v>1885</v>
      </c>
      <c r="D28" s="24" t="s">
        <v>1886</v>
      </c>
      <c r="E28" s="30" t="s">
        <v>1885</v>
      </c>
      <c r="F28" s="25" t="s">
        <v>198</v>
      </c>
      <c r="G28" s="26" t="s">
        <v>1891</v>
      </c>
      <c r="H28" s="26" t="s">
        <v>1892</v>
      </c>
      <c r="I28" s="27" t="s">
        <v>1337</v>
      </c>
      <c r="J28" s="27" t="s">
        <v>1321</v>
      </c>
      <c r="K28" s="28" t="s">
        <v>21</v>
      </c>
      <c r="L28" s="29" t="s">
        <v>22</v>
      </c>
      <c r="M28" s="30" t="s">
        <v>23</v>
      </c>
      <c r="N28" s="31" t="s">
        <v>24</v>
      </c>
      <c r="O28" s="32" t="s">
        <v>25</v>
      </c>
      <c r="P28" s="30" t="s">
        <v>21</v>
      </c>
      <c r="Q28" s="33" t="s">
        <v>1845</v>
      </c>
      <c r="R28" s="33"/>
      <c r="S28" s="33"/>
    </row>
    <row r="29" spans="1:19" ht="15" customHeight="1" x14ac:dyDescent="0.25">
      <c r="A29" s="30" t="str">
        <f t="shared" si="0"/>
        <v>ALR_FAULT_CORSIA_2-Allarme fault corsia di marcia</v>
      </c>
      <c r="B29" s="30" t="str">
        <f>VLOOKUP(A29,'EXPORT IRIS PROD 13-11-2024'!A:A,1,0)</f>
        <v>ALR_FAULT_CORSIA_2-Allarme fault corsia di marcia</v>
      </c>
      <c r="C29" s="30" t="s">
        <v>1885</v>
      </c>
      <c r="D29" s="24" t="s">
        <v>1886</v>
      </c>
      <c r="E29" s="30" t="s">
        <v>1885</v>
      </c>
      <c r="F29" s="25" t="s">
        <v>198</v>
      </c>
      <c r="G29" s="26" t="s">
        <v>1893</v>
      </c>
      <c r="H29" s="26" t="s">
        <v>1894</v>
      </c>
      <c r="I29" s="27" t="s">
        <v>1337</v>
      </c>
      <c r="J29" s="27" t="s">
        <v>1321</v>
      </c>
      <c r="K29" s="28" t="s">
        <v>21</v>
      </c>
      <c r="L29" s="29" t="s">
        <v>22</v>
      </c>
      <c r="M29" s="30" t="s">
        <v>23</v>
      </c>
      <c r="N29" s="31" t="s">
        <v>24</v>
      </c>
      <c r="O29" s="32" t="s">
        <v>25</v>
      </c>
      <c r="P29" s="30" t="s">
        <v>21</v>
      </c>
      <c r="Q29" s="33" t="s">
        <v>1845</v>
      </c>
      <c r="R29" s="33"/>
      <c r="S29" s="33"/>
    </row>
    <row r="30" spans="1:19" ht="15" customHeight="1" x14ac:dyDescent="0.25">
      <c r="A30" s="30" t="str">
        <f t="shared" si="0"/>
        <v>ALR_KO_CORSIA_1-Allarme non attiva corsia di emergenza</v>
      </c>
      <c r="B30" s="30" t="str">
        <f>VLOOKUP(A30,'EXPORT IRIS PROD 13-11-2024'!A:A,1,0)</f>
        <v>ALR_KO_CORSIA_1-Allarme non attiva corsia di emergenza</v>
      </c>
      <c r="C30" s="30" t="s">
        <v>1885</v>
      </c>
      <c r="D30" s="24" t="s">
        <v>1886</v>
      </c>
      <c r="E30" s="30" t="s">
        <v>1885</v>
      </c>
      <c r="F30" s="25" t="s">
        <v>198</v>
      </c>
      <c r="G30" s="26" t="s">
        <v>1895</v>
      </c>
      <c r="H30" s="26" t="s">
        <v>1896</v>
      </c>
      <c r="I30" s="27" t="s">
        <v>1337</v>
      </c>
      <c r="J30" s="27" t="s">
        <v>1321</v>
      </c>
      <c r="K30" s="28" t="s">
        <v>21</v>
      </c>
      <c r="L30" s="29" t="s">
        <v>22</v>
      </c>
      <c r="M30" s="30" t="s">
        <v>23</v>
      </c>
      <c r="N30" s="31" t="s">
        <v>24</v>
      </c>
      <c r="O30" s="32" t="s">
        <v>25</v>
      </c>
      <c r="P30" s="30" t="s">
        <v>21</v>
      </c>
      <c r="Q30" s="33" t="s">
        <v>1845</v>
      </c>
      <c r="R30" s="33"/>
      <c r="S30" s="33"/>
    </row>
    <row r="31" spans="1:19" ht="15" customHeight="1" x14ac:dyDescent="0.25">
      <c r="A31" s="30" t="str">
        <f t="shared" si="0"/>
        <v>ALR_KO_CORSIA_2-Allarme non attiva corsia di marcia</v>
      </c>
      <c r="B31" s="30" t="str">
        <f>VLOOKUP(A31,'EXPORT IRIS PROD 13-11-2024'!A:A,1,0)</f>
        <v>ALR_KO_CORSIA_2-Allarme non attiva corsia di marcia</v>
      </c>
      <c r="C31" s="30" t="s">
        <v>1885</v>
      </c>
      <c r="D31" s="24" t="s">
        <v>1886</v>
      </c>
      <c r="E31" s="30" t="s">
        <v>1885</v>
      </c>
      <c r="F31" s="25" t="s">
        <v>198</v>
      </c>
      <c r="G31" s="26" t="s">
        <v>1897</v>
      </c>
      <c r="H31" s="26" t="s">
        <v>1898</v>
      </c>
      <c r="I31" s="27" t="s">
        <v>1337</v>
      </c>
      <c r="J31" s="27" t="s">
        <v>1321</v>
      </c>
      <c r="K31" s="28" t="s">
        <v>21</v>
      </c>
      <c r="L31" s="29" t="s">
        <v>22</v>
      </c>
      <c r="M31" s="30" t="s">
        <v>23</v>
      </c>
      <c r="N31" s="31" t="s">
        <v>24</v>
      </c>
      <c r="O31" s="32" t="s">
        <v>25</v>
      </c>
      <c r="P31" s="30" t="s">
        <v>21</v>
      </c>
      <c r="Q31" s="33" t="s">
        <v>1845</v>
      </c>
      <c r="R31" s="33"/>
      <c r="S31" s="33"/>
    </row>
    <row r="32" spans="1:19" ht="15" customHeight="1" x14ac:dyDescent="0.25">
      <c r="A32" s="30" t="str">
        <f t="shared" si="0"/>
        <v>ALR_KO_CORSIA_3-Allarme non attiva corsia veloce</v>
      </c>
      <c r="B32" s="30" t="str">
        <f>VLOOKUP(A32,'EXPORT IRIS PROD 13-11-2024'!A:A,1,0)</f>
        <v>ALR_KO_CORSIA_3-Allarme non attiva corsia veloce</v>
      </c>
      <c r="C32" s="30" t="s">
        <v>1885</v>
      </c>
      <c r="D32" s="24" t="s">
        <v>1886</v>
      </c>
      <c r="E32" s="30" t="s">
        <v>1885</v>
      </c>
      <c r="F32" s="25" t="s">
        <v>198</v>
      </c>
      <c r="G32" s="26" t="s">
        <v>1899</v>
      </c>
      <c r="H32" s="26" t="s">
        <v>1900</v>
      </c>
      <c r="I32" s="27" t="s">
        <v>1337</v>
      </c>
      <c r="J32" s="27" t="s">
        <v>1321</v>
      </c>
      <c r="K32" s="28" t="s">
        <v>21</v>
      </c>
      <c r="L32" s="29" t="s">
        <v>22</v>
      </c>
      <c r="M32" s="30" t="s">
        <v>23</v>
      </c>
      <c r="N32" s="31" t="s">
        <v>24</v>
      </c>
      <c r="O32" s="32" t="s">
        <v>25</v>
      </c>
      <c r="P32" s="30" t="s">
        <v>21</v>
      </c>
      <c r="Q32" s="33" t="s">
        <v>1845</v>
      </c>
      <c r="R32" s="33"/>
      <c r="S32" s="33"/>
    </row>
    <row r="33" spans="1:19" ht="15" customHeight="1" x14ac:dyDescent="0.25">
      <c r="A33" s="30" t="str">
        <f t="shared" si="0"/>
        <v>ALR-SLOT-1-Allarme Slot 1</v>
      </c>
      <c r="B33" s="30" t="str">
        <f>VLOOKUP(A33,'EXPORT IRIS PROD 13-11-2024'!A:A,1,0)</f>
        <v>ALR-SLOT-1-Allarme Slot 1</v>
      </c>
      <c r="C33" s="30" t="s">
        <v>1885</v>
      </c>
      <c r="D33" s="24" t="s">
        <v>1886</v>
      </c>
      <c r="E33" s="30" t="s">
        <v>1885</v>
      </c>
      <c r="F33" s="78" t="s">
        <v>16</v>
      </c>
      <c r="G33" s="26" t="s">
        <v>1901</v>
      </c>
      <c r="H33" s="26" t="s">
        <v>1902</v>
      </c>
      <c r="I33" s="27" t="s">
        <v>19</v>
      </c>
      <c r="J33" s="27" t="s">
        <v>258</v>
      </c>
      <c r="K33" s="28" t="s">
        <v>21</v>
      </c>
      <c r="L33" s="29" t="s">
        <v>22</v>
      </c>
      <c r="M33" s="30" t="s">
        <v>23</v>
      </c>
      <c r="N33" s="31" t="s">
        <v>24</v>
      </c>
      <c r="O33" s="32" t="s">
        <v>25</v>
      </c>
      <c r="P33" s="30" t="s">
        <v>21</v>
      </c>
      <c r="Q33" s="33" t="s">
        <v>1845</v>
      </c>
      <c r="R33" s="33"/>
      <c r="S33" s="33"/>
    </row>
    <row r="34" spans="1:19" ht="15" customHeight="1" x14ac:dyDescent="0.25">
      <c r="A34" s="30" t="str">
        <f t="shared" ref="A34:A66" si="1">CONCATENATE(G34,"-",H34)</f>
        <v>ALR-SLOT-2-Allarme Slot 2</v>
      </c>
      <c r="B34" s="30" t="str">
        <f>VLOOKUP(A34,'EXPORT IRIS PROD 13-11-2024'!A:A,1,0)</f>
        <v>ALR-SLOT-2-Allarme Slot 2</v>
      </c>
      <c r="C34" s="30" t="s">
        <v>1885</v>
      </c>
      <c r="D34" s="24" t="s">
        <v>1886</v>
      </c>
      <c r="E34" s="30" t="s">
        <v>1885</v>
      </c>
      <c r="F34" s="78" t="s">
        <v>16</v>
      </c>
      <c r="G34" s="26" t="s">
        <v>1903</v>
      </c>
      <c r="H34" s="26" t="s">
        <v>1904</v>
      </c>
      <c r="I34" s="27" t="s">
        <v>19</v>
      </c>
      <c r="J34" s="27" t="s">
        <v>258</v>
      </c>
      <c r="K34" s="28" t="s">
        <v>21</v>
      </c>
      <c r="L34" s="29" t="s">
        <v>22</v>
      </c>
      <c r="M34" s="30" t="s">
        <v>23</v>
      </c>
      <c r="N34" s="31" t="s">
        <v>24</v>
      </c>
      <c r="O34" s="32" t="s">
        <v>25</v>
      </c>
      <c r="P34" s="30" t="s">
        <v>21</v>
      </c>
      <c r="Q34" s="33" t="s">
        <v>1845</v>
      </c>
      <c r="R34" s="33"/>
      <c r="S34" s="33"/>
    </row>
    <row r="35" spans="1:19" ht="15" customHeight="1" x14ac:dyDescent="0.25">
      <c r="A35" s="30" t="str">
        <f t="shared" si="1"/>
        <v>ALR-SLOT-3-Allarme Slot 3</v>
      </c>
      <c r="B35" s="30" t="str">
        <f>VLOOKUP(A35,'EXPORT IRIS PROD 13-11-2024'!A:A,1,0)</f>
        <v>ALR-SLOT-3-Allarme Slot 3</v>
      </c>
      <c r="C35" s="30" t="s">
        <v>1885</v>
      </c>
      <c r="D35" s="24" t="s">
        <v>1886</v>
      </c>
      <c r="E35" s="30" t="s">
        <v>1885</v>
      </c>
      <c r="F35" s="78" t="s">
        <v>16</v>
      </c>
      <c r="G35" s="26" t="s">
        <v>1905</v>
      </c>
      <c r="H35" s="26" t="s">
        <v>1906</v>
      </c>
      <c r="I35" s="27" t="s">
        <v>19</v>
      </c>
      <c r="J35" s="27" t="s">
        <v>258</v>
      </c>
      <c r="K35" s="28" t="s">
        <v>21</v>
      </c>
      <c r="L35" s="29" t="s">
        <v>22</v>
      </c>
      <c r="M35" s="30" t="s">
        <v>23</v>
      </c>
      <c r="N35" s="31" t="s">
        <v>24</v>
      </c>
      <c r="O35" s="32" t="s">
        <v>25</v>
      </c>
      <c r="P35" s="30" t="s">
        <v>21</v>
      </c>
      <c r="Q35" s="33" t="s">
        <v>1845</v>
      </c>
      <c r="R35" s="33"/>
      <c r="S35" s="33"/>
    </row>
    <row r="36" spans="1:19" ht="15" customHeight="1" x14ac:dyDescent="0.25">
      <c r="A36" s="30" t="str">
        <f t="shared" si="1"/>
        <v>ALR_COMUNICAZIONE_MODULO-Allarme comunicazione modulo</v>
      </c>
      <c r="B36" s="30" t="str">
        <f>VLOOKUP(A36,'EXPORT IRIS PROD 13-11-2024'!A:A,1,0)</f>
        <v>ALR_COMUNICAZIONE_MODULO-Allarme comunicazione modulo</v>
      </c>
      <c r="C36" s="30" t="s">
        <v>1885</v>
      </c>
      <c r="D36" s="24" t="s">
        <v>1886</v>
      </c>
      <c r="E36" s="30" t="s">
        <v>1885</v>
      </c>
      <c r="F36" s="78" t="s">
        <v>16</v>
      </c>
      <c r="G36" s="26" t="s">
        <v>1907</v>
      </c>
      <c r="H36" s="26" t="s">
        <v>1908</v>
      </c>
      <c r="I36" s="27" t="s">
        <v>19</v>
      </c>
      <c r="J36" s="27" t="s">
        <v>258</v>
      </c>
      <c r="K36" s="28" t="s">
        <v>21</v>
      </c>
      <c r="L36" s="29" t="s">
        <v>22</v>
      </c>
      <c r="M36" s="30" t="s">
        <v>23</v>
      </c>
      <c r="N36" s="31" t="s">
        <v>24</v>
      </c>
      <c r="O36" s="32" t="s">
        <v>25</v>
      </c>
      <c r="P36" s="30" t="s">
        <v>21</v>
      </c>
      <c r="Q36" s="33" t="s">
        <v>1845</v>
      </c>
      <c r="R36" s="33"/>
      <c r="S36" s="33"/>
    </row>
    <row r="37" spans="1:19" ht="15" customHeight="1" x14ac:dyDescent="0.25">
      <c r="A37" s="30" t="str">
        <f t="shared" si="1"/>
        <v>INCENDIO_IN_GALLERIA_DA_TLC_NORD-Allarme incendio in galleria da TLC Nord</v>
      </c>
      <c r="B37" s="30" t="str">
        <f>VLOOKUP(A37,'EXPORT IRIS PROD 13-11-2024'!A:A,1,0)</f>
        <v>INCENDIO_IN_GALLERIA_DA_TLC_NORD-Allarme incendio in galleria da TLC Nord</v>
      </c>
      <c r="C37" s="30" t="s">
        <v>1885</v>
      </c>
      <c r="D37" s="24" t="s">
        <v>1886</v>
      </c>
      <c r="E37" s="30" t="s">
        <v>1885</v>
      </c>
      <c r="F37" s="25" t="s">
        <v>40</v>
      </c>
      <c r="G37" s="26" t="s">
        <v>1909</v>
      </c>
      <c r="H37" s="26" t="s">
        <v>1910</v>
      </c>
      <c r="I37" s="27" t="s">
        <v>43</v>
      </c>
      <c r="J37" s="27" t="s">
        <v>394</v>
      </c>
      <c r="K37" s="28" t="s">
        <v>31</v>
      </c>
      <c r="L37" s="29" t="s">
        <v>32</v>
      </c>
      <c r="M37" s="30">
        <v>2</v>
      </c>
      <c r="N37" s="31" t="s">
        <v>45</v>
      </c>
      <c r="O37" s="32" t="s">
        <v>46</v>
      </c>
      <c r="P37" s="30" t="s">
        <v>31</v>
      </c>
      <c r="Q37" s="33" t="s">
        <v>1845</v>
      </c>
      <c r="R37" s="33"/>
      <c r="S37" s="33"/>
    </row>
    <row r="38" spans="1:19" ht="15" customHeight="1" x14ac:dyDescent="0.25">
      <c r="A38" s="30" t="str">
        <f t="shared" si="1"/>
        <v>INCENDIO_IN_GALLERIA_DA_TLC_SUD-Allarme incendio in galleria da TLC Sud</v>
      </c>
      <c r="B38" s="30" t="str">
        <f>VLOOKUP(A38,'EXPORT IRIS PROD 13-11-2024'!A:A,1,0)</f>
        <v>INCENDIO_IN_GALLERIA_DA_TLC_SUD-Allarme incendio in galleria da TLC Sud</v>
      </c>
      <c r="C38" s="30" t="s">
        <v>1885</v>
      </c>
      <c r="D38" s="24" t="s">
        <v>1886</v>
      </c>
      <c r="E38" s="30" t="s">
        <v>1885</v>
      </c>
      <c r="F38" s="25" t="s">
        <v>40</v>
      </c>
      <c r="G38" s="26" t="s">
        <v>1911</v>
      </c>
      <c r="H38" s="26" t="s">
        <v>1912</v>
      </c>
      <c r="I38" s="27" t="s">
        <v>43</v>
      </c>
      <c r="J38" s="27" t="s">
        <v>394</v>
      </c>
      <c r="K38" s="28" t="s">
        <v>31</v>
      </c>
      <c r="L38" s="71" t="s">
        <v>32</v>
      </c>
      <c r="M38" s="30">
        <v>2</v>
      </c>
      <c r="N38" s="72" t="s">
        <v>45</v>
      </c>
      <c r="O38" s="30" t="s">
        <v>46</v>
      </c>
      <c r="P38" s="30" t="s">
        <v>31</v>
      </c>
      <c r="Q38" s="33" t="s">
        <v>1845</v>
      </c>
      <c r="R38" s="33"/>
      <c r="S38" s="33"/>
    </row>
    <row r="39" spans="1:19" x14ac:dyDescent="0.25">
      <c r="A39" s="30" t="str">
        <f t="shared" si="1"/>
        <v>ALR_COMUNICAZIONE_PORTA_1-Allarme comunicazione porta 1</v>
      </c>
      <c r="B39" s="30" t="str">
        <f>VLOOKUP(A39,'EXPORT IRIS PROD 13-11-2024'!A:A,1,0)</f>
        <v>ALR_COMUNICAZIONE_PORTA_1-Allarme comunicazione porta 1</v>
      </c>
      <c r="C39" s="30" t="s">
        <v>1913</v>
      </c>
      <c r="D39" s="24" t="s">
        <v>1914</v>
      </c>
      <c r="E39" s="30" t="s">
        <v>1915</v>
      </c>
      <c r="F39" s="25" t="s">
        <v>16</v>
      </c>
      <c r="G39" s="26" t="s">
        <v>1916</v>
      </c>
      <c r="H39" s="26" t="s">
        <v>1917</v>
      </c>
      <c r="I39" s="27" t="s">
        <v>1156</v>
      </c>
      <c r="J39" s="27" t="s">
        <v>1157</v>
      </c>
      <c r="K39" s="28" t="s">
        <v>21</v>
      </c>
      <c r="L39" s="71" t="s">
        <v>22</v>
      </c>
      <c r="M39" s="30" t="s">
        <v>23</v>
      </c>
      <c r="N39" s="72" t="s">
        <v>24</v>
      </c>
      <c r="O39" s="30" t="str" cm="1">
        <f t="array" ref="O39">_xlfn.IFS(N39="Bassa", "Blu", N39="Media", "Arancione", N39="Alta", "Rosso", N39="Altissima", "Viola")</f>
        <v>Blu</v>
      </c>
      <c r="P39" s="30" t="s">
        <v>21</v>
      </c>
      <c r="Q39" s="33" t="s">
        <v>1845</v>
      </c>
      <c r="R39" s="33"/>
      <c r="S39" s="33"/>
    </row>
    <row r="40" spans="1:19" x14ac:dyDescent="0.25">
      <c r="A40" s="30" t="str">
        <f t="shared" si="1"/>
        <v>ALR_COMUNICAZIONE_PORTA_2-Allarme comunicazione porta 2</v>
      </c>
      <c r="B40" s="30" t="str">
        <f>VLOOKUP(A40,'EXPORT IRIS PROD 13-11-2024'!A:A,1,0)</f>
        <v>ALR_COMUNICAZIONE_PORTA_2-Allarme comunicazione porta 2</v>
      </c>
      <c r="C40" s="30" t="s">
        <v>1913</v>
      </c>
      <c r="D40" s="24" t="s">
        <v>1914</v>
      </c>
      <c r="E40" s="30" t="s">
        <v>1915</v>
      </c>
      <c r="F40" s="25" t="s">
        <v>16</v>
      </c>
      <c r="G40" s="26" t="s">
        <v>1918</v>
      </c>
      <c r="H40" s="26" t="s">
        <v>1919</v>
      </c>
      <c r="I40" s="27" t="s">
        <v>1156</v>
      </c>
      <c r="J40" s="27" t="s">
        <v>1157</v>
      </c>
      <c r="K40" s="28" t="s">
        <v>21</v>
      </c>
      <c r="L40" s="71" t="s">
        <v>22</v>
      </c>
      <c r="M40" s="30" t="s">
        <v>23</v>
      </c>
      <c r="N40" s="72" t="s">
        <v>24</v>
      </c>
      <c r="O40" s="30" t="str" cm="1">
        <f t="array" ref="O40">_xlfn.IFS(N40="Bassa", "Blu", N40="Media", "Arancione", N40="Alta", "Rosso", N40="Altissima", "Viola")</f>
        <v>Blu</v>
      </c>
      <c r="P40" s="30" t="s">
        <v>21</v>
      </c>
      <c r="Q40" s="33" t="s">
        <v>1845</v>
      </c>
      <c r="R40" s="33"/>
      <c r="S40" s="33"/>
    </row>
    <row r="41" spans="1:19" x14ac:dyDescent="0.25">
      <c r="A41" s="30" t="str">
        <f t="shared" si="1"/>
        <v>ALR_COMUNICAZIONE_PORTA_3-Allarme comunicazione porta 3</v>
      </c>
      <c r="B41" s="30" t="str">
        <f>VLOOKUP(A41,'EXPORT IRIS PROD 13-11-2024'!A:A,1,0)</f>
        <v>ALR_COMUNICAZIONE_PORTA_3-Allarme comunicazione porta 3</v>
      </c>
      <c r="C41" s="30" t="s">
        <v>1913</v>
      </c>
      <c r="D41" s="24" t="s">
        <v>1914</v>
      </c>
      <c r="E41" s="30" t="s">
        <v>1915</v>
      </c>
      <c r="F41" s="25" t="s">
        <v>16</v>
      </c>
      <c r="G41" s="26" t="s">
        <v>1920</v>
      </c>
      <c r="H41" s="26" t="s">
        <v>1921</v>
      </c>
      <c r="I41" s="27" t="s">
        <v>1156</v>
      </c>
      <c r="J41" s="27" t="s">
        <v>1157</v>
      </c>
      <c r="K41" s="28" t="s">
        <v>21</v>
      </c>
      <c r="L41" s="71" t="s">
        <v>22</v>
      </c>
      <c r="M41" s="30" t="s">
        <v>23</v>
      </c>
      <c r="N41" s="72" t="s">
        <v>24</v>
      </c>
      <c r="O41" s="30" t="str" cm="1">
        <f t="array" ref="O41">_xlfn.IFS(N41="Bassa", "Blu", N41="Media", "Arancione", N41="Alta", "Rosso", N41="Altissima", "Viola")</f>
        <v>Blu</v>
      </c>
      <c r="P41" s="30" t="s">
        <v>21</v>
      </c>
      <c r="Q41" s="33" t="s">
        <v>1845</v>
      </c>
      <c r="R41" s="33"/>
      <c r="S41" s="33"/>
    </row>
    <row r="42" spans="1:19" x14ac:dyDescent="0.25">
      <c r="A42" s="30" t="str">
        <f t="shared" si="1"/>
        <v>ALR_ROTTURA_CAVO_2-Allarme rottura cavo termosensibile 2</v>
      </c>
      <c r="B42" s="30" t="str">
        <f>VLOOKUP(A42,'EXPORT IRIS PROD 13-11-2024'!A:A,1,0)</f>
        <v>ALR_ROTTURA_CAVO_2-Allarme rottura cavo termosensibile 2</v>
      </c>
      <c r="C42" s="30" t="s">
        <v>1922</v>
      </c>
      <c r="D42" s="24" t="s">
        <v>1923</v>
      </c>
      <c r="E42" s="30" t="s">
        <v>1924</v>
      </c>
      <c r="F42" s="25" t="s">
        <v>105</v>
      </c>
      <c r="G42" s="26" t="s">
        <v>1925</v>
      </c>
      <c r="H42" s="26" t="s">
        <v>1926</v>
      </c>
      <c r="I42" s="27" t="s">
        <v>43</v>
      </c>
      <c r="J42" s="27" t="s">
        <v>1927</v>
      </c>
      <c r="K42" s="28" t="s">
        <v>31</v>
      </c>
      <c r="L42" s="71" t="s">
        <v>32</v>
      </c>
      <c r="M42" s="30">
        <v>3</v>
      </c>
      <c r="N42" s="72" t="s">
        <v>33</v>
      </c>
      <c r="O42" s="30" t="s">
        <v>34</v>
      </c>
      <c r="P42" s="30" t="s">
        <v>31</v>
      </c>
      <c r="Q42" s="33" t="s">
        <v>1845</v>
      </c>
      <c r="R42" s="33"/>
      <c r="S42" s="33"/>
    </row>
    <row r="43" spans="1:19" x14ac:dyDescent="0.25">
      <c r="A43" s="30" t="str">
        <f t="shared" si="1"/>
        <v>ALR_GUASTO_FIBRA_2-Allarme guasto fibra 2</v>
      </c>
      <c r="B43" s="30" t="str">
        <f>VLOOKUP(A43,'EXPORT IRIS PROD 13-11-2024'!A:A,1,0)</f>
        <v>ALR_GUASTO_FIBRA_2-Allarme guasto fibra 2</v>
      </c>
      <c r="C43" s="30" t="s">
        <v>1922</v>
      </c>
      <c r="D43" s="24" t="s">
        <v>1923</v>
      </c>
      <c r="E43" s="30" t="s">
        <v>1924</v>
      </c>
      <c r="F43" s="25" t="s">
        <v>105</v>
      </c>
      <c r="G43" s="26" t="s">
        <v>1928</v>
      </c>
      <c r="H43" s="26" t="s">
        <v>1929</v>
      </c>
      <c r="I43" s="27" t="s">
        <v>43</v>
      </c>
      <c r="J43" s="27" t="s">
        <v>1927</v>
      </c>
      <c r="K43" s="28" t="s">
        <v>31</v>
      </c>
      <c r="L43" s="71" t="s">
        <v>32</v>
      </c>
      <c r="M43" s="30">
        <v>3</v>
      </c>
      <c r="N43" s="72" t="s">
        <v>33</v>
      </c>
      <c r="O43" s="30" t="s">
        <v>34</v>
      </c>
      <c r="P43" s="30" t="s">
        <v>31</v>
      </c>
      <c r="Q43" s="33" t="s">
        <v>1845</v>
      </c>
      <c r="R43" s="33"/>
      <c r="S43" s="33"/>
    </row>
    <row r="44" spans="1:19" x14ac:dyDescent="0.25">
      <c r="A44" s="30" t="str">
        <f t="shared" si="1"/>
        <v>ALLARME_PRESSIONE-Allarme pressione</v>
      </c>
      <c r="B44" s="30" t="str">
        <f>VLOOKUP(A44,'EXPORT IRIS PROD 13-11-2024'!A:A,1,0)</f>
        <v>ALLARME_PRESSIONE-Allarme pressione</v>
      </c>
      <c r="C44" s="30" t="s">
        <v>1922</v>
      </c>
      <c r="D44" s="24" t="s">
        <v>1923</v>
      </c>
      <c r="E44" s="30" t="s">
        <v>1924</v>
      </c>
      <c r="F44" s="25" t="s">
        <v>105</v>
      </c>
      <c r="G44" s="26" t="s">
        <v>1930</v>
      </c>
      <c r="H44" s="26" t="s">
        <v>1505</v>
      </c>
      <c r="I44" s="27" t="s">
        <v>43</v>
      </c>
      <c r="J44" s="27" t="s">
        <v>1931</v>
      </c>
      <c r="K44" s="28" t="s">
        <v>21</v>
      </c>
      <c r="L44" s="71" t="s">
        <v>22</v>
      </c>
      <c r="M44" s="30" t="s">
        <v>23</v>
      </c>
      <c r="N44" s="72" t="s">
        <v>24</v>
      </c>
      <c r="O44" s="30" t="str" cm="1">
        <f t="array" ref="O44">_xlfn.IFS(N44="Bassa", "Blu", N44="Media", "Arancione", N44="Alta", "Rosso", N44="Altissima", "Viola")</f>
        <v>Blu</v>
      </c>
      <c r="P44" s="30" t="s">
        <v>21</v>
      </c>
      <c r="Q44" s="73" t="s">
        <v>1845</v>
      </c>
      <c r="R44" s="33"/>
      <c r="S44" s="33"/>
    </row>
    <row r="45" spans="1:19" x14ac:dyDescent="0.25">
      <c r="A45" s="30" t="str">
        <f t="shared" si="1"/>
        <v>ALR_DISPOSITIVO_BLOCCATO-Allarme dispositivo bloccato/non disponibile</v>
      </c>
      <c r="B45" s="30" t="str">
        <f>VLOOKUP(A45,'EXPORT IRIS PROD 13-11-2024'!A:A,1,0)</f>
        <v>ALR_DISPOSITIVO_BLOCCATO-Allarme dispositivo bloccato/non disponibile</v>
      </c>
      <c r="C45" s="30" t="s">
        <v>1922</v>
      </c>
      <c r="D45" s="24" t="s">
        <v>1923</v>
      </c>
      <c r="E45" s="30" t="s">
        <v>1924</v>
      </c>
      <c r="F45" s="25" t="s">
        <v>863</v>
      </c>
      <c r="G45" s="26" t="s">
        <v>1932</v>
      </c>
      <c r="H45" s="78" t="s">
        <v>1933</v>
      </c>
      <c r="I45" s="27" t="s">
        <v>50</v>
      </c>
      <c r="J45" s="27" t="s">
        <v>1934</v>
      </c>
      <c r="K45" s="28" t="s">
        <v>21</v>
      </c>
      <c r="L45" s="71" t="s">
        <v>22</v>
      </c>
      <c r="M45" s="30" t="s">
        <v>23</v>
      </c>
      <c r="N45" s="72" t="s">
        <v>24</v>
      </c>
      <c r="O45" s="30" t="s">
        <v>25</v>
      </c>
      <c r="P45" s="30" t="s">
        <v>21</v>
      </c>
      <c r="Q45" s="73" t="s">
        <v>1845</v>
      </c>
      <c r="R45" s="33"/>
      <c r="S45" s="33"/>
    </row>
    <row r="46" spans="1:19" x14ac:dyDescent="0.25">
      <c r="A46" s="30" t="str">
        <f t="shared" si="1"/>
        <v>ALR_GALLEGGIANTE_VANO_TECNICO-Chiusura Allarme galleggiante vano tecnico</v>
      </c>
      <c r="B46" s="30" t="str">
        <f>VLOOKUP(A46,'EXPORT IRIS PROD 13-11-2024'!A:A,1,0)</f>
        <v>ALR_GALLEGGIANTE_VANO_TECNICO-Chiusura Allarme galleggiante vano tecnico</v>
      </c>
      <c r="C46" s="30" t="s">
        <v>1935</v>
      </c>
      <c r="D46" s="24" t="s">
        <v>1936</v>
      </c>
      <c r="E46" s="30" t="s">
        <v>1885</v>
      </c>
      <c r="F46" s="25" t="s">
        <v>105</v>
      </c>
      <c r="G46" s="26" t="s">
        <v>1937</v>
      </c>
      <c r="H46" s="26" t="s">
        <v>1938</v>
      </c>
      <c r="I46" s="27" t="s">
        <v>43</v>
      </c>
      <c r="J46" s="27" t="s">
        <v>480</v>
      </c>
      <c r="K46" s="28" t="s">
        <v>21</v>
      </c>
      <c r="L46" s="71" t="s">
        <v>22</v>
      </c>
      <c r="M46" s="30" t="s">
        <v>23</v>
      </c>
      <c r="N46" s="72" t="s">
        <v>24</v>
      </c>
      <c r="O46" s="30" t="str" cm="1">
        <f t="array" ref="O46">_xlfn.IFS(N46="Bassa", "Blu", N46="Media", "Arancione", N46="Alta", "Rosso", N46="Altissima", "Viola")</f>
        <v>Blu</v>
      </c>
      <c r="P46" s="30" t="s">
        <v>21</v>
      </c>
      <c r="Q46" s="73" t="s">
        <v>1845</v>
      </c>
      <c r="R46" s="33"/>
      <c r="S46" s="33"/>
    </row>
    <row r="47" spans="1:19" s="70" customFormat="1" x14ac:dyDescent="0.25">
      <c r="A47" s="30" t="str">
        <f t="shared" si="1"/>
        <v>ALR_MALFUNZIONAMENTO-Allarme malfunzionamento</v>
      </c>
      <c r="B47" s="30" t="str">
        <f>VLOOKUP(A47,'EXPORT IRIS PROD 13-11-2024'!A:A,1,0)</f>
        <v>ALR_MALFUNZIONAMENTO-Allarme malfunzionamento</v>
      </c>
      <c r="C47" s="30" t="s">
        <v>1840</v>
      </c>
      <c r="D47" s="24" t="s">
        <v>1939</v>
      </c>
      <c r="E47" s="30" t="s">
        <v>1940</v>
      </c>
      <c r="F47" s="25" t="s">
        <v>213</v>
      </c>
      <c r="G47" s="26" t="s">
        <v>1941</v>
      </c>
      <c r="H47" s="26" t="s">
        <v>1942</v>
      </c>
      <c r="I47" s="27" t="s">
        <v>50</v>
      </c>
      <c r="J47" s="27" t="s">
        <v>1943</v>
      </c>
      <c r="K47" s="28" t="s">
        <v>21</v>
      </c>
      <c r="L47" s="71" t="s">
        <v>22</v>
      </c>
      <c r="M47" s="30" t="s">
        <v>23</v>
      </c>
      <c r="N47" s="72" t="s">
        <v>24</v>
      </c>
      <c r="O47" s="30" t="str" cm="1">
        <f t="array" ref="O47">_xlfn.IFS(N47="Bassa", "Blu", N47="Media", "Arancione", N47="Alta", "Rosso", N47="Altissima", "Viola")</f>
        <v>Blu</v>
      </c>
      <c r="P47" s="30" t="s">
        <v>21</v>
      </c>
      <c r="Q47" s="73" t="s">
        <v>1845</v>
      </c>
      <c r="R47" s="69"/>
      <c r="S47" s="33"/>
    </row>
    <row r="48" spans="1:19" x14ac:dyDescent="0.25">
      <c r="A48" s="30" t="str">
        <f t="shared" si="1"/>
        <v>ALR_TIMEOUT_LUCE_GIALLA_LAMPEGGIANTE-Allarme timeout semaforo luce gialla lampeggiante</v>
      </c>
      <c r="B48" s="30" t="str">
        <f>VLOOKUP(A48,'EXPORT IRIS PROD 13-11-2024'!A:A,1,0)</f>
        <v>ALR_TIMEOUT_LUCE_GIALLA_LAMPEGGIANTE-Allarme timeout semaforo luce gialla lampeggiante</v>
      </c>
      <c r="C48" s="30" t="s">
        <v>1840</v>
      </c>
      <c r="D48" s="24" t="s">
        <v>1939</v>
      </c>
      <c r="E48" s="30" t="s">
        <v>1940</v>
      </c>
      <c r="F48" s="25" t="s">
        <v>109</v>
      </c>
      <c r="G48" s="26" t="s">
        <v>1944</v>
      </c>
      <c r="H48" s="26" t="s">
        <v>1945</v>
      </c>
      <c r="I48" s="27" t="s">
        <v>111</v>
      </c>
      <c r="J48" s="27" t="s">
        <v>376</v>
      </c>
      <c r="K48" s="28" t="s">
        <v>21</v>
      </c>
      <c r="L48" s="71" t="s">
        <v>22</v>
      </c>
      <c r="M48" s="30" t="s">
        <v>23</v>
      </c>
      <c r="N48" s="72" t="s">
        <v>24</v>
      </c>
      <c r="O48" s="30" t="str" cm="1">
        <f t="array" ref="O48">_xlfn.IFS(N48="Bassa", "Blu", N48="Media", "Arancione", N48="Alta", "Rosso", N48="Altissima", "Viola")</f>
        <v>Blu</v>
      </c>
      <c r="P48" s="30" t="s">
        <v>21</v>
      </c>
      <c r="Q48" s="73" t="s">
        <v>1845</v>
      </c>
      <c r="R48" s="33"/>
      <c r="S48" s="33"/>
    </row>
    <row r="49" spans="1:19" s="70" customFormat="1" x14ac:dyDescent="0.25">
      <c r="A49" s="30" t="str">
        <f t="shared" si="1"/>
        <v>ALR_MALFUNZIONAMENTO-Allarme malfunzionamento</v>
      </c>
      <c r="B49" s="30" t="str">
        <f>VLOOKUP(A49,'EXPORT IRIS PROD 13-11-2024'!A:A,1,0)</f>
        <v>ALR_MALFUNZIONAMENTO-Allarme malfunzionamento</v>
      </c>
      <c r="C49" s="30" t="s">
        <v>1840</v>
      </c>
      <c r="D49" s="24" t="s">
        <v>1939</v>
      </c>
      <c r="E49" s="30" t="s">
        <v>1940</v>
      </c>
      <c r="F49" s="79" t="s">
        <v>213</v>
      </c>
      <c r="G49" s="26" t="s">
        <v>1941</v>
      </c>
      <c r="H49" s="26" t="s">
        <v>1942</v>
      </c>
      <c r="I49" s="27" t="s">
        <v>50</v>
      </c>
      <c r="J49" s="27" t="s">
        <v>1943</v>
      </c>
      <c r="K49" s="28" t="s">
        <v>21</v>
      </c>
      <c r="L49" s="71" t="s">
        <v>22</v>
      </c>
      <c r="M49" s="30" t="s">
        <v>23</v>
      </c>
      <c r="N49" s="72" t="s">
        <v>24</v>
      </c>
      <c r="O49" s="30" t="str" cm="1">
        <f t="array" ref="O49">_xlfn.IFS(N49="Bassa", "Blu", N49="Media", "Arancione", N49="Alta", "Rosso", N49="Altissima", "Viola")</f>
        <v>Blu</v>
      </c>
      <c r="P49" s="30" t="s">
        <v>21</v>
      </c>
      <c r="Q49" s="73" t="s">
        <v>1845</v>
      </c>
      <c r="R49" s="69"/>
      <c r="S49" s="33"/>
    </row>
    <row r="50" spans="1:19" x14ac:dyDescent="0.25">
      <c r="A50" s="30" t="str">
        <f t="shared" si="1"/>
        <v>ALR_TIMEOUT_LUCE_GIALLA_LAMPEGGIANTE-Allarme timeout semaforo luce gialla lampeggiante</v>
      </c>
      <c r="B50" s="30" t="str">
        <f>VLOOKUP(A50,'EXPORT IRIS PROD 13-11-2024'!A:A,1,0)</f>
        <v>ALR_TIMEOUT_LUCE_GIALLA_LAMPEGGIANTE-Allarme timeout semaforo luce gialla lampeggiante</v>
      </c>
      <c r="C50" s="62" t="s">
        <v>1840</v>
      </c>
      <c r="D50" s="63" t="s">
        <v>1939</v>
      </c>
      <c r="E50" s="62" t="s">
        <v>1940</v>
      </c>
      <c r="F50" s="64" t="s">
        <v>109</v>
      </c>
      <c r="G50" s="65" t="s">
        <v>1944</v>
      </c>
      <c r="H50" s="65" t="s">
        <v>1945</v>
      </c>
      <c r="I50" s="66" t="s">
        <v>111</v>
      </c>
      <c r="J50" s="66" t="s">
        <v>376</v>
      </c>
      <c r="K50" s="67" t="s">
        <v>21</v>
      </c>
      <c r="L50" s="74" t="s">
        <v>22</v>
      </c>
      <c r="M50" s="62" t="s">
        <v>23</v>
      </c>
      <c r="N50" s="75" t="s">
        <v>24</v>
      </c>
      <c r="O50" s="62" t="str" cm="1">
        <f t="array" ref="O50">_xlfn.IFS(N50="Bassa", "Blu", N50="Media", "Arancione", N50="Alta", "Rosso", N50="Altissima", "Viola")</f>
        <v>Blu</v>
      </c>
      <c r="P50" s="62" t="s">
        <v>21</v>
      </c>
      <c r="Q50" s="76" t="s">
        <v>1845</v>
      </c>
      <c r="R50" s="33"/>
      <c r="S50" s="33"/>
    </row>
    <row r="51" spans="1:19" x14ac:dyDescent="0.25">
      <c r="A51" s="30" t="str">
        <f t="shared" si="1"/>
        <v>CONGESTION-Coda da tempi di percorrenza</v>
      </c>
      <c r="B51" s="30" t="str">
        <f>VLOOKUP(A51,'EXPORT IRIS PROD 13-11-2024'!A:A,1,0)</f>
        <v>CONGESTION-Coda da tempi di percorrenza</v>
      </c>
      <c r="C51" s="30" t="s">
        <v>1946</v>
      </c>
      <c r="D51" s="24" t="s">
        <v>1946</v>
      </c>
      <c r="E51" s="30" t="s">
        <v>1946</v>
      </c>
      <c r="F51" s="25" t="s">
        <v>807</v>
      </c>
      <c r="G51" s="26" t="s">
        <v>1947</v>
      </c>
      <c r="H51" s="26" t="s">
        <v>1948</v>
      </c>
      <c r="I51" s="66"/>
      <c r="J51" s="66"/>
      <c r="K51" s="28" t="s">
        <v>31</v>
      </c>
      <c r="L51" s="77" t="s">
        <v>32</v>
      </c>
      <c r="M51" s="72">
        <v>1</v>
      </c>
      <c r="N51" s="72" t="s">
        <v>24</v>
      </c>
      <c r="O51" s="72" t="s">
        <v>25</v>
      </c>
      <c r="P51" s="30" t="s">
        <v>21</v>
      </c>
      <c r="Q51" s="33" t="s">
        <v>1845</v>
      </c>
      <c r="R51" s="33"/>
      <c r="S51" s="33"/>
    </row>
    <row r="52" spans="1:19" x14ac:dyDescent="0.25">
      <c r="A52" s="30" t="str">
        <f t="shared" si="1"/>
        <v>SLOWDOWN-RALLENTAMENTO DA TEMPI DI PERCORRENZA</v>
      </c>
      <c r="B52" s="30" t="str">
        <f>VLOOKUP(A52,'EXPORT IRIS PROD 13-11-2024'!A:A,1,0)</f>
        <v>SLOWDOWN-RALLENTAMENTO DA TEMPI DI PERCORRENZA</v>
      </c>
      <c r="C52" s="30" t="s">
        <v>1946</v>
      </c>
      <c r="D52" s="24" t="s">
        <v>1946</v>
      </c>
      <c r="E52" s="30" t="s">
        <v>1946</v>
      </c>
      <c r="F52" s="25" t="s">
        <v>822</v>
      </c>
      <c r="G52" s="26" t="s">
        <v>1949</v>
      </c>
      <c r="H52" s="26" t="s">
        <v>1950</v>
      </c>
      <c r="I52" s="27"/>
      <c r="J52" s="27"/>
      <c r="K52" s="28" t="s">
        <v>31</v>
      </c>
      <c r="L52" s="77" t="s">
        <v>32</v>
      </c>
      <c r="M52" s="72">
        <v>1</v>
      </c>
      <c r="N52" s="72" t="s">
        <v>24</v>
      </c>
      <c r="O52" s="72" t="s">
        <v>25</v>
      </c>
      <c r="P52" s="30" t="s">
        <v>21</v>
      </c>
      <c r="Q52" s="33" t="s">
        <v>1845</v>
      </c>
      <c r="R52" s="33"/>
      <c r="S52" s="33"/>
    </row>
    <row r="53" spans="1:19" ht="15" customHeight="1" x14ac:dyDescent="0.25">
      <c r="A53" s="30" t="str">
        <f t="shared" si="1"/>
        <v>ALR_INTRUSIONE_NORD-Allarme intrusione in cabina lato Nord</v>
      </c>
      <c r="B53" s="30" t="str">
        <f>VLOOKUP(A53,'EXPORT IRIS PROD 13-11-2024'!A:A,1,0)</f>
        <v>ALR_INTRUSIONE_NORD-Allarme intrusione in cabina lato Nord</v>
      </c>
      <c r="C53" s="30" t="s">
        <v>1935</v>
      </c>
      <c r="D53" s="24" t="s">
        <v>1951</v>
      </c>
      <c r="E53" s="30" t="s">
        <v>1885</v>
      </c>
      <c r="F53" s="25" t="s">
        <v>468</v>
      </c>
      <c r="G53" s="26" t="s">
        <v>1952</v>
      </c>
      <c r="H53" s="26" t="s">
        <v>1953</v>
      </c>
      <c r="I53" s="27" t="s">
        <v>385</v>
      </c>
      <c r="J53" s="27" t="s">
        <v>386</v>
      </c>
      <c r="K53" s="28" t="s">
        <v>31</v>
      </c>
      <c r="L53" s="29" t="s">
        <v>32</v>
      </c>
      <c r="M53" s="30">
        <v>2</v>
      </c>
      <c r="N53" s="31" t="s">
        <v>33</v>
      </c>
      <c r="O53" s="32" t="s">
        <v>34</v>
      </c>
      <c r="P53" s="30" t="s">
        <v>31</v>
      </c>
      <c r="Q53" s="33"/>
      <c r="R53" s="33" t="s">
        <v>1845</v>
      </c>
      <c r="S53" s="33"/>
    </row>
    <row r="54" spans="1:19" ht="15" customHeight="1" x14ac:dyDescent="0.25">
      <c r="A54" s="30" t="str">
        <f t="shared" si="1"/>
        <v>ALR_INTRUSIONE_SUD-Allarme intrusione in cabina lato Sud</v>
      </c>
      <c r="B54" s="30" t="str">
        <f>VLOOKUP(A54,'EXPORT IRIS PROD 13-11-2024'!A:A,1,0)</f>
        <v>ALR_INTRUSIONE_SUD-Allarme intrusione in cabina lato Sud</v>
      </c>
      <c r="C54" s="30" t="s">
        <v>1935</v>
      </c>
      <c r="D54" s="24" t="s">
        <v>1951</v>
      </c>
      <c r="E54" s="30" t="s">
        <v>1885</v>
      </c>
      <c r="F54" s="25" t="s">
        <v>468</v>
      </c>
      <c r="G54" s="26" t="s">
        <v>1954</v>
      </c>
      <c r="H54" s="26" t="s">
        <v>1955</v>
      </c>
      <c r="I54" s="27" t="s">
        <v>385</v>
      </c>
      <c r="J54" s="27" t="s">
        <v>386</v>
      </c>
      <c r="K54" s="28" t="s">
        <v>31</v>
      </c>
      <c r="L54" s="29" t="s">
        <v>32</v>
      </c>
      <c r="M54" s="30">
        <v>2</v>
      </c>
      <c r="N54" s="31" t="s">
        <v>33</v>
      </c>
      <c r="O54" s="32" t="s">
        <v>34</v>
      </c>
      <c r="P54" s="30" t="s">
        <v>31</v>
      </c>
      <c r="Q54" s="33"/>
      <c r="R54" s="33" t="s">
        <v>1845</v>
      </c>
      <c r="S54" s="33"/>
    </row>
    <row r="55" spans="1:19" ht="15" customHeight="1" x14ac:dyDescent="0.25">
      <c r="A55" s="30" t="str">
        <f t="shared" si="1"/>
        <v>ALR_INT_SCATTATO_VALLE-Allarme interruttore a valle scattato</v>
      </c>
      <c r="B55" s="30" t="str">
        <f>VLOOKUP(A55,'EXPORT IRIS PROD 13-11-2024'!A:A,1,0)</f>
        <v>ALR_INT_SCATTATO_VALLE-Allarme interruttore a valle scattato</v>
      </c>
      <c r="C55" s="30" t="s">
        <v>1935</v>
      </c>
      <c r="D55" s="24" t="s">
        <v>1951</v>
      </c>
      <c r="E55" s="30" t="s">
        <v>1885</v>
      </c>
      <c r="F55" s="25" t="s">
        <v>115</v>
      </c>
      <c r="G55" s="26" t="s">
        <v>1956</v>
      </c>
      <c r="H55" s="26" t="s">
        <v>1957</v>
      </c>
      <c r="I55" s="27" t="s">
        <v>1142</v>
      </c>
      <c r="J55" s="27" t="s">
        <v>1958</v>
      </c>
      <c r="K55" s="28" t="s">
        <v>21</v>
      </c>
      <c r="L55" s="68" t="s">
        <v>22</v>
      </c>
      <c r="M55" s="30" t="s">
        <v>23</v>
      </c>
      <c r="N55" s="31" t="s">
        <v>24</v>
      </c>
      <c r="O55" s="32" t="s">
        <v>25</v>
      </c>
      <c r="P55" s="30" t="s">
        <v>21</v>
      </c>
      <c r="Q55" s="33"/>
      <c r="R55" s="33" t="s">
        <v>1851</v>
      </c>
      <c r="S55" s="33"/>
    </row>
    <row r="56" spans="1:19" ht="15" customHeight="1" x14ac:dyDescent="0.25">
      <c r="A56" s="30" t="str">
        <f t="shared" si="1"/>
        <v>ALR_INT_SCATTATO_MONTE-Allarme interruttore a monte scattato</v>
      </c>
      <c r="B56" s="30" t="str">
        <f>VLOOKUP(A56,'EXPORT IRIS PROD 13-11-2024'!A:A,1,0)</f>
        <v>ALR_INT_SCATTATO_MONTE-Allarme interruttore a monte scattato</v>
      </c>
      <c r="C56" s="30" t="s">
        <v>1935</v>
      </c>
      <c r="D56" s="24" t="s">
        <v>1951</v>
      </c>
      <c r="E56" s="30" t="s">
        <v>1885</v>
      </c>
      <c r="F56" s="25" t="s">
        <v>115</v>
      </c>
      <c r="G56" s="26" t="s">
        <v>1959</v>
      </c>
      <c r="H56" s="26" t="s">
        <v>1960</v>
      </c>
      <c r="I56" s="27" t="s">
        <v>1142</v>
      </c>
      <c r="J56" s="27" t="s">
        <v>1958</v>
      </c>
      <c r="K56" s="28" t="s">
        <v>21</v>
      </c>
      <c r="L56" s="68" t="s">
        <v>22</v>
      </c>
      <c r="M56" s="30" t="s">
        <v>23</v>
      </c>
      <c r="N56" s="31" t="s">
        <v>24</v>
      </c>
      <c r="O56" s="32" t="s">
        <v>25</v>
      </c>
      <c r="P56" s="30" t="s">
        <v>21</v>
      </c>
      <c r="Q56" s="33"/>
      <c r="R56" s="33" t="s">
        <v>1851</v>
      </c>
      <c r="S56" s="33"/>
    </row>
    <row r="57" spans="1:19" x14ac:dyDescent="0.25">
      <c r="A57" s="30" t="str">
        <f t="shared" si="1"/>
        <v>ALR_GUASTO_CRI-Allarme guasto CRI</v>
      </c>
      <c r="B57" s="30" t="str">
        <f>VLOOKUP(A57,'EXPORT IRIS PROD 13-11-2024'!A:A,1,0)</f>
        <v>ALR_GUASTO_CRI-Allarme guasto CRI</v>
      </c>
      <c r="C57" s="30" t="s">
        <v>1935</v>
      </c>
      <c r="D57" s="24" t="s">
        <v>1961</v>
      </c>
      <c r="E57" s="30" t="s">
        <v>1962</v>
      </c>
      <c r="F57" s="25" t="s">
        <v>105</v>
      </c>
      <c r="G57" s="26" t="s">
        <v>387</v>
      </c>
      <c r="H57" s="26" t="s">
        <v>389</v>
      </c>
      <c r="I57" s="27" t="s">
        <v>43</v>
      </c>
      <c r="J57" s="27" t="s">
        <v>1347</v>
      </c>
      <c r="K57" s="28" t="s">
        <v>31</v>
      </c>
      <c r="L57" s="71" t="s">
        <v>32</v>
      </c>
      <c r="M57" s="30">
        <v>3</v>
      </c>
      <c r="N57" s="72" t="s">
        <v>33</v>
      </c>
      <c r="O57" s="30" t="s">
        <v>34</v>
      </c>
      <c r="P57" s="30" t="s">
        <v>31</v>
      </c>
      <c r="Q57" s="30" t="s">
        <v>1963</v>
      </c>
      <c r="R57" s="33"/>
      <c r="S57" s="33"/>
    </row>
    <row r="58" spans="1:19" x14ac:dyDescent="0.25">
      <c r="A58" s="30" t="str">
        <f t="shared" si="1"/>
        <v>ALR_UPS_ATTIVO-Allarme UPS Attivo</v>
      </c>
      <c r="B58" s="30" t="str">
        <f>VLOOKUP(A58,'EXPORT IRIS PROD 13-11-2024'!A:A,1,0)</f>
        <v>ALR_UPS_ATTIVO-Allarme UPS Attivo</v>
      </c>
      <c r="C58" s="30" t="s">
        <v>1935</v>
      </c>
      <c r="D58" s="24" t="s">
        <v>1964</v>
      </c>
      <c r="E58" s="30" t="s">
        <v>1965</v>
      </c>
      <c r="F58" s="25" t="s">
        <v>53</v>
      </c>
      <c r="G58" s="26" t="s">
        <v>1966</v>
      </c>
      <c r="H58" s="26" t="s">
        <v>1967</v>
      </c>
      <c r="I58" s="27" t="s">
        <v>1106</v>
      </c>
      <c r="J58" s="27" t="s">
        <v>104</v>
      </c>
      <c r="K58" s="28" t="s">
        <v>21</v>
      </c>
      <c r="L58" s="71" t="s">
        <v>22</v>
      </c>
      <c r="M58" s="30" t="s">
        <v>23</v>
      </c>
      <c r="N58" s="72" t="s">
        <v>24</v>
      </c>
      <c r="O58" s="30" t="s">
        <v>25</v>
      </c>
      <c r="P58" s="30" t="s">
        <v>21</v>
      </c>
      <c r="Q58" s="30" t="s">
        <v>1968</v>
      </c>
      <c r="R58" s="33"/>
      <c r="S58" s="33"/>
    </row>
    <row r="59" spans="1:19" x14ac:dyDescent="0.25">
      <c r="A59" s="30" t="str">
        <f t="shared" si="1"/>
        <v>ALR_AVARIA_CENTRALINA_2_ANTINCENDIO-Allarme avaria centralina 2 incendio</v>
      </c>
      <c r="B59" s="30" t="str">
        <f>VLOOKUP(A59,'EXPORT IRIS PROD 13-11-2024'!A:A,1,0)</f>
        <v>ALR_AVARIA_CENTRALINA_2_ANTINCENDIO-Allarme avaria centralina 2 incendio</v>
      </c>
      <c r="C59" s="30" t="s">
        <v>1935</v>
      </c>
      <c r="D59" s="24" t="s">
        <v>1969</v>
      </c>
      <c r="E59" s="30" t="s">
        <v>1965</v>
      </c>
      <c r="F59" s="78" t="s">
        <v>105</v>
      </c>
      <c r="G59" s="26" t="s">
        <v>1970</v>
      </c>
      <c r="H59" s="26" t="s">
        <v>1971</v>
      </c>
      <c r="I59" s="27" t="s">
        <v>43</v>
      </c>
      <c r="J59" s="27" t="s">
        <v>130</v>
      </c>
      <c r="K59" s="61" t="s">
        <v>31</v>
      </c>
      <c r="L59" s="71" t="s">
        <v>32</v>
      </c>
      <c r="M59" s="30">
        <v>3</v>
      </c>
      <c r="N59" s="72" t="s">
        <v>33</v>
      </c>
      <c r="O59" s="30" t="s">
        <v>34</v>
      </c>
      <c r="P59" s="30" t="s">
        <v>31</v>
      </c>
      <c r="Q59" s="30" t="s">
        <v>1968</v>
      </c>
      <c r="R59" s="33"/>
      <c r="S59" s="33"/>
    </row>
    <row r="60" spans="1:19" x14ac:dyDescent="0.25">
      <c r="A60" s="30" t="str">
        <f t="shared" si="1"/>
        <v>ALR_GUASTO_CRI_MARCIA-Allarme guasto CRI marcia</v>
      </c>
      <c r="B60" s="30" t="str">
        <f>VLOOKUP(A60,'EXPORT IRIS PROD 13-11-2024'!A:A,1,0)</f>
        <v>ALR_GUASTO_CRI_MARCIA-Allarme guasto CRI marcia</v>
      </c>
      <c r="C60" s="30" t="s">
        <v>1935</v>
      </c>
      <c r="D60" s="24" t="s">
        <v>1969</v>
      </c>
      <c r="E60" s="30" t="s">
        <v>1965</v>
      </c>
      <c r="F60" s="78" t="s">
        <v>105</v>
      </c>
      <c r="G60" s="26" t="s">
        <v>1972</v>
      </c>
      <c r="H60" s="26" t="s">
        <v>1973</v>
      </c>
      <c r="I60" s="27" t="s">
        <v>43</v>
      </c>
      <c r="J60" s="27" t="s">
        <v>108</v>
      </c>
      <c r="K60" s="61" t="s">
        <v>31</v>
      </c>
      <c r="L60" s="71" t="s">
        <v>32</v>
      </c>
      <c r="M60" s="30">
        <v>3</v>
      </c>
      <c r="N60" s="72" t="s">
        <v>33</v>
      </c>
      <c r="O60" s="30" t="s">
        <v>34</v>
      </c>
      <c r="P60" s="30" t="s">
        <v>31</v>
      </c>
      <c r="Q60" s="30" t="s">
        <v>1968</v>
      </c>
      <c r="R60" s="33"/>
      <c r="S60" s="33"/>
    </row>
    <row r="61" spans="1:19" x14ac:dyDescent="0.25">
      <c r="A61" s="30" t="str">
        <f t="shared" si="1"/>
        <v>ALR_GUASTO_CRI_SORPASSO-Allarme guasto CRI sorpasso</v>
      </c>
      <c r="B61" s="30" t="str">
        <f>VLOOKUP(A61,'EXPORT IRIS PROD 13-11-2024'!A:A,1,0)</f>
        <v>ALR_GUASTO_CRI_SORPASSO-Allarme guasto CRI sorpasso</v>
      </c>
      <c r="C61" s="30" t="s">
        <v>1935</v>
      </c>
      <c r="D61" s="24" t="s">
        <v>1969</v>
      </c>
      <c r="E61" s="30" t="s">
        <v>1965</v>
      </c>
      <c r="F61" s="78" t="s">
        <v>105</v>
      </c>
      <c r="G61" s="26" t="s">
        <v>1974</v>
      </c>
      <c r="H61" s="26" t="s">
        <v>1975</v>
      </c>
      <c r="I61" s="27" t="s">
        <v>43</v>
      </c>
      <c r="J61" s="27" t="s">
        <v>108</v>
      </c>
      <c r="K61" s="61" t="s">
        <v>31</v>
      </c>
      <c r="L61" s="71" t="s">
        <v>32</v>
      </c>
      <c r="M61" s="30">
        <v>3</v>
      </c>
      <c r="N61" s="72" t="s">
        <v>33</v>
      </c>
      <c r="O61" s="30" t="s">
        <v>34</v>
      </c>
      <c r="P61" s="30" t="s">
        <v>31</v>
      </c>
      <c r="Q61" s="30" t="s">
        <v>1968</v>
      </c>
      <c r="R61" s="33"/>
      <c r="S61" s="33"/>
    </row>
    <row r="62" spans="1:19" x14ac:dyDescent="0.25">
      <c r="A62" s="30" t="str">
        <f t="shared" si="1"/>
        <v>ALR_TRIP_PROTEZIONE_I1-Allarme trip Protezione I1</v>
      </c>
      <c r="B62" s="30" t="str">
        <f>VLOOKUP(A62,'EXPORT IRIS PROD 13-11-2024'!A:A,1,0)</f>
        <v>ALR_TRIP_PROTEZIONE_I1-Allarme trip Protezione I1</v>
      </c>
      <c r="C62" s="30" t="s">
        <v>1976</v>
      </c>
      <c r="D62" s="24" t="s">
        <v>1977</v>
      </c>
      <c r="E62" s="30" t="s">
        <v>1978</v>
      </c>
      <c r="F62" s="25" t="s">
        <v>53</v>
      </c>
      <c r="G62" s="26" t="s">
        <v>1979</v>
      </c>
      <c r="H62" s="26" t="s">
        <v>1980</v>
      </c>
      <c r="I62" s="27" t="s">
        <v>1106</v>
      </c>
      <c r="J62" s="27" t="s">
        <v>1981</v>
      </c>
      <c r="K62" s="28" t="s">
        <v>21</v>
      </c>
      <c r="L62" s="71" t="s">
        <v>22</v>
      </c>
      <c r="M62" s="30" t="s">
        <v>23</v>
      </c>
      <c r="N62" s="72" t="s">
        <v>24</v>
      </c>
      <c r="O62" s="30" t="s">
        <v>25</v>
      </c>
      <c r="P62" s="30" t="s">
        <v>21</v>
      </c>
      <c r="Q62" s="30"/>
      <c r="R62" s="33"/>
      <c r="S62" s="33" t="s">
        <v>1851</v>
      </c>
    </row>
    <row r="63" spans="1:19" x14ac:dyDescent="0.25">
      <c r="A63" s="30" t="str">
        <f t="shared" si="1"/>
        <v>ALR_TRIP_PROTEZIONE_I2-Allarme trip Protezione I2</v>
      </c>
      <c r="B63" s="30" t="str">
        <f>VLOOKUP(A63,'EXPORT IRIS PROD 13-11-2024'!A:A,1,0)</f>
        <v>ALR_TRIP_PROTEZIONE_I2-Allarme trip Protezione I2</v>
      </c>
      <c r="C63" s="30" t="s">
        <v>1976</v>
      </c>
      <c r="D63" s="24" t="s">
        <v>1977</v>
      </c>
      <c r="E63" s="30" t="s">
        <v>1978</v>
      </c>
      <c r="F63" s="25" t="s">
        <v>53</v>
      </c>
      <c r="G63" s="26" t="s">
        <v>1982</v>
      </c>
      <c r="H63" s="26" t="s">
        <v>1983</v>
      </c>
      <c r="I63" s="27" t="s">
        <v>1106</v>
      </c>
      <c r="J63" s="27" t="s">
        <v>1981</v>
      </c>
      <c r="K63" s="28" t="s">
        <v>21</v>
      </c>
      <c r="L63" s="71" t="s">
        <v>22</v>
      </c>
      <c r="M63" s="30" t="s">
        <v>23</v>
      </c>
      <c r="N63" s="72" t="s">
        <v>24</v>
      </c>
      <c r="O63" s="30" t="s">
        <v>25</v>
      </c>
      <c r="P63" s="30" t="s">
        <v>21</v>
      </c>
      <c r="Q63" s="30"/>
      <c r="R63" s="33"/>
      <c r="S63" s="33" t="s">
        <v>1851</v>
      </c>
    </row>
    <row r="64" spans="1:19" x14ac:dyDescent="0.25">
      <c r="A64" s="30" t="str">
        <f t="shared" si="1"/>
        <v>ALR_TRIP_PROTEZIONE_I3-Allarme trip Protezione I3</v>
      </c>
      <c r="B64" s="30" t="str">
        <f>VLOOKUP(A64,'EXPORT IRIS PROD 13-11-2024'!A:A,1,0)</f>
        <v>ALR_TRIP_PROTEZIONE_I3-Allarme trip Protezione I3</v>
      </c>
      <c r="C64" s="30" t="s">
        <v>1976</v>
      </c>
      <c r="D64" s="24" t="s">
        <v>1977</v>
      </c>
      <c r="E64" s="30" t="s">
        <v>1978</v>
      </c>
      <c r="F64" s="25" t="s">
        <v>53</v>
      </c>
      <c r="G64" s="26" t="s">
        <v>1984</v>
      </c>
      <c r="H64" s="26" t="s">
        <v>1985</v>
      </c>
      <c r="I64" s="27" t="s">
        <v>1106</v>
      </c>
      <c r="J64" s="27" t="s">
        <v>1981</v>
      </c>
      <c r="K64" s="28" t="s">
        <v>21</v>
      </c>
      <c r="L64" s="71" t="s">
        <v>22</v>
      </c>
      <c r="M64" s="30" t="s">
        <v>23</v>
      </c>
      <c r="N64" s="72" t="s">
        <v>24</v>
      </c>
      <c r="O64" s="30" t="s">
        <v>25</v>
      </c>
      <c r="P64" s="30" t="s">
        <v>21</v>
      </c>
      <c r="Q64" s="30"/>
      <c r="R64" s="33"/>
      <c r="S64" s="33" t="s">
        <v>1851</v>
      </c>
    </row>
    <row r="65" spans="1:19" x14ac:dyDescent="0.25">
      <c r="A65" s="30" t="str">
        <f t="shared" si="1"/>
        <v>ALR_GUASTO_LINEA-Allarme guasto linea</v>
      </c>
      <c r="B65" s="30" t="str">
        <f>VLOOKUP(A65,'EXPORT IRIS PROD 13-11-2024'!A:A,1,0)</f>
        <v>ALR_GUASTO_LINEA-Allarme guasto linea</v>
      </c>
      <c r="C65" s="30" t="s">
        <v>1935</v>
      </c>
      <c r="D65" s="24" t="s">
        <v>1977</v>
      </c>
      <c r="E65" s="30" t="s">
        <v>1978</v>
      </c>
      <c r="F65" s="25" t="s">
        <v>105</v>
      </c>
      <c r="G65" s="26" t="s">
        <v>400</v>
      </c>
      <c r="H65" s="26" t="s">
        <v>401</v>
      </c>
      <c r="I65" s="27" t="s">
        <v>43</v>
      </c>
      <c r="J65" s="27" t="s">
        <v>1986</v>
      </c>
      <c r="K65" s="28" t="s">
        <v>31</v>
      </c>
      <c r="L65" s="71" t="s">
        <v>32</v>
      </c>
      <c r="M65" s="30">
        <v>3</v>
      </c>
      <c r="N65" s="72" t="s">
        <v>33</v>
      </c>
      <c r="O65" s="30" t="s">
        <v>34</v>
      </c>
      <c r="P65" s="30" t="s">
        <v>31</v>
      </c>
      <c r="Q65" s="30"/>
      <c r="R65" s="33"/>
      <c r="S65" s="33" t="s">
        <v>1963</v>
      </c>
    </row>
    <row r="66" spans="1:19" x14ac:dyDescent="0.25">
      <c r="A66" s="30" t="str">
        <f t="shared" si="1"/>
        <v>ALR_TEMPERATURA_BASSA_DA_QUADRO-Allarme temperatura bassa da Quadro</v>
      </c>
      <c r="B66" s="30" t="str">
        <f>VLOOKUP(A66,'EXPORT IRIS PROD 13-11-2024'!A:A,1,0)</f>
        <v>ALR_TEMPERATURA_BASSA_DA_QUADRO-Allarme temperatura bassa da Quadro</v>
      </c>
      <c r="C66" s="30" t="s">
        <v>1976</v>
      </c>
      <c r="D66" s="24" t="s">
        <v>1977</v>
      </c>
      <c r="E66" s="30" t="s">
        <v>1978</v>
      </c>
      <c r="F66" s="25" t="s">
        <v>53</v>
      </c>
      <c r="G66" s="26" t="s">
        <v>1987</v>
      </c>
      <c r="H66" s="26" t="s">
        <v>1988</v>
      </c>
      <c r="I66" s="27" t="s">
        <v>1106</v>
      </c>
      <c r="J66" s="27" t="s">
        <v>57</v>
      </c>
      <c r="K66" s="28" t="s">
        <v>21</v>
      </c>
      <c r="L66" s="71" t="s">
        <v>22</v>
      </c>
      <c r="M66" s="30" t="s">
        <v>23</v>
      </c>
      <c r="N66" s="72" t="s">
        <v>24</v>
      </c>
      <c r="O66" s="30" t="s">
        <v>25</v>
      </c>
      <c r="P66" s="30" t="s">
        <v>21</v>
      </c>
      <c r="Q66" s="30"/>
      <c r="R66" s="33"/>
      <c r="S66" s="33" t="s">
        <v>1851</v>
      </c>
    </row>
  </sheetData>
  <autoFilter ref="A1:S66" xr:uid="{D9AC14F0-71A7-43BC-8F91-6D4DFE3D4C02}"/>
  <pageMargins left="0.7" right="0.7" top="0.75" bottom="0.75" header="0.3" footer="0.3"/>
  <pageSetup paperSize="9" orientation="portrait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4A99324-E4C3-43B1-9E8F-42D021DC7648}">
          <x14:formula1>
            <xm:f>Tendine!$B$3:$B$4</xm:f>
          </x14:formula1>
          <xm:sqref>K2:K41 J42:J46 K47:K52 K55:K57 K67:K1048576</xm:sqref>
        </x14:dataValidation>
        <x14:dataValidation type="list" allowBlank="1" showInputMessage="1" showErrorMessage="1" xr:uid="{1AAECAAC-A396-421A-A530-5DBBE24718F5}">
          <x14:formula1>
            <xm:f>Tendine!$C$3:$C$4</xm:f>
          </x14:formula1>
          <xm:sqref>L44 K42:K46 L2:L41 L46:L52 L55:L56 L67:L1048576</xm:sqref>
        </x14:dataValidation>
        <x14:dataValidation type="list" allowBlank="1" showInputMessage="1" showErrorMessage="1" xr:uid="{8BAEC379-7D91-4B97-A803-25B8B3730A65}">
          <x14:formula1>
            <xm:f>Tendine!$D$3:$D$8</xm:f>
          </x14:formula1>
          <xm:sqref>L45 M44 L42:L43 M2:M41 M46:M52 M55:M56 M67:M1048576</xm:sqref>
        </x14:dataValidation>
        <x14:dataValidation type="list" allowBlank="1" showInputMessage="1" showErrorMessage="1" xr:uid="{8C12F222-4A5D-4883-A094-D91C599AC355}">
          <x14:formula1>
            <xm:f>Tendine!$E$3:$E$6</xm:f>
          </x14:formula1>
          <xm:sqref>N2:N41 M45 M42:M43 N47:N52 N55:N56 N67:N1048576</xm:sqref>
        </x14:dataValidation>
        <x14:dataValidation type="list" allowBlank="1" showInputMessage="1" showErrorMessage="1" xr:uid="{93170589-EFC8-4455-A16F-2D794590C880}">
          <x14:formula1>
            <xm:f>Tendine!$F$3:$F$6</xm:f>
          </x14:formula1>
          <xm:sqref>O2:O41 N42:N46 O47:O52 O55:O56 O67:O1048576</xm:sqref>
        </x14:dataValidation>
        <x14:dataValidation type="list" allowBlank="1" showInputMessage="1" showErrorMessage="1" xr:uid="{9F24B5E7-94D9-4B33-B01B-3212100FE905}">
          <x14:formula1>
            <xm:f>Tendine!$G$3:$G$4</xm:f>
          </x14:formula1>
          <xm:sqref>P2:P41 O42:O46 P47:P52 P55:P56 P67:P1048576</xm:sqref>
        </x14:dataValidation>
        <x14:dataValidation type="list" allowBlank="1" showInputMessage="1" showErrorMessage="1" xr:uid="{3758FC12-F14C-4584-A503-F054E1A384FA}">
          <x14:formula1>
            <xm:f>Tendine!$A$3:$A$48</xm:f>
          </x14:formula1>
          <xm:sqref>F2:F41 F47:F52 F67:F1048576 F55:F56 E42:E46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ACB6-5010-419F-9BDE-4649C07235E2}">
  <sheetPr>
    <tabColor theme="4" tint="0.79998168889431442"/>
  </sheetPr>
  <dimension ref="A1:F117"/>
  <sheetViews>
    <sheetView showGridLines="0" zoomScale="85" zoomScaleNormal="85" workbookViewId="0">
      <pane ySplit="1" topLeftCell="A5" activePane="bottomLeft" state="frozen"/>
      <selection pane="bottomLeft" activeCell="B41" sqref="B41"/>
    </sheetView>
  </sheetViews>
  <sheetFormatPr defaultColWidth="9.140625" defaultRowHeight="15" x14ac:dyDescent="0.25"/>
  <cols>
    <col min="1" max="1" width="53.140625" style="6" bestFit="1" customWidth="1"/>
    <col min="2" max="2" width="50.28515625" style="6" bestFit="1" customWidth="1"/>
    <col min="3" max="3" width="151.140625" style="16" bestFit="1" customWidth="1"/>
    <col min="4" max="4" width="12.7109375" style="6" bestFit="1" customWidth="1"/>
    <col min="5" max="5" width="54.5703125" style="6" bestFit="1" customWidth="1"/>
    <col min="6" max="6" width="12.7109375" style="18" bestFit="1" customWidth="1"/>
    <col min="7" max="7" width="41.5703125" style="6" bestFit="1" customWidth="1"/>
    <col min="8" max="16384" width="9.140625" style="6"/>
  </cols>
  <sheetData>
    <row r="1" spans="1:3" ht="15.75" thickBot="1" x14ac:dyDescent="0.3">
      <c r="A1" s="4" t="s">
        <v>1989</v>
      </c>
      <c r="B1" s="4" t="s">
        <v>1990</v>
      </c>
      <c r="C1" s="5" t="s">
        <v>1991</v>
      </c>
    </row>
    <row r="2" spans="1:3" x14ac:dyDescent="0.25">
      <c r="A2" s="106" t="s">
        <v>1992</v>
      </c>
      <c r="B2" s="7" t="s">
        <v>70</v>
      </c>
      <c r="C2" s="8" t="s">
        <v>1993</v>
      </c>
    </row>
    <row r="3" spans="1:3" x14ac:dyDescent="0.25">
      <c r="A3" s="107"/>
      <c r="B3" s="9" t="s">
        <v>298</v>
      </c>
      <c r="C3" s="10" t="s">
        <v>1994</v>
      </c>
    </row>
    <row r="4" spans="1:3" x14ac:dyDescent="0.25">
      <c r="A4" s="107"/>
      <c r="B4" s="9" t="s">
        <v>271</v>
      </c>
      <c r="C4" s="10" t="s">
        <v>1995</v>
      </c>
    </row>
    <row r="5" spans="1:3" x14ac:dyDescent="0.25">
      <c r="A5" s="107"/>
      <c r="B5" s="9" t="s">
        <v>576</v>
      </c>
      <c r="C5" s="10" t="s">
        <v>1996</v>
      </c>
    </row>
    <row r="6" spans="1:3" x14ac:dyDescent="0.25">
      <c r="A6" s="107"/>
      <c r="B6" s="9" t="s">
        <v>468</v>
      </c>
      <c r="C6" s="10" t="s">
        <v>1997</v>
      </c>
    </row>
    <row r="7" spans="1:3" x14ac:dyDescent="0.25">
      <c r="A7" s="107"/>
      <c r="B7" s="9" t="s">
        <v>968</v>
      </c>
      <c r="C7" s="10" t="s">
        <v>1998</v>
      </c>
    </row>
    <row r="8" spans="1:3" x14ac:dyDescent="0.25">
      <c r="A8" s="107"/>
      <c r="B8" s="9" t="s">
        <v>431</v>
      </c>
      <c r="C8" s="10" t="s">
        <v>1999</v>
      </c>
    </row>
    <row r="9" spans="1:3" x14ac:dyDescent="0.25">
      <c r="A9" s="107"/>
      <c r="B9" s="9" t="s">
        <v>807</v>
      </c>
      <c r="C9" s="10" t="s">
        <v>2000</v>
      </c>
    </row>
    <row r="10" spans="1:3" x14ac:dyDescent="0.25">
      <c r="A10" s="107"/>
      <c r="B10" s="9" t="s">
        <v>249</v>
      </c>
      <c r="C10" s="10" t="s">
        <v>2001</v>
      </c>
    </row>
    <row r="11" spans="1:3" x14ac:dyDescent="0.25">
      <c r="A11" s="107"/>
      <c r="B11" s="9" t="s">
        <v>836</v>
      </c>
      <c r="C11" s="10" t="s">
        <v>2002</v>
      </c>
    </row>
    <row r="12" spans="1:3" x14ac:dyDescent="0.25">
      <c r="A12" s="107"/>
      <c r="B12" s="9" t="s">
        <v>369</v>
      </c>
      <c r="C12" s="10" t="s">
        <v>2003</v>
      </c>
    </row>
    <row r="13" spans="1:3" x14ac:dyDescent="0.25">
      <c r="A13" s="107"/>
      <c r="B13" s="9" t="s">
        <v>847</v>
      </c>
      <c r="C13" s="10" t="s">
        <v>2004</v>
      </c>
    </row>
    <row r="14" spans="1:3" x14ac:dyDescent="0.25">
      <c r="A14" s="107"/>
      <c r="B14" s="9" t="s">
        <v>1109</v>
      </c>
      <c r="C14" s="10" t="s">
        <v>2005</v>
      </c>
    </row>
    <row r="15" spans="1:3" x14ac:dyDescent="0.25">
      <c r="A15" s="107"/>
      <c r="B15" s="9" t="s">
        <v>40</v>
      </c>
      <c r="C15" s="10" t="s">
        <v>2006</v>
      </c>
    </row>
    <row r="16" spans="1:3" x14ac:dyDescent="0.25">
      <c r="A16" s="107"/>
      <c r="B16" s="9" t="s">
        <v>213</v>
      </c>
      <c r="C16" s="10" t="s">
        <v>2007</v>
      </c>
    </row>
    <row r="17" spans="1:3" x14ac:dyDescent="0.25">
      <c r="A17" s="107"/>
      <c r="B17" s="9" t="s">
        <v>454</v>
      </c>
      <c r="C17" s="10" t="s">
        <v>2008</v>
      </c>
    </row>
    <row r="18" spans="1:3" x14ac:dyDescent="0.25">
      <c r="A18" s="107"/>
      <c r="B18" s="9" t="s">
        <v>1002</v>
      </c>
      <c r="C18" s="10" t="s">
        <v>2009</v>
      </c>
    </row>
    <row r="19" spans="1:3" x14ac:dyDescent="0.25">
      <c r="A19" s="107"/>
      <c r="B19" s="9" t="s">
        <v>528</v>
      </c>
      <c r="C19" s="10" t="s">
        <v>2010</v>
      </c>
    </row>
    <row r="20" spans="1:3" x14ac:dyDescent="0.25">
      <c r="A20" s="107"/>
      <c r="B20" s="9" t="s">
        <v>471</v>
      </c>
      <c r="C20" s="10" t="s">
        <v>2011</v>
      </c>
    </row>
    <row r="21" spans="1:3" x14ac:dyDescent="0.25">
      <c r="A21" s="107"/>
      <c r="B21" s="9" t="s">
        <v>47</v>
      </c>
      <c r="C21" s="10" t="s">
        <v>2012</v>
      </c>
    </row>
    <row r="22" spans="1:3" x14ac:dyDescent="0.25">
      <c r="A22" s="107"/>
      <c r="B22" s="9" t="s">
        <v>822</v>
      </c>
      <c r="C22" s="10" t="s">
        <v>2013</v>
      </c>
    </row>
    <row r="23" spans="1:3" x14ac:dyDescent="0.25">
      <c r="A23" s="107"/>
      <c r="B23" s="9" t="s">
        <v>26</v>
      </c>
      <c r="C23" s="10" t="s">
        <v>2014</v>
      </c>
    </row>
    <row r="24" spans="1:3" x14ac:dyDescent="0.25">
      <c r="A24" s="107"/>
      <c r="B24" s="9" t="s">
        <v>878</v>
      </c>
      <c r="C24" s="10" t="s">
        <v>2015</v>
      </c>
    </row>
    <row r="25" spans="1:3" x14ac:dyDescent="0.25">
      <c r="A25" s="107"/>
      <c r="B25" s="9" t="s">
        <v>1017</v>
      </c>
      <c r="C25" s="10" t="s">
        <v>2016</v>
      </c>
    </row>
    <row r="26" spans="1:3" x14ac:dyDescent="0.25">
      <c r="A26" s="107"/>
      <c r="B26" s="9" t="s">
        <v>988</v>
      </c>
      <c r="C26" s="10" t="s">
        <v>2017</v>
      </c>
    </row>
    <row r="27" spans="1:3" x14ac:dyDescent="0.25">
      <c r="A27" s="107"/>
      <c r="B27" s="9" t="s">
        <v>983</v>
      </c>
      <c r="C27" s="10" t="s">
        <v>2018</v>
      </c>
    </row>
    <row r="28" spans="1:3" x14ac:dyDescent="0.25">
      <c r="A28" s="107"/>
      <c r="B28" s="9" t="s">
        <v>979</v>
      </c>
      <c r="C28" s="10" t="s">
        <v>2019</v>
      </c>
    </row>
    <row r="29" spans="1:3" x14ac:dyDescent="0.25">
      <c r="A29" s="107"/>
      <c r="B29" s="9" t="s">
        <v>962</v>
      </c>
      <c r="C29" s="10" t="s">
        <v>2020</v>
      </c>
    </row>
    <row r="30" spans="1:3" ht="15.75" thickBot="1" x14ac:dyDescent="0.3">
      <c r="A30" s="108"/>
      <c r="B30" s="11" t="s">
        <v>280</v>
      </c>
      <c r="C30" s="12" t="s">
        <v>2021</v>
      </c>
    </row>
    <row r="31" spans="1:3" x14ac:dyDescent="0.25">
      <c r="A31" s="109" t="s">
        <v>2022</v>
      </c>
      <c r="B31" s="13" t="s">
        <v>954</v>
      </c>
      <c r="C31" s="8" t="s">
        <v>2023</v>
      </c>
    </row>
    <row r="32" spans="1:3" x14ac:dyDescent="0.25">
      <c r="A32" s="110"/>
      <c r="B32" s="14" t="s">
        <v>35</v>
      </c>
      <c r="C32" s="10" t="s">
        <v>2024</v>
      </c>
    </row>
    <row r="33" spans="1:3" x14ac:dyDescent="0.25">
      <c r="A33" s="110"/>
      <c r="B33" s="14" t="s">
        <v>863</v>
      </c>
      <c r="C33" s="10" t="s">
        <v>2025</v>
      </c>
    </row>
    <row r="34" spans="1:3" x14ac:dyDescent="0.25">
      <c r="A34" s="110"/>
      <c r="B34" s="14" t="s">
        <v>382</v>
      </c>
      <c r="C34" s="10" t="s">
        <v>2026</v>
      </c>
    </row>
    <row r="35" spans="1:3" x14ac:dyDescent="0.25">
      <c r="A35" s="110"/>
      <c r="B35" s="14" t="s">
        <v>109</v>
      </c>
      <c r="C35" s="10" t="s">
        <v>2027</v>
      </c>
    </row>
    <row r="36" spans="1:3" x14ac:dyDescent="0.25">
      <c r="A36" s="110"/>
      <c r="B36" s="14" t="s">
        <v>991</v>
      </c>
      <c r="C36" s="10" t="s">
        <v>2028</v>
      </c>
    </row>
    <row r="37" spans="1:3" x14ac:dyDescent="0.25">
      <c r="A37" s="110"/>
      <c r="B37" s="14" t="s">
        <v>1541</v>
      </c>
      <c r="C37" s="10" t="s">
        <v>2029</v>
      </c>
    </row>
    <row r="38" spans="1:3" x14ac:dyDescent="0.25">
      <c r="A38" s="110"/>
      <c r="B38" s="14" t="s">
        <v>115</v>
      </c>
      <c r="C38" s="10" t="s">
        <v>2030</v>
      </c>
    </row>
    <row r="39" spans="1:3" x14ac:dyDescent="0.25">
      <c r="A39" s="110"/>
      <c r="B39" s="14" t="s">
        <v>53</v>
      </c>
      <c r="C39" s="10" t="s">
        <v>2031</v>
      </c>
    </row>
    <row r="40" spans="1:3" x14ac:dyDescent="0.25">
      <c r="A40" s="110"/>
      <c r="B40" s="14" t="s">
        <v>1108</v>
      </c>
      <c r="C40" s="10" t="s">
        <v>2032</v>
      </c>
    </row>
    <row r="41" spans="1:3" x14ac:dyDescent="0.25">
      <c r="A41" s="110"/>
      <c r="B41" s="14" t="s">
        <v>16</v>
      </c>
      <c r="C41" s="10" t="s">
        <v>2033</v>
      </c>
    </row>
    <row r="42" spans="1:3" x14ac:dyDescent="0.25">
      <c r="A42" s="110"/>
      <c r="B42" s="14" t="s">
        <v>105</v>
      </c>
      <c r="C42" s="10" t="s">
        <v>2034</v>
      </c>
    </row>
    <row r="43" spans="1:3" x14ac:dyDescent="0.25">
      <c r="A43" s="110"/>
      <c r="B43" s="14" t="s">
        <v>89</v>
      </c>
      <c r="C43" s="10" t="s">
        <v>2035</v>
      </c>
    </row>
    <row r="44" spans="1:3" x14ac:dyDescent="0.25">
      <c r="A44" s="110"/>
      <c r="B44" s="14" t="s">
        <v>1088</v>
      </c>
      <c r="C44" s="10" t="s">
        <v>2036</v>
      </c>
    </row>
    <row r="45" spans="1:3" x14ac:dyDescent="0.25">
      <c r="A45" s="110"/>
      <c r="B45" s="14" t="s">
        <v>1201</v>
      </c>
      <c r="C45" s="10" t="s">
        <v>2037</v>
      </c>
    </row>
    <row r="46" spans="1:3" x14ac:dyDescent="0.25">
      <c r="A46" s="110"/>
      <c r="B46" s="14" t="s">
        <v>85</v>
      </c>
      <c r="C46" s="10" t="s">
        <v>2038</v>
      </c>
    </row>
    <row r="47" spans="1:3" ht="15.75" thickBot="1" x14ac:dyDescent="0.3">
      <c r="A47" s="111"/>
      <c r="B47" s="15" t="s">
        <v>198</v>
      </c>
      <c r="C47" s="12" t="s">
        <v>2039</v>
      </c>
    </row>
    <row r="54" spans="3:4" x14ac:dyDescent="0.25">
      <c r="D54" s="17"/>
    </row>
    <row r="55" spans="3:4" x14ac:dyDescent="0.25">
      <c r="C55"/>
      <c r="D55"/>
    </row>
    <row r="56" spans="3:4" x14ac:dyDescent="0.25">
      <c r="C56"/>
      <c r="D56"/>
    </row>
    <row r="57" spans="3:4" x14ac:dyDescent="0.25">
      <c r="C57"/>
      <c r="D57"/>
    </row>
    <row r="58" spans="3:4" x14ac:dyDescent="0.25">
      <c r="C58"/>
      <c r="D58"/>
    </row>
    <row r="59" spans="3:4" x14ac:dyDescent="0.25">
      <c r="C59"/>
      <c r="D59"/>
    </row>
    <row r="60" spans="3:4" x14ac:dyDescent="0.25">
      <c r="C60"/>
      <c r="D60"/>
    </row>
    <row r="61" spans="3:4" x14ac:dyDescent="0.25">
      <c r="C61"/>
      <c r="D61"/>
    </row>
    <row r="62" spans="3:4" x14ac:dyDescent="0.25">
      <c r="C62"/>
      <c r="D62"/>
    </row>
    <row r="63" spans="3:4" x14ac:dyDescent="0.25">
      <c r="C63"/>
      <c r="D63"/>
    </row>
    <row r="64" spans="3:4" x14ac:dyDescent="0.25">
      <c r="C64"/>
      <c r="D64"/>
    </row>
    <row r="65" spans="3:4" x14ac:dyDescent="0.25">
      <c r="C65"/>
      <c r="D65"/>
    </row>
    <row r="66" spans="3:4" x14ac:dyDescent="0.25">
      <c r="C66"/>
      <c r="D66"/>
    </row>
    <row r="67" spans="3:4" x14ac:dyDescent="0.25">
      <c r="C67"/>
      <c r="D67"/>
    </row>
    <row r="68" spans="3:4" x14ac:dyDescent="0.25">
      <c r="C68"/>
      <c r="D68"/>
    </row>
    <row r="69" spans="3:4" x14ac:dyDescent="0.25">
      <c r="C69"/>
      <c r="D69"/>
    </row>
    <row r="70" spans="3:4" x14ac:dyDescent="0.25">
      <c r="C70"/>
      <c r="D70"/>
    </row>
    <row r="71" spans="3:4" x14ac:dyDescent="0.25">
      <c r="C71"/>
      <c r="D71"/>
    </row>
    <row r="72" spans="3:4" x14ac:dyDescent="0.25">
      <c r="C72"/>
      <c r="D72"/>
    </row>
    <row r="73" spans="3:4" x14ac:dyDescent="0.25">
      <c r="C73"/>
      <c r="D73"/>
    </row>
    <row r="74" spans="3:4" x14ac:dyDescent="0.25">
      <c r="C74"/>
      <c r="D74"/>
    </row>
    <row r="75" spans="3:4" x14ac:dyDescent="0.25">
      <c r="C75"/>
      <c r="D75"/>
    </row>
    <row r="76" spans="3:4" x14ac:dyDescent="0.25">
      <c r="C76"/>
      <c r="D76"/>
    </row>
    <row r="77" spans="3:4" x14ac:dyDescent="0.25">
      <c r="C77"/>
      <c r="D77"/>
    </row>
    <row r="78" spans="3:4" x14ac:dyDescent="0.25">
      <c r="C78"/>
      <c r="D78"/>
    </row>
    <row r="79" spans="3:4" x14ac:dyDescent="0.25">
      <c r="C79"/>
      <c r="D79"/>
    </row>
    <row r="80" spans="3:4" x14ac:dyDescent="0.25">
      <c r="C80"/>
      <c r="D80"/>
    </row>
    <row r="81" spans="3:4" x14ac:dyDescent="0.25">
      <c r="C81"/>
      <c r="D81"/>
    </row>
    <row r="82" spans="3:4" x14ac:dyDescent="0.25">
      <c r="C82"/>
      <c r="D82"/>
    </row>
    <row r="83" spans="3:4" x14ac:dyDescent="0.25">
      <c r="C83"/>
      <c r="D83"/>
    </row>
    <row r="84" spans="3:4" x14ac:dyDescent="0.25">
      <c r="C84"/>
      <c r="D84"/>
    </row>
    <row r="85" spans="3:4" x14ac:dyDescent="0.25">
      <c r="C85"/>
      <c r="D85"/>
    </row>
    <row r="86" spans="3:4" x14ac:dyDescent="0.25">
      <c r="C86"/>
      <c r="D86"/>
    </row>
    <row r="87" spans="3:4" x14ac:dyDescent="0.25">
      <c r="C87"/>
      <c r="D87"/>
    </row>
    <row r="88" spans="3:4" x14ac:dyDescent="0.25">
      <c r="C88"/>
      <c r="D88"/>
    </row>
    <row r="89" spans="3:4" x14ac:dyDescent="0.25">
      <c r="C89"/>
      <c r="D89"/>
    </row>
    <row r="90" spans="3:4" x14ac:dyDescent="0.25">
      <c r="C90"/>
      <c r="D90"/>
    </row>
    <row r="91" spans="3:4" x14ac:dyDescent="0.25">
      <c r="C91"/>
      <c r="D91"/>
    </row>
    <row r="92" spans="3:4" x14ac:dyDescent="0.25">
      <c r="C92"/>
      <c r="D92"/>
    </row>
    <row r="93" spans="3:4" x14ac:dyDescent="0.25">
      <c r="C93"/>
      <c r="D93"/>
    </row>
    <row r="94" spans="3:4" x14ac:dyDescent="0.25">
      <c r="C94"/>
      <c r="D94"/>
    </row>
    <row r="95" spans="3:4" x14ac:dyDescent="0.25">
      <c r="C95"/>
      <c r="D95"/>
    </row>
    <row r="96" spans="3:4" x14ac:dyDescent="0.25">
      <c r="C96"/>
      <c r="D96"/>
    </row>
    <row r="97" spans="3:4" x14ac:dyDescent="0.25">
      <c r="C97"/>
      <c r="D97"/>
    </row>
    <row r="98" spans="3:4" x14ac:dyDescent="0.25">
      <c r="C98"/>
      <c r="D98"/>
    </row>
    <row r="99" spans="3:4" x14ac:dyDescent="0.25">
      <c r="C99"/>
      <c r="D99"/>
    </row>
    <row r="100" spans="3:4" x14ac:dyDescent="0.25">
      <c r="C100"/>
      <c r="D100"/>
    </row>
    <row r="101" spans="3:4" x14ac:dyDescent="0.25">
      <c r="C101"/>
      <c r="D101"/>
    </row>
    <row r="102" spans="3:4" x14ac:dyDescent="0.25">
      <c r="C102"/>
      <c r="D102"/>
    </row>
    <row r="103" spans="3:4" x14ac:dyDescent="0.25">
      <c r="C103"/>
      <c r="D103"/>
    </row>
    <row r="104" spans="3:4" x14ac:dyDescent="0.25">
      <c r="C104"/>
      <c r="D104"/>
    </row>
    <row r="105" spans="3:4" x14ac:dyDescent="0.25">
      <c r="C105"/>
      <c r="D105"/>
    </row>
    <row r="106" spans="3:4" x14ac:dyDescent="0.25">
      <c r="D106" s="18"/>
    </row>
    <row r="107" spans="3:4" x14ac:dyDescent="0.25">
      <c r="D107" s="18"/>
    </row>
    <row r="108" spans="3:4" x14ac:dyDescent="0.25">
      <c r="D108" s="18"/>
    </row>
    <row r="109" spans="3:4" x14ac:dyDescent="0.25">
      <c r="D109" s="18"/>
    </row>
    <row r="110" spans="3:4" x14ac:dyDescent="0.25">
      <c r="D110" s="18"/>
    </row>
    <row r="111" spans="3:4" x14ac:dyDescent="0.25">
      <c r="D111" s="18"/>
    </row>
    <row r="112" spans="3:4" x14ac:dyDescent="0.25">
      <c r="D112" s="18"/>
    </row>
    <row r="113" spans="4:4" x14ac:dyDescent="0.25">
      <c r="D113" s="18"/>
    </row>
    <row r="114" spans="4:4" x14ac:dyDescent="0.25">
      <c r="D114" s="18"/>
    </row>
    <row r="115" spans="4:4" x14ac:dyDescent="0.25">
      <c r="D115" s="18"/>
    </row>
    <row r="116" spans="4:4" x14ac:dyDescent="0.25">
      <c r="D116" s="18"/>
    </row>
    <row r="117" spans="4:4" x14ac:dyDescent="0.25">
      <c r="D117" s="18"/>
    </row>
  </sheetData>
  <autoFilter ref="B1:C47" xr:uid="{B3BB8D1F-3B4C-49CB-A4D9-B12804EDD3FD}"/>
  <mergeCells count="2">
    <mergeCell ref="A2:A30"/>
    <mergeCell ref="A31:A47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110D-443A-491F-9DD6-94C275412C1E}">
  <dimension ref="A1:S1135"/>
  <sheetViews>
    <sheetView tabSelected="1" topLeftCell="H1" zoomScale="60" zoomScaleNormal="60" workbookViewId="0">
      <selection activeCell="I36" sqref="I36"/>
    </sheetView>
  </sheetViews>
  <sheetFormatPr defaultColWidth="9.28515625" defaultRowHeight="15" x14ac:dyDescent="0.25"/>
  <cols>
    <col min="1" max="2" width="4.28515625" style="6" customWidth="1"/>
    <col min="3" max="3" width="4.28515625" customWidth="1"/>
    <col min="4" max="4" width="4.28515625" style="6" customWidth="1"/>
    <col min="5" max="5" width="19.28515625" customWidth="1"/>
    <col min="6" max="6" width="23.85546875" customWidth="1"/>
    <col min="7" max="7" width="42.140625" style="60" customWidth="1"/>
    <col min="8" max="8" width="48" style="6" customWidth="1"/>
    <col min="9" max="9" width="111.5703125" style="6" customWidth="1"/>
    <col min="10" max="10" width="29.7109375" style="6" bestFit="1" customWidth="1"/>
    <col min="11" max="11" width="43.5703125" style="6" customWidth="1"/>
    <col min="12" max="12" width="31.7109375" style="18" customWidth="1"/>
    <col min="13" max="13" width="34.42578125" style="6" customWidth="1"/>
    <col min="14" max="14" width="42.42578125" style="18" customWidth="1"/>
    <col min="15" max="15" width="26.42578125" style="18" customWidth="1"/>
    <col min="16" max="16" width="34.5703125" style="18" customWidth="1"/>
    <col min="17" max="17" width="30.5703125" style="18" customWidth="1"/>
    <col min="18" max="18" width="24.28515625" style="6" bestFit="1" customWidth="1"/>
    <col min="19" max="16384" width="9.28515625" style="6"/>
  </cols>
  <sheetData>
    <row r="1" spans="1:18" s="3" customFormat="1" ht="30.6" customHeight="1" x14ac:dyDescent="0.25">
      <c r="A1" s="83" t="s">
        <v>2040</v>
      </c>
      <c r="B1" s="83" t="s">
        <v>0</v>
      </c>
      <c r="C1" s="80" t="s">
        <v>2041</v>
      </c>
      <c r="D1" s="83" t="s">
        <v>1</v>
      </c>
      <c r="E1" t="s">
        <v>2</v>
      </c>
      <c r="F1" t="s">
        <v>3</v>
      </c>
      <c r="G1" s="35" t="s">
        <v>4</v>
      </c>
      <c r="H1" s="35" t="s">
        <v>5</v>
      </c>
      <c r="I1" s="35" t="s">
        <v>6</v>
      </c>
      <c r="J1" s="35" t="s">
        <v>7</v>
      </c>
      <c r="K1" s="35" t="s">
        <v>8</v>
      </c>
      <c r="L1" s="36" t="s">
        <v>9</v>
      </c>
      <c r="M1" s="36" t="s">
        <v>10</v>
      </c>
      <c r="N1" s="36" t="s">
        <v>11</v>
      </c>
      <c r="O1" s="36" t="s">
        <v>12</v>
      </c>
      <c r="P1" s="36" t="s">
        <v>13</v>
      </c>
      <c r="Q1" s="36" t="s">
        <v>14</v>
      </c>
      <c r="R1" s="36" t="s">
        <v>15</v>
      </c>
    </row>
    <row r="2" spans="1:18" customFormat="1" ht="15" customHeight="1" x14ac:dyDescent="0.25">
      <c r="A2" t="str">
        <f t="shared" ref="A2:A65" si="0">CONCATENATE(J2,"_",K2,"_",B2)</f>
        <v>Impianto Rete dati_Rack radio_ALL_PLC_RACK-Allarme plc rack</v>
      </c>
      <c r="B2" t="str">
        <f>CONCATENATE(H2,"-",I2)</f>
        <v>ALL_PLC_RACK-Allarme plc rack</v>
      </c>
      <c r="C2" t="str">
        <f>VLOOKUP(B2,'[2]Classi allarmi RMT-STIG_rev4'!$C:$C,1,0)</f>
        <v>ALL_PLC_RACK-Allarme plc rack</v>
      </c>
      <c r="D2" t="str">
        <f>VLOOKUP(B2,'EXPORT IRIS PROD 13-11-2024'!A:A,1,0)</f>
        <v>ALL_PLC_RACK-Allarme plc rack</v>
      </c>
      <c r="E2" t="str">
        <f>VLOOKUP(H2,'EXPORT IRIS PROD 13-11-2024'!F:F,1,0)</f>
        <v>ALL_PLC_RACK</v>
      </c>
      <c r="F2" t="str">
        <f>VLOOKUP(I2,'EXPORT IRIS PROD 13-11-2024'!D:D,1,0)</f>
        <v>Allarme plc rack</v>
      </c>
      <c r="G2" s="37" t="s">
        <v>16</v>
      </c>
      <c r="H2" s="38" t="s">
        <v>17</v>
      </c>
      <c r="I2" s="38" t="s">
        <v>18</v>
      </c>
      <c r="J2" s="39" t="s">
        <v>19</v>
      </c>
      <c r="K2" s="39" t="s">
        <v>20</v>
      </c>
      <c r="L2" s="40" t="s">
        <v>21</v>
      </c>
      <c r="M2" s="41" t="s">
        <v>22</v>
      </c>
      <c r="N2" s="42" t="s">
        <v>23</v>
      </c>
      <c r="O2" s="43" t="s">
        <v>24</v>
      </c>
      <c r="P2" s="42" t="s">
        <v>25</v>
      </c>
      <c r="Q2" s="42" t="s">
        <v>21</v>
      </c>
      <c r="R2" s="44"/>
    </row>
    <row r="3" spans="1:18" ht="15" customHeight="1" x14ac:dyDescent="0.25">
      <c r="A3" t="str">
        <f t="shared" si="0"/>
        <v>Impianto SOS_Colonnina Sos_ALLARME_DA_SOS-Allarme SOS premuto</v>
      </c>
      <c r="B3" t="str">
        <f t="shared" ref="B3:B66" si="1">CONCATENATE(H3,"-",I3)</f>
        <v>ALLARME_DA_SOS-Allarme SOS premuto</v>
      </c>
      <c r="C3" t="str">
        <f>VLOOKUP(B3,'[2]Classi allarmi RMT-STIG_rev4'!$C:$C,1,0)</f>
        <v>ALLARME_DA_SOS-Allarme SOS premuto</v>
      </c>
      <c r="D3" t="str">
        <f>VLOOKUP(B3,'EXPORT IRIS PROD 13-11-2024'!A:A,1,0)</f>
        <v>ALLARME_DA_SOS-Allarme SOS premuto</v>
      </c>
      <c r="E3" t="str">
        <f>VLOOKUP(H3,'EXPORT IRIS PROD 13-11-2024'!F:F,1,0)</f>
        <v>ALLARME_DA_SOS</v>
      </c>
      <c r="F3" t="str">
        <f>VLOOKUP(I3,'EXPORT IRIS PROD 13-11-2024'!D:D,1,0)</f>
        <v>Allarme SOS premuto</v>
      </c>
      <c r="G3" s="37" t="s">
        <v>26</v>
      </c>
      <c r="H3" s="38" t="s">
        <v>27</v>
      </c>
      <c r="I3" s="45" t="s">
        <v>28</v>
      </c>
      <c r="J3" s="46" t="s">
        <v>29</v>
      </c>
      <c r="K3" s="46" t="s">
        <v>30</v>
      </c>
      <c r="L3" s="47" t="s">
        <v>31</v>
      </c>
      <c r="M3" s="48" t="s">
        <v>32</v>
      </c>
      <c r="N3" s="43">
        <v>1</v>
      </c>
      <c r="O3" s="43" t="s">
        <v>33</v>
      </c>
      <c r="P3" s="43" t="s">
        <v>34</v>
      </c>
      <c r="Q3" s="43" t="s">
        <v>31</v>
      </c>
      <c r="R3" s="49"/>
    </row>
    <row r="4" spans="1:18" customFormat="1" ht="15" customHeight="1" x14ac:dyDescent="0.25">
      <c r="A4" t="str">
        <f t="shared" si="0"/>
        <v>Impianto Antincendio_Pompa_ALLARME_GENERICO-allarme generico</v>
      </c>
      <c r="B4" t="str">
        <f t="shared" si="1"/>
        <v>ALLARME_GENERICO-allarme generico</v>
      </c>
      <c r="C4" t="str">
        <f>VLOOKUP(B4,'[2]Classi allarmi RMT-STIG_rev4'!$C:$C,1,0)</f>
        <v>ALLARME_GENERICO-allarme generico</v>
      </c>
      <c r="D4" t="str">
        <f>VLOOKUP(B4,'EXPORT IRIS PROD 13-11-2024'!A:A,1,0)</f>
        <v>ALLARME_GENERICO-allarme generico</v>
      </c>
      <c r="E4" t="str">
        <f>VLOOKUP(H4,'EXPORT IRIS PROD 13-11-2024'!F:F,1,0)</f>
        <v>ALLARME_GENERICO</v>
      </c>
      <c r="F4" t="str">
        <f>VLOOKUP(I4,'EXPORT IRIS PROD 13-11-2024'!D:D,1,0)</f>
        <v>allarme generico</v>
      </c>
      <c r="G4" s="37" t="s">
        <v>35</v>
      </c>
      <c r="H4" s="38" t="s">
        <v>36</v>
      </c>
      <c r="I4" s="38" t="s">
        <v>37</v>
      </c>
      <c r="J4" s="39" t="s">
        <v>38</v>
      </c>
      <c r="K4" s="50" t="s">
        <v>39</v>
      </c>
      <c r="L4" s="40" t="s">
        <v>21</v>
      </c>
      <c r="M4" s="41" t="s">
        <v>22</v>
      </c>
      <c r="N4" s="42" t="s">
        <v>23</v>
      </c>
      <c r="O4" s="43" t="s">
        <v>24</v>
      </c>
      <c r="P4" s="42" t="s">
        <v>25</v>
      </c>
      <c r="Q4" s="42" t="s">
        <v>21</v>
      </c>
      <c r="R4" s="44"/>
    </row>
    <row r="5" spans="1:18" x14ac:dyDescent="0.25">
      <c r="A5" t="str">
        <f t="shared" si="0"/>
        <v>Impianto Rilevazione Incendio_Centralina rilevazione incendio in cabina_ALLARME_INCENDIO_CABINA-Allarme incendio in cabina</v>
      </c>
      <c r="B5" t="str">
        <f t="shared" si="1"/>
        <v>ALLARME_INCENDIO_CABINA-Allarme incendio in cabina</v>
      </c>
      <c r="C5" t="str">
        <f>VLOOKUP(B5,'[2]Classi allarmi RMT-STIG_rev4'!$C:$C,1,0)</f>
        <v>ALLARME_INCENDIO_CABINA-Allarme incendio in cabina</v>
      </c>
      <c r="D5" t="str">
        <f>VLOOKUP(B5,'EXPORT IRIS PROD 13-11-2024'!A:A,1,0)</f>
        <v>ALLARME_INCENDIO_CABINA-Allarme incendio in cabina</v>
      </c>
      <c r="E5" t="str">
        <f>VLOOKUP(H5,'EXPORT IRIS PROD 13-11-2024'!F:F,1,0)</f>
        <v>ALLARME_INCENDIO_CABINA</v>
      </c>
      <c r="F5" t="str">
        <f>VLOOKUP(I5,'EXPORT IRIS PROD 13-11-2024'!D:D,1,0)</f>
        <v>Allarme incendio in cabina</v>
      </c>
      <c r="G5" s="37" t="s">
        <v>40</v>
      </c>
      <c r="H5" s="38" t="s">
        <v>41</v>
      </c>
      <c r="I5" s="45" t="s">
        <v>42</v>
      </c>
      <c r="J5" s="46" t="s">
        <v>43</v>
      </c>
      <c r="K5" s="46" t="s">
        <v>44</v>
      </c>
      <c r="L5" s="47" t="s">
        <v>31</v>
      </c>
      <c r="M5" s="48" t="s">
        <v>32</v>
      </c>
      <c r="N5" s="43">
        <v>2</v>
      </c>
      <c r="O5" s="43" t="s">
        <v>45</v>
      </c>
      <c r="P5" s="43" t="s">
        <v>46</v>
      </c>
      <c r="Q5" s="43" t="s">
        <v>31</v>
      </c>
      <c r="R5" s="49"/>
    </row>
    <row r="6" spans="1:18" ht="15" customHeight="1" x14ac:dyDescent="0.25">
      <c r="A6" t="str">
        <f t="shared" si="0"/>
        <v>Impianto Ventilazione_CO_ALLARME_INCENDIO_DA_SENSORE-Allarme incendio da sensori</v>
      </c>
      <c r="B6" t="str">
        <f t="shared" si="1"/>
        <v>ALLARME_INCENDIO_DA_SENSORE-Allarme incendio da sensori</v>
      </c>
      <c r="C6" t="str">
        <f>VLOOKUP(B6,'[2]Classi allarmi RMT-STIG_rev4'!$C:$C,1,0)</f>
        <v>ALLARME_INCENDIO_DA_SENSORE-Allarme incendio da sensori</v>
      </c>
      <c r="D6" t="str">
        <f>VLOOKUP(B6,'EXPORT IRIS PROD 13-11-2024'!A:A,1,0)</f>
        <v>ALLARME_INCENDIO_DA_SENSORE-Allarme incendio da sensori</v>
      </c>
      <c r="E6" t="str">
        <f>VLOOKUP(H6,'EXPORT IRIS PROD 13-11-2024'!F:F,1,0)</f>
        <v>ALLARME_INCENDIO_DA_SENSORE</v>
      </c>
      <c r="F6" t="str">
        <f>VLOOKUP(I6,'EXPORT IRIS PROD 13-11-2024'!D:D,1,0)</f>
        <v>Allarme incendio da sensori</v>
      </c>
      <c r="G6" s="37" t="s">
        <v>47</v>
      </c>
      <c r="H6" s="38" t="s">
        <v>48</v>
      </c>
      <c r="I6" s="45" t="s">
        <v>49</v>
      </c>
      <c r="J6" s="46" t="s">
        <v>50</v>
      </c>
      <c r="K6" s="46" t="s">
        <v>51</v>
      </c>
      <c r="L6" s="47" t="s">
        <v>31</v>
      </c>
      <c r="M6" s="48" t="s">
        <v>32</v>
      </c>
      <c r="N6" s="43">
        <v>2</v>
      </c>
      <c r="O6" s="43" t="s">
        <v>45</v>
      </c>
      <c r="P6" s="43" t="s">
        <v>46</v>
      </c>
      <c r="Q6" s="43" t="s">
        <v>31</v>
      </c>
      <c r="R6" s="49"/>
    </row>
    <row r="7" spans="1:18" ht="15" customHeight="1" x14ac:dyDescent="0.25">
      <c r="A7" t="str">
        <f t="shared" si="0"/>
        <v>Impianto Ventilazione_OP_ALLARME_INCENDIO_DA_SENSORE-Allarme incendio da sensori</v>
      </c>
      <c r="B7" t="str">
        <f t="shared" si="1"/>
        <v>ALLARME_INCENDIO_DA_SENSORE-Allarme incendio da sensori</v>
      </c>
      <c r="C7" t="str">
        <f>VLOOKUP(B7,'[2]Classi allarmi RMT-STIG_rev4'!$C:$C,1,0)</f>
        <v>ALLARME_INCENDIO_DA_SENSORE-Allarme incendio da sensori</v>
      </c>
      <c r="D7" t="str">
        <f>VLOOKUP(B7,'EXPORT IRIS PROD 13-11-2024'!A:A,1,0)</f>
        <v>ALLARME_INCENDIO_DA_SENSORE-Allarme incendio da sensori</v>
      </c>
      <c r="E7" t="str">
        <f>VLOOKUP(H7,'EXPORT IRIS PROD 13-11-2024'!F:F,1,0)</f>
        <v>ALLARME_INCENDIO_DA_SENSORE</v>
      </c>
      <c r="F7" t="str">
        <f>VLOOKUP(I7,'EXPORT IRIS PROD 13-11-2024'!D:D,1,0)</f>
        <v>Allarme incendio da sensori</v>
      </c>
      <c r="G7" s="37" t="s">
        <v>47</v>
      </c>
      <c r="H7" s="38" t="s">
        <v>48</v>
      </c>
      <c r="I7" s="45" t="s">
        <v>49</v>
      </c>
      <c r="J7" s="46" t="s">
        <v>50</v>
      </c>
      <c r="K7" s="46" t="s">
        <v>52</v>
      </c>
      <c r="L7" s="47" t="s">
        <v>31</v>
      </c>
      <c r="M7" s="48" t="s">
        <v>32</v>
      </c>
      <c r="N7" s="43">
        <v>2</v>
      </c>
      <c r="O7" s="43" t="s">
        <v>45</v>
      </c>
      <c r="P7" s="43" t="s">
        <v>46</v>
      </c>
      <c r="Q7" s="43" t="s">
        <v>31</v>
      </c>
      <c r="R7" s="49"/>
    </row>
    <row r="8" spans="1:18" customFormat="1" ht="15" customHeight="1" x14ac:dyDescent="0.25">
      <c r="A8" t="str">
        <f t="shared" si="0"/>
        <v>Impianto Elettrico_Gruppo elettrogeno_ALR_1_GRUPPO_ELETTROGENO-Allarme centralina gestione elettronica GE - alarm1</v>
      </c>
      <c r="B8" t="str">
        <f t="shared" si="1"/>
        <v>ALR_1_GRUPPO_ELETTROGENO-Allarme centralina gestione elettronica GE - alarm1</v>
      </c>
      <c r="C8" t="str">
        <f>VLOOKUP(B8,'[2]Classi allarmi RMT-STIG_rev4'!$C:$C,1,0)</f>
        <v>ALR_1_GRUPPO_ELETTROGENO-Allarme centralina gestione elettronica GE - alarm1</v>
      </c>
      <c r="D8" t="str">
        <f>VLOOKUP(B8,'EXPORT IRIS PROD 13-11-2024'!A:A,1,0)</f>
        <v>ALR_1_GRUPPO_ELETTROGENO-Allarme centralina gestione elettronica GE - alarm1</v>
      </c>
      <c r="E8" t="str">
        <f>VLOOKUP(H8,'EXPORT IRIS PROD 13-11-2024'!F:F,1,0)</f>
        <v>ALR_1_GRUPPO_ELETTROGENO</v>
      </c>
      <c r="F8" t="str">
        <f>VLOOKUP(I8,'EXPORT IRIS PROD 13-11-2024'!D:D,1,0)</f>
        <v>Allarme centralina gestione elettronica GE - alarm1</v>
      </c>
      <c r="G8" s="37" t="s">
        <v>53</v>
      </c>
      <c r="H8" s="38" t="s">
        <v>54</v>
      </c>
      <c r="I8" s="38" t="s">
        <v>55</v>
      </c>
      <c r="J8" s="39" t="s">
        <v>56</v>
      </c>
      <c r="K8" s="39" t="s">
        <v>57</v>
      </c>
      <c r="L8" s="40" t="s">
        <v>21</v>
      </c>
      <c r="M8" s="41" t="s">
        <v>22</v>
      </c>
      <c r="N8" s="42" t="s">
        <v>23</v>
      </c>
      <c r="O8" s="43" t="s">
        <v>24</v>
      </c>
      <c r="P8" s="42" t="s">
        <v>25</v>
      </c>
      <c r="Q8" s="42" t="s">
        <v>21</v>
      </c>
      <c r="R8" s="44"/>
    </row>
    <row r="9" spans="1:18" ht="15" customHeight="1" x14ac:dyDescent="0.25">
      <c r="A9" t="str">
        <f t="shared" si="0"/>
        <v>Impianto SOS_Colonnina Sos_ALR_113-Allarme SOS pulsante 113</v>
      </c>
      <c r="B9" t="str">
        <f t="shared" si="1"/>
        <v>ALR_113-Allarme SOS pulsante 113</v>
      </c>
      <c r="C9" t="str">
        <f>VLOOKUP(B9,'[2]Classi allarmi RMT-STIG_rev4'!$C:$C,1,0)</f>
        <v>ALR_113-Allarme SOS pulsante 113</v>
      </c>
      <c r="D9" t="str">
        <f>VLOOKUP(B9,'EXPORT IRIS PROD 13-11-2024'!A:A,1,0)</f>
        <v>ALR_113-Allarme SOS pulsante 113</v>
      </c>
      <c r="E9" t="str">
        <f>VLOOKUP(H9,'EXPORT IRIS PROD 13-11-2024'!F:F,1,0)</f>
        <v>ALR_113</v>
      </c>
      <c r="F9" t="str">
        <f>VLOOKUP(I9,'EXPORT IRIS PROD 13-11-2024'!D:D,1,0)</f>
        <v>Allarme SOS pulsante 113</v>
      </c>
      <c r="G9" s="37" t="s">
        <v>26</v>
      </c>
      <c r="H9" s="38" t="s">
        <v>58</v>
      </c>
      <c r="I9" s="45" t="s">
        <v>59</v>
      </c>
      <c r="J9" s="46" t="s">
        <v>29</v>
      </c>
      <c r="K9" s="46" t="s">
        <v>30</v>
      </c>
      <c r="L9" s="47" t="s">
        <v>31</v>
      </c>
      <c r="M9" s="48" t="s">
        <v>32</v>
      </c>
      <c r="N9" s="43">
        <v>1</v>
      </c>
      <c r="O9" s="43" t="s">
        <v>33</v>
      </c>
      <c r="P9" s="43" t="s">
        <v>34</v>
      </c>
      <c r="Q9" s="43" t="s">
        <v>31</v>
      </c>
      <c r="R9" s="49"/>
    </row>
    <row r="10" spans="1:18" ht="15" customHeight="1" x14ac:dyDescent="0.25">
      <c r="A10" t="str">
        <f t="shared" si="0"/>
        <v>Impianto SOS_Colonnina Sos_ALR_115-Allarme SOS pulsante 115</v>
      </c>
      <c r="B10" t="str">
        <f t="shared" si="1"/>
        <v>ALR_115-Allarme SOS pulsante 115</v>
      </c>
      <c r="C10" t="str">
        <f>VLOOKUP(B10,'[2]Classi allarmi RMT-STIG_rev4'!$C:$C,1,0)</f>
        <v>ALR_115-Allarme SOS pulsante 115</v>
      </c>
      <c r="D10" t="str">
        <f>VLOOKUP(B10,'EXPORT IRIS PROD 13-11-2024'!A:A,1,0)</f>
        <v>ALR_115-Allarme SOS pulsante 115</v>
      </c>
      <c r="E10" t="str">
        <f>VLOOKUP(H10,'EXPORT IRIS PROD 13-11-2024'!F:F,1,0)</f>
        <v>ALR_115</v>
      </c>
      <c r="F10" t="str">
        <f>VLOOKUP(I10,'EXPORT IRIS PROD 13-11-2024'!D:D,1,0)</f>
        <v>Allarme SOS pulsante 115</v>
      </c>
      <c r="G10" s="37" t="s">
        <v>26</v>
      </c>
      <c r="H10" s="38" t="s">
        <v>60</v>
      </c>
      <c r="I10" s="45" t="s">
        <v>61</v>
      </c>
      <c r="J10" s="46" t="s">
        <v>29</v>
      </c>
      <c r="K10" s="46" t="s">
        <v>30</v>
      </c>
      <c r="L10" s="47" t="s">
        <v>31</v>
      </c>
      <c r="M10" s="48" t="s">
        <v>32</v>
      </c>
      <c r="N10" s="43">
        <v>1</v>
      </c>
      <c r="O10" s="43" t="s">
        <v>33</v>
      </c>
      <c r="P10" s="43" t="s">
        <v>34</v>
      </c>
      <c r="Q10" s="43" t="s">
        <v>31</v>
      </c>
      <c r="R10" s="49"/>
    </row>
    <row r="11" spans="1:18" ht="15" customHeight="1" x14ac:dyDescent="0.25">
      <c r="A11" t="str">
        <f t="shared" si="0"/>
        <v>Impianto SOS_Colonnina Sos_ALR_118-Allarme SOS pulsante 118</v>
      </c>
      <c r="B11" t="str">
        <f t="shared" si="1"/>
        <v>ALR_118-Allarme SOS pulsante 118</v>
      </c>
      <c r="C11" t="str">
        <f>VLOOKUP(B11,'[2]Classi allarmi RMT-STIG_rev4'!$C:$C,1,0)</f>
        <v>ALR_118-Allarme SOS pulsante 118</v>
      </c>
      <c r="D11" t="str">
        <f>VLOOKUP(B11,'EXPORT IRIS PROD 13-11-2024'!A:A,1,0)</f>
        <v>ALR_118-Allarme SOS pulsante 118</v>
      </c>
      <c r="E11" t="str">
        <f>VLOOKUP(H11,'EXPORT IRIS PROD 13-11-2024'!F:F,1,0)</f>
        <v>ALR_118</v>
      </c>
      <c r="F11" t="str">
        <f>VLOOKUP(I11,'EXPORT IRIS PROD 13-11-2024'!D:D,1,0)</f>
        <v>Allarme SOS pulsante 118</v>
      </c>
      <c r="G11" s="37" t="s">
        <v>26</v>
      </c>
      <c r="H11" s="38" t="s">
        <v>62</v>
      </c>
      <c r="I11" s="45" t="s">
        <v>63</v>
      </c>
      <c r="J11" s="46" t="s">
        <v>29</v>
      </c>
      <c r="K11" s="46" t="s">
        <v>30</v>
      </c>
      <c r="L11" s="47" t="s">
        <v>31</v>
      </c>
      <c r="M11" s="48" t="s">
        <v>32</v>
      </c>
      <c r="N11" s="43">
        <v>1</v>
      </c>
      <c r="O11" s="43" t="s">
        <v>33</v>
      </c>
      <c r="P11" s="43" t="s">
        <v>34</v>
      </c>
      <c r="Q11" s="43" t="s">
        <v>31</v>
      </c>
      <c r="R11" s="49"/>
    </row>
    <row r="12" spans="1:18" customFormat="1" ht="15" customHeight="1" x14ac:dyDescent="0.25">
      <c r="A12" t="str">
        <f t="shared" si="0"/>
        <v>Impianto Elettrico_Gruppo elettrogeno_ALR_2_GRUPPO_ELETTROGENO-Allarme centralina gestione elettronica GE - alarm2</v>
      </c>
      <c r="B12" t="str">
        <f t="shared" si="1"/>
        <v>ALR_2_GRUPPO_ELETTROGENO-Allarme centralina gestione elettronica GE - alarm2</v>
      </c>
      <c r="C12" t="str">
        <f>VLOOKUP(B12,'[2]Classi allarmi RMT-STIG_rev4'!$C:$C,1,0)</f>
        <v>ALR_2_GRUPPO_ELETTROGENO-Allarme centralina gestione elettronica GE - alarm2</v>
      </c>
      <c r="D12" t="str">
        <f>VLOOKUP(B12,'EXPORT IRIS PROD 13-11-2024'!A:A,1,0)</f>
        <v>ALR_2_GRUPPO_ELETTROGENO-Allarme centralina gestione elettronica GE - alarm2</v>
      </c>
      <c r="E12" t="str">
        <f>VLOOKUP(H12,'EXPORT IRIS PROD 13-11-2024'!F:F,1,0)</f>
        <v>ALR_2_GRUPPO_ELETTROGENO</v>
      </c>
      <c r="F12" t="str">
        <f>VLOOKUP(I12,'EXPORT IRIS PROD 13-11-2024'!D:D,1,0)</f>
        <v>Allarme centralina gestione elettronica GE - alarm2</v>
      </c>
      <c r="G12" s="37" t="s">
        <v>53</v>
      </c>
      <c r="H12" s="38" t="s">
        <v>64</v>
      </c>
      <c r="I12" s="38" t="s">
        <v>65</v>
      </c>
      <c r="J12" s="39" t="s">
        <v>56</v>
      </c>
      <c r="K12" s="39" t="s">
        <v>57</v>
      </c>
      <c r="L12" s="40" t="s">
        <v>21</v>
      </c>
      <c r="M12" s="41" t="s">
        <v>22</v>
      </c>
      <c r="N12" s="42" t="s">
        <v>23</v>
      </c>
      <c r="O12" s="43" t="s">
        <v>24</v>
      </c>
      <c r="P12" s="42" t="s">
        <v>25</v>
      </c>
      <c r="Q12" s="42" t="s">
        <v>21</v>
      </c>
      <c r="R12" s="44"/>
    </row>
    <row r="13" spans="1:18" ht="15" customHeight="1" x14ac:dyDescent="0.25">
      <c r="A13" t="str">
        <f t="shared" si="0"/>
        <v>Impianto SOS_Colonnina Sos_ALR_800116-Allarme SOS soccorso meccanico_800116</v>
      </c>
      <c r="B13" t="str">
        <f t="shared" si="1"/>
        <v>ALR_800116-Allarme SOS soccorso meccanico_800116</v>
      </c>
      <c r="C13" t="str">
        <f>VLOOKUP(B13,'[2]Classi allarmi RMT-STIG_rev4'!$C:$C,1,0)</f>
        <v>ALR_800116-Allarme SOS soccorso meccanico_800116</v>
      </c>
      <c r="D13" t="str">
        <f>VLOOKUP(B13,'EXPORT IRIS PROD 13-11-2024'!A:A,1,0)</f>
        <v>ALR_800116-Allarme SOS soccorso meccanico_800116</v>
      </c>
      <c r="E13" t="str">
        <f>VLOOKUP(H13,'EXPORT IRIS PROD 13-11-2024'!F:F,1,0)</f>
        <v>ALR_800116</v>
      </c>
      <c r="F13" t="str">
        <f>VLOOKUP(I13,'EXPORT IRIS PROD 13-11-2024'!D:D,1,0)</f>
        <v>Allarme SOS soccorso meccanico_800116</v>
      </c>
      <c r="G13" s="37" t="s">
        <v>26</v>
      </c>
      <c r="H13" s="38" t="s">
        <v>66</v>
      </c>
      <c r="I13" s="45" t="s">
        <v>67</v>
      </c>
      <c r="J13" s="46" t="s">
        <v>29</v>
      </c>
      <c r="K13" s="46" t="s">
        <v>30</v>
      </c>
      <c r="L13" s="47" t="s">
        <v>31</v>
      </c>
      <c r="M13" s="48" t="s">
        <v>32</v>
      </c>
      <c r="N13" s="43">
        <v>1</v>
      </c>
      <c r="O13" s="43" t="s">
        <v>33</v>
      </c>
      <c r="P13" s="43" t="s">
        <v>34</v>
      </c>
      <c r="Q13" s="43" t="s">
        <v>31</v>
      </c>
      <c r="R13" s="49"/>
    </row>
    <row r="14" spans="1:18" ht="15" customHeight="1" x14ac:dyDescent="0.25">
      <c r="A14" t="str">
        <f t="shared" si="0"/>
        <v>Impianto SOS_Colonnina Sos_ALR_803116-Allarme SOS soccorso meccanico_803116</v>
      </c>
      <c r="B14" t="str">
        <f t="shared" si="1"/>
        <v>ALR_803116-Allarme SOS soccorso meccanico_803116</v>
      </c>
      <c r="C14" t="str">
        <f>VLOOKUP(B14,'[2]Classi allarmi RMT-STIG_rev4'!$C:$C,1,0)</f>
        <v>ALR_803116-Allarme SOS soccorso meccanico_803116</v>
      </c>
      <c r="D14" t="str">
        <f>VLOOKUP(B14,'EXPORT IRIS PROD 13-11-2024'!A:A,1,0)</f>
        <v>ALR_803116-Allarme SOS soccorso meccanico_803116</v>
      </c>
      <c r="E14" t="str">
        <f>VLOOKUP(H14,'EXPORT IRIS PROD 13-11-2024'!F:F,1,0)</f>
        <v>ALR_803116</v>
      </c>
      <c r="F14" t="str">
        <f>VLOOKUP(I14,'EXPORT IRIS PROD 13-11-2024'!D:D,1,0)</f>
        <v>Allarme SOS soccorso meccanico_803116</v>
      </c>
      <c r="G14" s="37" t="s">
        <v>26</v>
      </c>
      <c r="H14" s="38" t="s">
        <v>68</v>
      </c>
      <c r="I14" s="45" t="s">
        <v>69</v>
      </c>
      <c r="J14" s="46" t="s">
        <v>29</v>
      </c>
      <c r="K14" s="46" t="s">
        <v>30</v>
      </c>
      <c r="L14" s="47" t="s">
        <v>31</v>
      </c>
      <c r="M14" s="48" t="s">
        <v>32</v>
      </c>
      <c r="N14" s="43">
        <v>1</v>
      </c>
      <c r="O14" s="43" t="s">
        <v>33</v>
      </c>
      <c r="P14" s="43" t="s">
        <v>34</v>
      </c>
      <c r="Q14" s="43" t="s">
        <v>31</v>
      </c>
      <c r="R14" s="49"/>
    </row>
    <row r="15" spans="1:18" x14ac:dyDescent="0.25">
      <c r="A15" t="str">
        <f t="shared" si="0"/>
        <v>Impianto Allagamento_Sonda allagamento_ALR_ALLAGAMENTO-Allarme Allagamento</v>
      </c>
      <c r="B15" t="str">
        <f t="shared" si="1"/>
        <v>ALR_ALLAGAMENTO-Allarme Allagamento</v>
      </c>
      <c r="C15" t="str">
        <f>VLOOKUP(B15,'[2]Classi allarmi RMT-STIG_rev4'!$C:$C,1,0)</f>
        <v>ALR_ALLAGAMENTO-Allarme Allagamento</v>
      </c>
      <c r="D15" t="str">
        <f>VLOOKUP(B15,'EXPORT IRIS PROD 13-11-2024'!A:A,1,0)</f>
        <v>ALR_ALLAGAMENTO-Allarme Allagamento</v>
      </c>
      <c r="E15" t="str">
        <f>VLOOKUP(H15,'EXPORT IRIS PROD 13-11-2024'!F:F,1,0)</f>
        <v>ALR_ALLAGAMENTO</v>
      </c>
      <c r="F15" t="str">
        <f>VLOOKUP(I15,'EXPORT IRIS PROD 13-11-2024'!D:D,1,0)</f>
        <v>Allarme Allagamento</v>
      </c>
      <c r="G15" s="37" t="s">
        <v>70</v>
      </c>
      <c r="H15" s="38" t="s">
        <v>71</v>
      </c>
      <c r="I15" s="45" t="s">
        <v>72</v>
      </c>
      <c r="J15" s="46" t="s">
        <v>73</v>
      </c>
      <c r="K15" s="46" t="s">
        <v>74</v>
      </c>
      <c r="L15" s="47" t="s">
        <v>31</v>
      </c>
      <c r="M15" s="48" t="s">
        <v>32</v>
      </c>
      <c r="N15" s="43">
        <v>2</v>
      </c>
      <c r="O15" s="43" t="s">
        <v>33</v>
      </c>
      <c r="P15" s="43" t="s">
        <v>34</v>
      </c>
      <c r="Q15" s="43" t="s">
        <v>31</v>
      </c>
      <c r="R15" s="49"/>
    </row>
    <row r="16" spans="1:18" customFormat="1" ht="15" customHeight="1" x14ac:dyDescent="0.25">
      <c r="A16" t="str">
        <f t="shared" si="0"/>
        <v>Impianto Elettrico_Gruppo elettrogeno_ALR_ALTERNATORE_IN_SOVRACCARICO_C-Allarme alternatore in sovraccarico C</v>
      </c>
      <c r="B16" t="str">
        <f t="shared" si="1"/>
        <v>ALR_ALTERNATORE_IN_SOVRACCARICO_C-Allarme alternatore in sovraccarico C</v>
      </c>
      <c r="C16" t="str">
        <f>VLOOKUP(B16,'[2]Classi allarmi RMT-STIG_rev4'!$C:$C,1,0)</f>
        <v>ALR_ALTERNATORE_IN_SOVRACCARICO_C-Allarme alternatore in sovraccarico C</v>
      </c>
      <c r="D16" t="str">
        <f>VLOOKUP(B16,'EXPORT IRIS PROD 13-11-2024'!A:A,1,0)</f>
        <v>ALR_ALTERNATORE_IN_SOVRACCARICO_C-Allarme alternatore in sovraccarico C</v>
      </c>
      <c r="E16" t="str">
        <f>VLOOKUP(H16,'EXPORT IRIS PROD 13-11-2024'!F:F,1,0)</f>
        <v>ALR_ALTERNATORE_IN_SOVRACCARICO_C</v>
      </c>
      <c r="F16" t="str">
        <f>VLOOKUP(I16,'EXPORT IRIS PROD 13-11-2024'!D:D,1,0)</f>
        <v>Allarme alternatore in sovraccarico C</v>
      </c>
      <c r="G16" s="37" t="s">
        <v>53</v>
      </c>
      <c r="H16" s="38" t="s">
        <v>75</v>
      </c>
      <c r="I16" s="38" t="s">
        <v>76</v>
      </c>
      <c r="J16" s="39" t="s">
        <v>56</v>
      </c>
      <c r="K16" s="39" t="s">
        <v>57</v>
      </c>
      <c r="L16" s="40" t="s">
        <v>21</v>
      </c>
      <c r="M16" s="41" t="s">
        <v>22</v>
      </c>
      <c r="N16" s="42" t="s">
        <v>23</v>
      </c>
      <c r="O16" s="43" t="s">
        <v>24</v>
      </c>
      <c r="P16" s="42" t="s">
        <v>25</v>
      </c>
      <c r="Q16" s="42" t="s">
        <v>21</v>
      </c>
      <c r="R16" s="44"/>
    </row>
    <row r="17" spans="1:18" customFormat="1" ht="15" customHeight="1" x14ac:dyDescent="0.25">
      <c r="A17" t="str">
        <f t="shared" si="0"/>
        <v>Impianto Elettrico_Gruppo elettrogeno_ALR_ALTERNATORE_IN_SOVRACCARICO_L-Allarme alternatore in sovraccarico L</v>
      </c>
      <c r="B17" t="str">
        <f t="shared" si="1"/>
        <v>ALR_ALTERNATORE_IN_SOVRACCARICO_L-Allarme alternatore in sovraccarico L</v>
      </c>
      <c r="C17" t="str">
        <f>VLOOKUP(B17,'[2]Classi allarmi RMT-STIG_rev4'!$C:$C,1,0)</f>
        <v>ALR_ALTERNATORE_IN_SOVRACCARICO_L-Allarme alternatore in sovraccarico L</v>
      </c>
      <c r="D17" t="str">
        <f>VLOOKUP(B17,'EXPORT IRIS PROD 13-11-2024'!A:A,1,0)</f>
        <v>ALR_ALTERNATORE_IN_SOVRACCARICO_L-Allarme alternatore in sovraccarico L</v>
      </c>
      <c r="E17" t="str">
        <f>VLOOKUP(H17,'EXPORT IRIS PROD 13-11-2024'!F:F,1,0)</f>
        <v>ALR_ALTERNATORE_IN_SOVRACCARICO_L</v>
      </c>
      <c r="F17" t="str">
        <f>VLOOKUP(I17,'EXPORT IRIS PROD 13-11-2024'!D:D,1,0)</f>
        <v>Allarme alternatore in sovraccarico L</v>
      </c>
      <c r="G17" s="37" t="s">
        <v>53</v>
      </c>
      <c r="H17" s="38" t="s">
        <v>77</v>
      </c>
      <c r="I17" s="38" t="s">
        <v>78</v>
      </c>
      <c r="J17" s="39" t="s">
        <v>56</v>
      </c>
      <c r="K17" s="39" t="s">
        <v>57</v>
      </c>
      <c r="L17" s="40" t="s">
        <v>21</v>
      </c>
      <c r="M17" s="41" t="s">
        <v>22</v>
      </c>
      <c r="N17" s="42" t="s">
        <v>23</v>
      </c>
      <c r="O17" s="43" t="s">
        <v>24</v>
      </c>
      <c r="P17" s="42" t="s">
        <v>25</v>
      </c>
      <c r="Q17" s="42" t="s">
        <v>21</v>
      </c>
      <c r="R17" s="44"/>
    </row>
    <row r="18" spans="1:18" customFormat="1" ht="15" customHeight="1" x14ac:dyDescent="0.25">
      <c r="A18" t="str">
        <f t="shared" si="0"/>
        <v>Impianto Elettrico_Gruppo elettrogeno_ALR_ALTERNATORE_NON_ECCITATO-Allarme alternatore non eccitato</v>
      </c>
      <c r="B18" t="str">
        <f t="shared" si="1"/>
        <v>ALR_ALTERNATORE_NON_ECCITATO-Allarme alternatore non eccitato</v>
      </c>
      <c r="C18" t="str">
        <f>VLOOKUP(B18,'[2]Classi allarmi RMT-STIG_rev4'!$C:$C,1,0)</f>
        <v>ALR_ALTERNATORE_NON_ECCITATO-Allarme alternatore non eccitato</v>
      </c>
      <c r="D18" t="str">
        <f>VLOOKUP(B18,'EXPORT IRIS PROD 13-11-2024'!A:A,1,0)</f>
        <v>ALR_ALTERNATORE_NON_ECCITATO-Allarme alternatore non eccitato</v>
      </c>
      <c r="E18" t="str">
        <f>VLOOKUP(H18,'EXPORT IRIS PROD 13-11-2024'!F:F,1,0)</f>
        <v>ALR_ALTERNATORE_NON_ECCITATO</v>
      </c>
      <c r="F18" t="str">
        <f>VLOOKUP(I18,'EXPORT IRIS PROD 13-11-2024'!D:D,1,0)</f>
        <v>Allarme alternatore non eccitato</v>
      </c>
      <c r="G18" s="37" t="s">
        <v>53</v>
      </c>
      <c r="H18" s="38" t="s">
        <v>79</v>
      </c>
      <c r="I18" s="38" t="s">
        <v>80</v>
      </c>
      <c r="J18" s="39" t="s">
        <v>56</v>
      </c>
      <c r="K18" s="39" t="s">
        <v>57</v>
      </c>
      <c r="L18" s="40" t="s">
        <v>21</v>
      </c>
      <c r="M18" s="41" t="s">
        <v>22</v>
      </c>
      <c r="N18" s="42" t="s">
        <v>23</v>
      </c>
      <c r="O18" s="43" t="s">
        <v>24</v>
      </c>
      <c r="P18" s="42" t="s">
        <v>25</v>
      </c>
      <c r="Q18" s="42" t="s">
        <v>21</v>
      </c>
      <c r="R18" s="44"/>
    </row>
    <row r="19" spans="1:18" customFormat="1" ht="15" customHeight="1" x14ac:dyDescent="0.25">
      <c r="A19" t="str">
        <f t="shared" si="0"/>
        <v>Impianto Elettrico_Gruppo elettrogeno_ALR_ALTO_LIV_GASOLIO_SERB-Allarme livello gasolio alto</v>
      </c>
      <c r="B19" t="str">
        <f t="shared" si="1"/>
        <v>ALR_ALTO_LIV_GASOLIO_SERB-Allarme livello gasolio alto</v>
      </c>
      <c r="C19" t="str">
        <f>VLOOKUP(B19,'[2]Classi allarmi RMT-STIG_rev4'!$C:$C,1,0)</f>
        <v>ALR_ALTO_LIV_GASOLIO_SERB-Allarme livello gasolio alto</v>
      </c>
      <c r="D19" t="str">
        <f>VLOOKUP(B19,'EXPORT IRIS PROD 13-11-2024'!A:A,1,0)</f>
        <v>ALR_ALTO_LIV_GASOLIO_SERB-Allarme livello gasolio alto</v>
      </c>
      <c r="E19" t="str">
        <f>VLOOKUP(H19,'EXPORT IRIS PROD 13-11-2024'!F:F,1,0)</f>
        <v>ALR_ALTO_LIV_GASOLIO_SERB</v>
      </c>
      <c r="F19" t="str">
        <f>VLOOKUP(I19,'EXPORT IRIS PROD 13-11-2024'!D:D,1,0)</f>
        <v>Allarme livello gasolio alto</v>
      </c>
      <c r="G19" s="37" t="s">
        <v>53</v>
      </c>
      <c r="H19" s="38" t="s">
        <v>81</v>
      </c>
      <c r="I19" s="38" t="s">
        <v>82</v>
      </c>
      <c r="J19" s="39" t="s">
        <v>56</v>
      </c>
      <c r="K19" s="39" t="s">
        <v>57</v>
      </c>
      <c r="L19" s="40" t="s">
        <v>21</v>
      </c>
      <c r="M19" s="41" t="s">
        <v>22</v>
      </c>
      <c r="N19" s="42" t="s">
        <v>23</v>
      </c>
      <c r="O19" s="43" t="s">
        <v>24</v>
      </c>
      <c r="P19" s="42" t="s">
        <v>25</v>
      </c>
      <c r="Q19" s="42" t="s">
        <v>21</v>
      </c>
      <c r="R19" s="44"/>
    </row>
    <row r="20" spans="1:18" customFormat="1" ht="15" customHeight="1" x14ac:dyDescent="0.25">
      <c r="A20" t="str">
        <f t="shared" si="0"/>
        <v>Impianto Antincendio_Pompa_ALR_ALTO_LIVELLO_POMPA-Allarme alto livello pompa</v>
      </c>
      <c r="B20" t="str">
        <f t="shared" si="1"/>
        <v>ALR_ALTO_LIVELLO_POMPA-Allarme alto livello pompa</v>
      </c>
      <c r="C20" t="str">
        <f>VLOOKUP(B20,'[2]Classi allarmi RMT-STIG_rev4'!$C:$C,1,0)</f>
        <v>ALR_ALTO_LIVELLO_POMPA-Allarme alto livello pompa</v>
      </c>
      <c r="D20" t="str">
        <f>VLOOKUP(B20,'EXPORT IRIS PROD 13-11-2024'!A:A,1,0)</f>
        <v>ALR_ALTO_LIVELLO_POMPA-Allarme alto livello pompa</v>
      </c>
      <c r="E20" t="str">
        <f>VLOOKUP(H20,'EXPORT IRIS PROD 13-11-2024'!F:F,1,0)</f>
        <v>ALR_ALTO_LIVELLO_POMPA</v>
      </c>
      <c r="F20" t="str">
        <f>VLOOKUP(I20,'EXPORT IRIS PROD 13-11-2024'!D:D,1,0)</f>
        <v>Allarme alto livello pompa</v>
      </c>
      <c r="G20" s="37" t="s">
        <v>35</v>
      </c>
      <c r="H20" s="38" t="s">
        <v>83</v>
      </c>
      <c r="I20" s="38" t="s">
        <v>84</v>
      </c>
      <c r="J20" s="39" t="s">
        <v>38</v>
      </c>
      <c r="K20" s="39" t="s">
        <v>39</v>
      </c>
      <c r="L20" s="40" t="s">
        <v>21</v>
      </c>
      <c r="M20" s="41" t="s">
        <v>22</v>
      </c>
      <c r="N20" s="42" t="s">
        <v>23</v>
      </c>
      <c r="O20" s="43" t="s">
        <v>24</v>
      </c>
      <c r="P20" s="42" t="s">
        <v>25</v>
      </c>
      <c r="Q20" s="42" t="s">
        <v>21</v>
      </c>
      <c r="R20" s="44"/>
    </row>
    <row r="21" spans="1:18" customFormat="1" ht="15" customHeight="1" x14ac:dyDescent="0.25">
      <c r="A21" t="str">
        <f t="shared" si="0"/>
        <v>Impianto Ventilazione_Anemometro_ALR_ANEMOMETRO-Allarme guasto anemometro</v>
      </c>
      <c r="B21" t="str">
        <f t="shared" si="1"/>
        <v>ALR_ANEMOMETRO-Allarme guasto anemometro</v>
      </c>
      <c r="C21" t="str">
        <f>VLOOKUP(B21,'[2]Classi allarmi RMT-STIG_rev4'!$C:$C,1,0)</f>
        <v>ALR_ANEMOMETRO-Allarme guasto anemometro</v>
      </c>
      <c r="D21" t="str">
        <f>VLOOKUP(B21,'EXPORT IRIS PROD 13-11-2024'!A:A,1,0)</f>
        <v>ALR_ANEMOMETRO-Allarme guasto anemometro</v>
      </c>
      <c r="E21" t="str">
        <f>VLOOKUP(H21,'EXPORT IRIS PROD 13-11-2024'!F:F,1,0)</f>
        <v>ALR_ANEMOMETRO</v>
      </c>
      <c r="F21" t="str">
        <f>VLOOKUP(I21,'EXPORT IRIS PROD 13-11-2024'!D:D,1,0)</f>
        <v>Allarme guasto anemometro</v>
      </c>
      <c r="G21" s="37" t="s">
        <v>85</v>
      </c>
      <c r="H21" s="38" t="s">
        <v>86</v>
      </c>
      <c r="I21" s="38" t="s">
        <v>87</v>
      </c>
      <c r="J21" s="39" t="s">
        <v>50</v>
      </c>
      <c r="K21" s="39" t="s">
        <v>88</v>
      </c>
      <c r="L21" s="40" t="s">
        <v>21</v>
      </c>
      <c r="M21" s="41" t="s">
        <v>22</v>
      </c>
      <c r="N21" s="42" t="s">
        <v>23</v>
      </c>
      <c r="O21" s="43" t="s">
        <v>24</v>
      </c>
      <c r="P21" s="42" t="s">
        <v>25</v>
      </c>
      <c r="Q21" s="42" t="s">
        <v>21</v>
      </c>
      <c r="R21" s="44"/>
    </row>
    <row r="22" spans="1:18" customFormat="1" ht="15" customHeight="1" x14ac:dyDescent="0.25">
      <c r="A22" t="str">
        <f t="shared" si="0"/>
        <v>Impianto SOS_Colonnina Sos_ALR_ANTA_ESTINTORE_APERTA-Allarme apertura anta estintore colonnina SOS</v>
      </c>
      <c r="B22" t="str">
        <f t="shared" si="1"/>
        <v>ALR_ANTA_ESTINTORE_APERTA-Allarme apertura anta estintore colonnina SOS</v>
      </c>
      <c r="C22" t="str">
        <f>VLOOKUP(B22,'[2]Classi allarmi RMT-STIG_rev4'!$C:$C,1,0)</f>
        <v>ALR_ANTA_ESTINTORE_APERTA-Allarme apertura anta estintore colonnina SOS</v>
      </c>
      <c r="D22" t="str">
        <f>VLOOKUP(B22,'EXPORT IRIS PROD 13-11-2024'!A:A,1,0)</f>
        <v>ALR_ANTA_ESTINTORE_APERTA-Allarme apertura anta estintore colonnina SOS</v>
      </c>
      <c r="E22" t="str">
        <f>VLOOKUP(H22,'EXPORT IRIS PROD 13-11-2024'!F:F,1,0)</f>
        <v>ALR_ANTA_ESTINTORE_APERTA</v>
      </c>
      <c r="F22" t="str">
        <f>VLOOKUP(I22,'EXPORT IRIS PROD 13-11-2024'!D:D,1,0)</f>
        <v>Allarme apertura anta estintore colonnina SOS</v>
      </c>
      <c r="G22" s="37" t="s">
        <v>89</v>
      </c>
      <c r="H22" s="38" t="s">
        <v>90</v>
      </c>
      <c r="I22" s="38" t="s">
        <v>91</v>
      </c>
      <c r="J22" s="39" t="s">
        <v>29</v>
      </c>
      <c r="K22" s="39" t="s">
        <v>30</v>
      </c>
      <c r="L22" s="40" t="s">
        <v>21</v>
      </c>
      <c r="M22" s="41" t="s">
        <v>22</v>
      </c>
      <c r="N22" s="42" t="s">
        <v>23</v>
      </c>
      <c r="O22" s="43" t="s">
        <v>24</v>
      </c>
      <c r="P22" s="42" t="s">
        <v>25</v>
      </c>
      <c r="Q22" s="42" t="s">
        <v>21</v>
      </c>
      <c r="R22" s="44"/>
    </row>
    <row r="23" spans="1:18" customFormat="1" ht="15" customHeight="1" x14ac:dyDescent="0.25">
      <c r="A23" t="str">
        <f t="shared" si="0"/>
        <v>Impianto SOS_Colonnina Sos_ALR_ANTE_INFERIORI-Allarme ante inferiori</v>
      </c>
      <c r="B23" t="str">
        <f t="shared" si="1"/>
        <v>ALR_ANTE_INFERIORI-Allarme ante inferiori</v>
      </c>
      <c r="C23" t="str">
        <f>VLOOKUP(B23,'[2]Classi allarmi RMT-STIG_rev4'!$C:$C,1,0)</f>
        <v>ALR_ANTE_INFERIORI-Allarme ante inferiori</v>
      </c>
      <c r="D23" t="str">
        <f>VLOOKUP(B23,'EXPORT IRIS PROD 13-11-2024'!A:A,1,0)</f>
        <v>ALR_ANTE_INFERIORI-Allarme ante inferiori</v>
      </c>
      <c r="E23" t="str">
        <f>VLOOKUP(H23,'EXPORT IRIS PROD 13-11-2024'!F:F,1,0)</f>
        <v>ALR_ANTE_INFERIORI</v>
      </c>
      <c r="F23" t="str">
        <f>VLOOKUP(I23,'EXPORT IRIS PROD 13-11-2024'!D:D,1,0)</f>
        <v>Allarme ante inferiori</v>
      </c>
      <c r="G23" s="37" t="s">
        <v>89</v>
      </c>
      <c r="H23" s="38" t="s">
        <v>92</v>
      </c>
      <c r="I23" s="38" t="s">
        <v>93</v>
      </c>
      <c r="J23" s="39" t="s">
        <v>29</v>
      </c>
      <c r="K23" s="39" t="s">
        <v>30</v>
      </c>
      <c r="L23" s="40" t="s">
        <v>21</v>
      </c>
      <c r="M23" s="41" t="s">
        <v>22</v>
      </c>
      <c r="N23" s="42" t="s">
        <v>23</v>
      </c>
      <c r="O23" s="43" t="s">
        <v>24</v>
      </c>
      <c r="P23" s="42" t="s">
        <v>25</v>
      </c>
      <c r="Q23" s="42" t="s">
        <v>21</v>
      </c>
      <c r="R23" s="44"/>
    </row>
    <row r="24" spans="1:18" customFormat="1" ht="15" customHeight="1" x14ac:dyDescent="0.25">
      <c r="A24" t="str">
        <f t="shared" si="0"/>
        <v>Impianto SOS_Colonnina Sos_ALR_ANTE_SUPERIORI-Allarme ante superiori</v>
      </c>
      <c r="B24" t="str">
        <f t="shared" si="1"/>
        <v>ALR_ANTE_SUPERIORI-Allarme ante superiori</v>
      </c>
      <c r="C24" t="str">
        <f>VLOOKUP(B24,'[2]Classi allarmi RMT-STIG_rev4'!$C:$C,1,0)</f>
        <v>ALR_ANTE_SUPERIORI-Allarme ante superiori</v>
      </c>
      <c r="D24" t="str">
        <f>VLOOKUP(B24,'EXPORT IRIS PROD 13-11-2024'!A:A,1,0)</f>
        <v>ALR_ANTE_SUPERIORI-Allarme ante superiori</v>
      </c>
      <c r="E24" t="str">
        <f>VLOOKUP(H24,'EXPORT IRIS PROD 13-11-2024'!F:F,1,0)</f>
        <v>ALR_ANTE_SUPERIORI</v>
      </c>
      <c r="F24" t="str">
        <f>VLOOKUP(I24,'EXPORT IRIS PROD 13-11-2024'!D:D,1,0)</f>
        <v>Allarme ante superiori</v>
      </c>
      <c r="G24" s="37" t="s">
        <v>89</v>
      </c>
      <c r="H24" s="38" t="s">
        <v>94</v>
      </c>
      <c r="I24" s="38" t="s">
        <v>95</v>
      </c>
      <c r="J24" s="39" t="s">
        <v>29</v>
      </c>
      <c r="K24" s="39" t="s">
        <v>30</v>
      </c>
      <c r="L24" s="40" t="s">
        <v>21</v>
      </c>
      <c r="M24" s="41" t="s">
        <v>22</v>
      </c>
      <c r="N24" s="42" t="s">
        <v>23</v>
      </c>
      <c r="O24" s="43" t="s">
        <v>24</v>
      </c>
      <c r="P24" s="42" t="s">
        <v>25</v>
      </c>
      <c r="Q24" s="42" t="s">
        <v>21</v>
      </c>
      <c r="R24" s="44"/>
    </row>
    <row r="25" spans="1:18" customFormat="1" ht="15" customHeight="1" x14ac:dyDescent="0.25">
      <c r="A25" t="str">
        <f t="shared" si="0"/>
        <v>Impianto Elettrico_Gruppo elettrogeno_ALR_APERTURA_IMMOTIVATA_GCB-Allarme apertura immotivata contattore generatore</v>
      </c>
      <c r="B25" t="str">
        <f t="shared" si="1"/>
        <v>ALR_APERTURA_IMMOTIVATA_GCB-Allarme apertura immotivata contattore generatore</v>
      </c>
      <c r="C25" t="str">
        <f>VLOOKUP(B25,'[2]Classi allarmi RMT-STIG_rev4'!$C:$C,1,0)</f>
        <v>ALR_APERTURA_IMMOTIVATA_GCB-Allarme apertura immotivata contattore generatore</v>
      </c>
      <c r="D25" t="str">
        <f>VLOOKUP(B25,'EXPORT IRIS PROD 13-11-2024'!A:A,1,0)</f>
        <v>ALR_APERTURA_IMMOTIVATA_GCB-Allarme apertura immotivata contattore generatore</v>
      </c>
      <c r="E25" t="str">
        <f>VLOOKUP(H25,'EXPORT IRIS PROD 13-11-2024'!F:F,1,0)</f>
        <v>ALR_APERTURA_IMMOTIVATA_GCB</v>
      </c>
      <c r="F25" t="str">
        <f>VLOOKUP(I25,'EXPORT IRIS PROD 13-11-2024'!D:D,1,0)</f>
        <v>Allarme apertura immotivata contattore generatore</v>
      </c>
      <c r="G25" s="37" t="s">
        <v>53</v>
      </c>
      <c r="H25" s="38" t="s">
        <v>96</v>
      </c>
      <c r="I25" s="38" t="s">
        <v>97</v>
      </c>
      <c r="J25" s="39" t="s">
        <v>56</v>
      </c>
      <c r="K25" s="39" t="s">
        <v>57</v>
      </c>
      <c r="L25" s="40" t="s">
        <v>21</v>
      </c>
      <c r="M25" s="41" t="s">
        <v>22</v>
      </c>
      <c r="N25" s="42" t="s">
        <v>23</v>
      </c>
      <c r="O25" s="43" t="s">
        <v>24</v>
      </c>
      <c r="P25" s="42" t="s">
        <v>25</v>
      </c>
      <c r="Q25" s="42" t="s">
        <v>21</v>
      </c>
      <c r="R25" s="44"/>
    </row>
    <row r="26" spans="1:18" customFormat="1" ht="15" customHeight="1" x14ac:dyDescent="0.25">
      <c r="A26" t="str">
        <f t="shared" si="0"/>
        <v>Impianto Elettrico_Gruppo elettrogeno_ALR_APERTURA_IMMOTIVATA_MCB-Allarme apertura immotivata contattore di rete</v>
      </c>
      <c r="B26" t="str">
        <f t="shared" si="1"/>
        <v>ALR_APERTURA_IMMOTIVATA_MCB-Allarme apertura immotivata contattore di rete</v>
      </c>
      <c r="C26" t="str">
        <f>VLOOKUP(B26,'[2]Classi allarmi RMT-STIG_rev4'!$C:$C,1,0)</f>
        <v>ALR_APERTURA_IMMOTIVATA_MCB-Allarme apertura immotivata contattore di rete</v>
      </c>
      <c r="D26" t="str">
        <f>VLOOKUP(B26,'EXPORT IRIS PROD 13-11-2024'!A:A,1,0)</f>
        <v>ALR_APERTURA_IMMOTIVATA_MCB-Allarme apertura immotivata contattore di rete</v>
      </c>
      <c r="E26" t="str">
        <f>VLOOKUP(H26,'EXPORT IRIS PROD 13-11-2024'!F:F,1,0)</f>
        <v>ALR_APERTURA_IMMOTIVATA_MCB</v>
      </c>
      <c r="F26" t="str">
        <f>VLOOKUP(I26,'EXPORT IRIS PROD 13-11-2024'!D:D,1,0)</f>
        <v>Allarme apertura immotivata contattore di rete</v>
      </c>
      <c r="G26" s="37" t="s">
        <v>53</v>
      </c>
      <c r="H26" s="38" t="s">
        <v>98</v>
      </c>
      <c r="I26" s="38" t="s">
        <v>99</v>
      </c>
      <c r="J26" s="39" t="s">
        <v>56</v>
      </c>
      <c r="K26" s="39" t="s">
        <v>57</v>
      </c>
      <c r="L26" s="40" t="s">
        <v>21</v>
      </c>
      <c r="M26" s="41" t="s">
        <v>22</v>
      </c>
      <c r="N26" s="42" t="s">
        <v>23</v>
      </c>
      <c r="O26" s="43" t="s">
        <v>24</v>
      </c>
      <c r="P26" s="42" t="s">
        <v>25</v>
      </c>
      <c r="Q26" s="42" t="s">
        <v>21</v>
      </c>
      <c r="R26" s="44"/>
    </row>
    <row r="27" spans="1:18" customFormat="1" ht="15" customHeight="1" x14ac:dyDescent="0.25">
      <c r="A27" t="str">
        <f t="shared" si="0"/>
        <v>Impianto Elettrico_Gruppo elettrogeno_ALR_ARRESTO_EMERGENZA-Allarme arresto Gruppo Elettrogeno</v>
      </c>
      <c r="B27" t="str">
        <f t="shared" si="1"/>
        <v>ALR_ARRESTO_EMERGENZA-Allarme arresto Gruppo Elettrogeno</v>
      </c>
      <c r="C27" t="str">
        <f>VLOOKUP(B27,'[2]Classi allarmi RMT-STIG_rev4'!$C:$C,1,0)</f>
        <v>ALR_ARRESTO_EMERGENZA-Allarme arresto Gruppo Elettrogeno</v>
      </c>
      <c r="D27" t="str">
        <f>VLOOKUP(B27,'EXPORT IRIS PROD 13-11-2024'!A:A,1,0)</f>
        <v>ALR_ARRESTO_EMERGENZA-Allarme arresto Gruppo Elettrogeno</v>
      </c>
      <c r="E27" t="str">
        <f>VLOOKUP(H27,'EXPORT IRIS PROD 13-11-2024'!F:F,1,0)</f>
        <v>ALR_ARRESTO_EMERGENZA</v>
      </c>
      <c r="F27" t="str">
        <f>VLOOKUP(I27,'EXPORT IRIS PROD 13-11-2024'!D:D,1,0)</f>
        <v>Allarme arresto Gruppo Elettrogeno</v>
      </c>
      <c r="G27" s="37" t="s">
        <v>53</v>
      </c>
      <c r="H27" s="38" t="s">
        <v>100</v>
      </c>
      <c r="I27" s="38" t="s">
        <v>101</v>
      </c>
      <c r="J27" s="39" t="s">
        <v>56</v>
      </c>
      <c r="K27" s="39" t="s">
        <v>57</v>
      </c>
      <c r="L27" s="40" t="s">
        <v>21</v>
      </c>
      <c r="M27" s="41" t="s">
        <v>22</v>
      </c>
      <c r="N27" s="42" t="s">
        <v>23</v>
      </c>
      <c r="O27" s="43" t="s">
        <v>24</v>
      </c>
      <c r="P27" s="42" t="s">
        <v>25</v>
      </c>
      <c r="Q27" s="42" t="s">
        <v>21</v>
      </c>
      <c r="R27" s="44"/>
    </row>
    <row r="28" spans="1:18" customFormat="1" ht="15" customHeight="1" x14ac:dyDescent="0.25">
      <c r="A28" t="str">
        <f t="shared" si="0"/>
        <v>Impianto Elettrico_UPS_ALR_ASSENZA_RETE-Allarme assenza rete</v>
      </c>
      <c r="B28" t="str">
        <f t="shared" si="1"/>
        <v>ALR_ASSENZA_RETE-Allarme assenza rete</v>
      </c>
      <c r="C28" t="str">
        <f>VLOOKUP(B28,'[2]Classi allarmi RMT-STIG_rev4'!$C:$C,1,0)</f>
        <v>ALR_ASSENZA_RETE-Allarme assenza rete</v>
      </c>
      <c r="D28" t="str">
        <f>VLOOKUP(B28,'EXPORT IRIS PROD 13-11-2024'!A:A,1,0)</f>
        <v>ALR_ASSENZA_RETE-Allarme assenza rete</v>
      </c>
      <c r="E28" t="str">
        <f>VLOOKUP(H28,'EXPORT IRIS PROD 13-11-2024'!F:F,1,0)</f>
        <v>ALR_ASSENZA_RETE</v>
      </c>
      <c r="F28" t="str">
        <f>VLOOKUP(I28,'EXPORT IRIS PROD 13-11-2024'!D:D,1,0)</f>
        <v>Allarme assenza rete</v>
      </c>
      <c r="G28" s="37" t="s">
        <v>53</v>
      </c>
      <c r="H28" s="38" t="s">
        <v>102</v>
      </c>
      <c r="I28" s="38" t="s">
        <v>103</v>
      </c>
      <c r="J28" s="39" t="s">
        <v>56</v>
      </c>
      <c r="K28" s="39" t="s">
        <v>104</v>
      </c>
      <c r="L28" s="40" t="s">
        <v>21</v>
      </c>
      <c r="M28" s="41" t="s">
        <v>22</v>
      </c>
      <c r="N28" s="42" t="s">
        <v>23</v>
      </c>
      <c r="O28" s="43" t="s">
        <v>24</v>
      </c>
      <c r="P28" s="42" t="s">
        <v>25</v>
      </c>
      <c r="Q28" s="42" t="s">
        <v>21</v>
      </c>
      <c r="R28" s="44"/>
    </row>
    <row r="29" spans="1:18" customFormat="1" ht="15" customHeight="1" x14ac:dyDescent="0.25">
      <c r="A29" t="str">
        <f t="shared" si="0"/>
        <v>Impianto Rilevazione Incendio_Centralina rilevazione incendio_ALR_ASSENZA_TENSIONE-Allarme assenza tensione dispositivo</v>
      </c>
      <c r="B29" t="str">
        <f t="shared" si="1"/>
        <v>ALR_ASSENZA_TENSIONE-Allarme assenza tensione dispositivo</v>
      </c>
      <c r="C29" t="str">
        <f>VLOOKUP(B29,'[2]Classi allarmi RMT-STIG_rev4'!$C:$C,1,0)</f>
        <v>ALR_ASSENZA_TENSIONE-Allarme assenza tensione dispositivo</v>
      </c>
      <c r="D29" t="str">
        <f>VLOOKUP(B29,'EXPORT IRIS PROD 13-11-2024'!A:A,1,0)</f>
        <v>ALR_ASSENZA_TENSIONE-Allarme assenza tensione dispositivo</v>
      </c>
      <c r="E29" t="str">
        <f>VLOOKUP(H29,'EXPORT IRIS PROD 13-11-2024'!F:F,1,0)</f>
        <v>ALR_ASSENZA_TENSIONE</v>
      </c>
      <c r="F29" t="str">
        <f>VLOOKUP(I29,'EXPORT IRIS PROD 13-11-2024'!D:D,1,0)</f>
        <v>Allarme assenza tensione dispositivo</v>
      </c>
      <c r="G29" s="37" t="s">
        <v>105</v>
      </c>
      <c r="H29" s="38" t="s">
        <v>106</v>
      </c>
      <c r="I29" s="38" t="s">
        <v>107</v>
      </c>
      <c r="J29" s="39" t="s">
        <v>43</v>
      </c>
      <c r="K29" s="39" t="s">
        <v>108</v>
      </c>
      <c r="L29" s="40" t="s">
        <v>31</v>
      </c>
      <c r="M29" s="41" t="s">
        <v>32</v>
      </c>
      <c r="N29" s="42">
        <v>3</v>
      </c>
      <c r="O29" s="43" t="s">
        <v>24</v>
      </c>
      <c r="P29" s="42" t="s">
        <v>25</v>
      </c>
      <c r="Q29" s="42" t="s">
        <v>21</v>
      </c>
      <c r="R29" s="44"/>
    </row>
    <row r="30" spans="1:18" customFormat="1" ht="15" customHeight="1" x14ac:dyDescent="0.25">
      <c r="A30" t="str">
        <f t="shared" si="0"/>
        <v>Impianto Canalizzazione_Rotocartello_ALR_ASSENZA_TENSIONE_2_IMP-Allarme assenza tensione dispositivo</v>
      </c>
      <c r="B30" t="str">
        <f t="shared" si="1"/>
        <v>ALR_ASSENZA_TENSIONE_2_IMP-Allarme assenza tensione dispositivo</v>
      </c>
      <c r="C30" t="str">
        <f>VLOOKUP(B30,'[2]Classi allarmi RMT-STIG_rev4'!$C:$C,1,0)</f>
        <v>ALR_ASSENZA_TENSIONE_2_IMP-Allarme assenza tensione dispositivo</v>
      </c>
      <c r="D30" t="str">
        <f>VLOOKUP(B30,'EXPORT IRIS PROD 13-11-2024'!A:A,1,0)</f>
        <v>ALR_ASSENZA_TENSIONE_2_IMP-Allarme assenza tensione dispositivo</v>
      </c>
      <c r="E30" t="str">
        <f>VLOOKUP(H30,'EXPORT IRIS PROD 13-11-2024'!F:F,1,0)</f>
        <v>ALR_ASSENZA_TENSIONE_2_IMP</v>
      </c>
      <c r="F30" t="str">
        <f>VLOOKUP(I30,'EXPORT IRIS PROD 13-11-2024'!D:D,1,0)</f>
        <v>Allarme assenza tensione dispositivo</v>
      </c>
      <c r="G30" s="37" t="s">
        <v>109</v>
      </c>
      <c r="H30" s="38" t="s">
        <v>110</v>
      </c>
      <c r="I30" s="38" t="s">
        <v>107</v>
      </c>
      <c r="J30" s="39" t="s">
        <v>111</v>
      </c>
      <c r="K30" s="39" t="s">
        <v>112</v>
      </c>
      <c r="L30" s="40" t="s">
        <v>21</v>
      </c>
      <c r="M30" s="41" t="s">
        <v>22</v>
      </c>
      <c r="N30" s="42" t="s">
        <v>23</v>
      </c>
      <c r="O30" s="43" t="s">
        <v>24</v>
      </c>
      <c r="P30" s="42" t="s">
        <v>25</v>
      </c>
      <c r="Q30" s="42" t="s">
        <v>21</v>
      </c>
      <c r="R30" s="44"/>
    </row>
    <row r="31" spans="1:18" customFormat="1" x14ac:dyDescent="0.25">
      <c r="A31" t="str">
        <f t="shared" si="0"/>
        <v>Impianto Elettrico_Gruppo elettrogeno_ALR_ASSENZA_TENSIONE_2_IMP-Allarme assenza tensione dispositivo</v>
      </c>
      <c r="B31" t="str">
        <f t="shared" si="1"/>
        <v>ALR_ASSENZA_TENSIONE_2_IMP-Allarme assenza tensione dispositivo</v>
      </c>
      <c r="C31" t="str">
        <f>VLOOKUP(B31,'[2]Classi allarmi RMT-STIG_rev4'!$C:$C,1,0)</f>
        <v>ALR_ASSENZA_TENSIONE_2_IMP-Allarme assenza tensione dispositivo</v>
      </c>
      <c r="D31" t="str">
        <f>VLOOKUP(B31,'EXPORT IRIS PROD 13-11-2024'!A:A,1,0)</f>
        <v>ALR_ASSENZA_TENSIONE_2_IMP-Allarme assenza tensione dispositivo</v>
      </c>
      <c r="E31" t="str">
        <f>VLOOKUP(H31,'EXPORT IRIS PROD 13-11-2024'!F:F,1,0)</f>
        <v>ALR_ASSENZA_TENSIONE_2_IMP</v>
      </c>
      <c r="F31" t="str">
        <f>VLOOKUP(I31,'EXPORT IRIS PROD 13-11-2024'!D:D,1,0)</f>
        <v>Allarme assenza tensione dispositivo</v>
      </c>
      <c r="G31" s="37" t="s">
        <v>53</v>
      </c>
      <c r="H31" s="38" t="s">
        <v>110</v>
      </c>
      <c r="I31" s="38" t="s">
        <v>107</v>
      </c>
      <c r="J31" s="39" t="s">
        <v>56</v>
      </c>
      <c r="K31" s="39" t="s">
        <v>57</v>
      </c>
      <c r="L31" s="40" t="s">
        <v>21</v>
      </c>
      <c r="M31" s="41" t="s">
        <v>22</v>
      </c>
      <c r="N31" s="42" t="s">
        <v>23</v>
      </c>
      <c r="O31" s="43" t="s">
        <v>24</v>
      </c>
      <c r="P31" s="42" t="s">
        <v>25</v>
      </c>
      <c r="Q31" s="42" t="s">
        <v>21</v>
      </c>
      <c r="R31" s="44"/>
    </row>
    <row r="32" spans="1:18" customFormat="1" ht="14.25" customHeight="1" x14ac:dyDescent="0.25">
      <c r="A32" t="str">
        <f t="shared" si="0"/>
        <v>Impianto Elettrico_Interruttore relè_ALR_ASSENZA_TENSIONE_2_IMP-Allarme assenza tensione dispositivo</v>
      </c>
      <c r="B32" t="str">
        <f t="shared" si="1"/>
        <v>ALR_ASSENZA_TENSIONE_2_IMP-Allarme assenza tensione dispositivo</v>
      </c>
      <c r="C32" t="str">
        <f>VLOOKUP(B32,'[2]Classi allarmi RMT-STIG_rev4'!$C:$C,1,0)</f>
        <v>ALR_ASSENZA_TENSIONE_2_IMP-Allarme assenza tensione dispositivo</v>
      </c>
      <c r="D32" t="str">
        <f>VLOOKUP(B32,'EXPORT IRIS PROD 13-11-2024'!A:A,1,0)</f>
        <v>ALR_ASSENZA_TENSIONE_2_IMP-Allarme assenza tensione dispositivo</v>
      </c>
      <c r="E32" t="str">
        <f>VLOOKUP(H32,'EXPORT IRIS PROD 13-11-2024'!F:F,1,0)</f>
        <v>ALR_ASSENZA_TENSIONE_2_IMP</v>
      </c>
      <c r="F32" t="str">
        <f>VLOOKUP(I32,'EXPORT IRIS PROD 13-11-2024'!D:D,1,0)</f>
        <v>Allarme assenza tensione dispositivo</v>
      </c>
      <c r="G32" s="37" t="s">
        <v>53</v>
      </c>
      <c r="H32" s="38" t="s">
        <v>110</v>
      </c>
      <c r="I32" s="38" t="s">
        <v>107</v>
      </c>
      <c r="J32" s="39" t="s">
        <v>56</v>
      </c>
      <c r="K32" s="39" t="s">
        <v>113</v>
      </c>
      <c r="L32" s="40" t="s">
        <v>21</v>
      </c>
      <c r="M32" s="41" t="s">
        <v>22</v>
      </c>
      <c r="N32" s="42" t="s">
        <v>23</v>
      </c>
      <c r="O32" s="43" t="s">
        <v>24</v>
      </c>
      <c r="P32" s="42" t="s">
        <v>25</v>
      </c>
      <c r="Q32" s="42" t="s">
        <v>21</v>
      </c>
      <c r="R32" s="44"/>
    </row>
    <row r="33" spans="1:18" customFormat="1" x14ac:dyDescent="0.25">
      <c r="A33" t="str">
        <f t="shared" si="0"/>
        <v>Impianto Elettrico_Quadro elettrico_ALR_ASSENZA_TENSIONE_2_IMP-Allarme assenza tensione dispositivo</v>
      </c>
      <c r="B33" t="str">
        <f t="shared" si="1"/>
        <v>ALR_ASSENZA_TENSIONE_2_IMP-Allarme assenza tensione dispositivo</v>
      </c>
      <c r="C33" t="str">
        <f>VLOOKUP(B33,'[2]Classi allarmi RMT-STIG_rev4'!$C:$C,1,0)</f>
        <v>ALR_ASSENZA_TENSIONE_2_IMP-Allarme assenza tensione dispositivo</v>
      </c>
      <c r="D33" t="str">
        <f>VLOOKUP(B33,'EXPORT IRIS PROD 13-11-2024'!A:A,1,0)</f>
        <v>ALR_ASSENZA_TENSIONE_2_IMP-Allarme assenza tensione dispositivo</v>
      </c>
      <c r="E33" t="str">
        <f>VLOOKUP(H33,'EXPORT IRIS PROD 13-11-2024'!F:F,1,0)</f>
        <v>ALR_ASSENZA_TENSIONE_2_IMP</v>
      </c>
      <c r="F33" t="str">
        <f>VLOOKUP(I33,'EXPORT IRIS PROD 13-11-2024'!D:D,1,0)</f>
        <v>Allarme assenza tensione dispositivo</v>
      </c>
      <c r="G33" s="37" t="s">
        <v>53</v>
      </c>
      <c r="H33" s="38" t="s">
        <v>110</v>
      </c>
      <c r="I33" s="38" t="s">
        <v>107</v>
      </c>
      <c r="J33" s="39" t="s">
        <v>56</v>
      </c>
      <c r="K33" s="39" t="s">
        <v>114</v>
      </c>
      <c r="L33" s="40" t="s">
        <v>21</v>
      </c>
      <c r="M33" s="41" t="s">
        <v>22</v>
      </c>
      <c r="N33" s="42" t="s">
        <v>23</v>
      </c>
      <c r="O33" s="43" t="s">
        <v>24</v>
      </c>
      <c r="P33" s="42" t="s">
        <v>25</v>
      </c>
      <c r="Q33" s="42" t="s">
        <v>21</v>
      </c>
      <c r="R33" s="44"/>
    </row>
    <row r="34" spans="1:18" customFormat="1" ht="15" customHeight="1" x14ac:dyDescent="0.25">
      <c r="A34" t="str">
        <f t="shared" si="0"/>
        <v>Impianto Illuminazione_Guida led_ALR_ASSENZA_TENSIONE_2_IMP-Allarme assenza tensione dispositivo</v>
      </c>
      <c r="B34" t="str">
        <f t="shared" si="1"/>
        <v>ALR_ASSENZA_TENSIONE_2_IMP-Allarme assenza tensione dispositivo</v>
      </c>
      <c r="C34" t="str">
        <f>VLOOKUP(B34,'[2]Classi allarmi RMT-STIG_rev4'!$C:$C,1,0)</f>
        <v>ALR_ASSENZA_TENSIONE_2_IMP-Allarme assenza tensione dispositivo</v>
      </c>
      <c r="D34" t="str">
        <f>VLOOKUP(B34,'EXPORT IRIS PROD 13-11-2024'!A:A,1,0)</f>
        <v>ALR_ASSENZA_TENSIONE_2_IMP-Allarme assenza tensione dispositivo</v>
      </c>
      <c r="E34" t="str">
        <f>VLOOKUP(H34,'EXPORT IRIS PROD 13-11-2024'!F:F,1,0)</f>
        <v>ALR_ASSENZA_TENSIONE_2_IMP</v>
      </c>
      <c r="F34" t="str">
        <f>VLOOKUP(I34,'EXPORT IRIS PROD 13-11-2024'!D:D,1,0)</f>
        <v>Allarme assenza tensione dispositivo</v>
      </c>
      <c r="G34" s="37" t="s">
        <v>115</v>
      </c>
      <c r="H34" s="38" t="s">
        <v>110</v>
      </c>
      <c r="I34" s="38" t="s">
        <v>107</v>
      </c>
      <c r="J34" s="39" t="s">
        <v>116</v>
      </c>
      <c r="K34" s="39" t="s">
        <v>117</v>
      </c>
      <c r="L34" s="40" t="s">
        <v>21</v>
      </c>
      <c r="M34" s="41" t="s">
        <v>22</v>
      </c>
      <c r="N34" s="42" t="s">
        <v>23</v>
      </c>
      <c r="O34" s="43" t="s">
        <v>24</v>
      </c>
      <c r="P34" s="42" t="s">
        <v>25</v>
      </c>
      <c r="Q34" s="42" t="s">
        <v>21</v>
      </c>
      <c r="R34" s="44"/>
    </row>
    <row r="35" spans="1:18" customFormat="1" ht="15" customHeight="1" x14ac:dyDescent="0.25">
      <c r="A35" t="str">
        <f t="shared" si="0"/>
        <v>Impianto SOS_Colonnina Sos_ALR_ASSENZA_TENSIONE_2_IMP-Allarme assenza tensione dispositivo</v>
      </c>
      <c r="B35" t="str">
        <f t="shared" si="1"/>
        <v>ALR_ASSENZA_TENSIONE_2_IMP-Allarme assenza tensione dispositivo</v>
      </c>
      <c r="C35" t="str">
        <f>VLOOKUP(B35,'[2]Classi allarmi RMT-STIG_rev4'!$C:$C,1,0)</f>
        <v>ALR_ASSENZA_TENSIONE_2_IMP-Allarme assenza tensione dispositivo</v>
      </c>
      <c r="D35" t="str">
        <f>VLOOKUP(B35,'EXPORT IRIS PROD 13-11-2024'!A:A,1,0)</f>
        <v>ALR_ASSENZA_TENSIONE_2_IMP-Allarme assenza tensione dispositivo</v>
      </c>
      <c r="E35" t="str">
        <f>VLOOKUP(H35,'EXPORT IRIS PROD 13-11-2024'!F:F,1,0)</f>
        <v>ALR_ASSENZA_TENSIONE_2_IMP</v>
      </c>
      <c r="F35" t="str">
        <f>VLOOKUP(I35,'EXPORT IRIS PROD 13-11-2024'!D:D,1,0)</f>
        <v>Allarme assenza tensione dispositivo</v>
      </c>
      <c r="G35" s="37" t="s">
        <v>89</v>
      </c>
      <c r="H35" s="38" t="s">
        <v>110</v>
      </c>
      <c r="I35" s="38" t="s">
        <v>107</v>
      </c>
      <c r="J35" s="39" t="s">
        <v>29</v>
      </c>
      <c r="K35" s="39" t="s">
        <v>30</v>
      </c>
      <c r="L35" s="40" t="s">
        <v>21</v>
      </c>
      <c r="M35" s="41" t="s">
        <v>22</v>
      </c>
      <c r="N35" s="42" t="s">
        <v>23</v>
      </c>
      <c r="O35" s="43" t="s">
        <v>24</v>
      </c>
      <c r="P35" s="42" t="s">
        <v>25</v>
      </c>
      <c r="Q35" s="42" t="s">
        <v>21</v>
      </c>
      <c r="R35" s="44"/>
    </row>
    <row r="36" spans="1:18" customFormat="1" ht="15" customHeight="1" x14ac:dyDescent="0.25">
      <c r="A36" t="str">
        <f t="shared" si="0"/>
        <v>Impianto Elettrico_Gruppo elettrogeno_ALR_ASSIMETRIA_ALTERNATORE-Allarme assimetria alternatore</v>
      </c>
      <c r="B36" t="str">
        <f t="shared" si="1"/>
        <v>ALR_ASSIMETRIA_ALTERNATORE-Allarme assimetria alternatore</v>
      </c>
      <c r="C36" t="str">
        <f>VLOOKUP(B36,'[2]Classi allarmi RMT-STIG_rev4'!$C:$C,1,0)</f>
        <v>ALR_ASSIMETRIA_ALTERNATORE-Allarme assimetria alternatore</v>
      </c>
      <c r="D36" t="str">
        <f>VLOOKUP(B36,'EXPORT IRIS PROD 13-11-2024'!A:A,1,0)</f>
        <v>ALR_ASSIMETRIA_ALTERNATORE-Allarme assimetria alternatore</v>
      </c>
      <c r="E36" t="str">
        <f>VLOOKUP(H36,'EXPORT IRIS PROD 13-11-2024'!F:F,1,0)</f>
        <v>ALR_ASSIMETRIA_ALTERNATORE</v>
      </c>
      <c r="F36" t="str">
        <f>VLOOKUP(I36,'EXPORT IRIS PROD 13-11-2024'!D:D,1,0)</f>
        <v>Allarme assimetria alternatore</v>
      </c>
      <c r="G36" s="37" t="s">
        <v>53</v>
      </c>
      <c r="H36" s="38" t="s">
        <v>118</v>
      </c>
      <c r="I36" s="38" t="s">
        <v>119</v>
      </c>
      <c r="J36" s="39" t="s">
        <v>56</v>
      </c>
      <c r="K36" s="39" t="s">
        <v>57</v>
      </c>
      <c r="L36" s="40" t="s">
        <v>21</v>
      </c>
      <c r="M36" s="41" t="s">
        <v>22</v>
      </c>
      <c r="N36" s="42" t="s">
        <v>23</v>
      </c>
      <c r="O36" s="43" t="s">
        <v>24</v>
      </c>
      <c r="P36" s="42" t="s">
        <v>25</v>
      </c>
      <c r="Q36" s="42" t="s">
        <v>21</v>
      </c>
      <c r="R36" s="44"/>
    </row>
    <row r="37" spans="1:18" customFormat="1" ht="15" customHeight="1" x14ac:dyDescent="0.25">
      <c r="A37" t="str">
        <f t="shared" si="0"/>
        <v>Impianto Elettrico_Gruppo elettrogeno_ALR_ASSIMETRIA_RETE-Allarme assimetria rete</v>
      </c>
      <c r="B37" t="str">
        <f t="shared" si="1"/>
        <v>ALR_ASSIMETRIA_RETE-Allarme assimetria rete</v>
      </c>
      <c r="C37" t="str">
        <f>VLOOKUP(B37,'[2]Classi allarmi RMT-STIG_rev4'!$C:$C,1,0)</f>
        <v>ALR_ASSIMETRIA_RETE-Allarme assimetria rete</v>
      </c>
      <c r="D37" t="str">
        <f>VLOOKUP(B37,'EXPORT IRIS PROD 13-11-2024'!A:A,1,0)</f>
        <v>ALR_ASSIMETRIA_RETE-Allarme assimetria rete</v>
      </c>
      <c r="E37" t="str">
        <f>VLOOKUP(H37,'EXPORT IRIS PROD 13-11-2024'!F:F,1,0)</f>
        <v>ALR_ASSIMETRIA_RETE</v>
      </c>
      <c r="F37" t="str">
        <f>VLOOKUP(I37,'EXPORT IRIS PROD 13-11-2024'!D:D,1,0)</f>
        <v>Allarme assimetria rete</v>
      </c>
      <c r="G37" s="37" t="s">
        <v>53</v>
      </c>
      <c r="H37" s="38" t="s">
        <v>120</v>
      </c>
      <c r="I37" s="38" t="s">
        <v>121</v>
      </c>
      <c r="J37" s="39" t="s">
        <v>56</v>
      </c>
      <c r="K37" s="39" t="s">
        <v>57</v>
      </c>
      <c r="L37" s="40" t="s">
        <v>21</v>
      </c>
      <c r="M37" s="41" t="s">
        <v>22</v>
      </c>
      <c r="N37" s="42" t="s">
        <v>23</v>
      </c>
      <c r="O37" s="43" t="s">
        <v>24</v>
      </c>
      <c r="P37" s="42" t="s">
        <v>25</v>
      </c>
      <c r="Q37" s="42" t="s">
        <v>21</v>
      </c>
      <c r="R37" s="44"/>
    </row>
    <row r="38" spans="1:18" customFormat="1" ht="15" customHeight="1" x14ac:dyDescent="0.25">
      <c r="A38" t="str">
        <f t="shared" si="0"/>
        <v>Impianto Elettrico_UPS_ALR_ASSIMETRIA_RETE-Allarme assimetria rete</v>
      </c>
      <c r="B38" t="str">
        <f t="shared" si="1"/>
        <v>ALR_ASSIMETRIA_RETE-Allarme assimetria rete</v>
      </c>
      <c r="C38" t="str">
        <f>VLOOKUP(B38,'[2]Classi allarmi RMT-STIG_rev4'!$C:$C,1,0)</f>
        <v>ALR_ASSIMETRIA_RETE-Allarme assimetria rete</v>
      </c>
      <c r="D38" t="str">
        <f>VLOOKUP(B38,'EXPORT IRIS PROD 13-11-2024'!A:A,1,0)</f>
        <v>ALR_ASSIMETRIA_RETE-Allarme assimetria rete</v>
      </c>
      <c r="E38" t="str">
        <f>VLOOKUP(H38,'EXPORT IRIS PROD 13-11-2024'!F:F,1,0)</f>
        <v>ALR_ASSIMETRIA_RETE</v>
      </c>
      <c r="F38" t="str">
        <f>VLOOKUP(I38,'EXPORT IRIS PROD 13-11-2024'!D:D,1,0)</f>
        <v>Allarme assimetria rete</v>
      </c>
      <c r="G38" s="37" t="s">
        <v>53</v>
      </c>
      <c r="H38" s="38" t="s">
        <v>120</v>
      </c>
      <c r="I38" s="38" t="s">
        <v>121</v>
      </c>
      <c r="J38" s="39" t="s">
        <v>56</v>
      </c>
      <c r="K38" s="39" t="s">
        <v>104</v>
      </c>
      <c r="L38" s="40" t="s">
        <v>21</v>
      </c>
      <c r="M38" s="41" t="s">
        <v>22</v>
      </c>
      <c r="N38" s="42" t="s">
        <v>23</v>
      </c>
      <c r="O38" s="43" t="s">
        <v>24</v>
      </c>
      <c r="P38" s="42" t="s">
        <v>25</v>
      </c>
      <c r="Q38" s="42" t="s">
        <v>21</v>
      </c>
      <c r="R38" s="44"/>
    </row>
    <row r="39" spans="1:18" customFormat="1" ht="15" customHeight="1" x14ac:dyDescent="0.25">
      <c r="A39" t="str">
        <f t="shared" si="0"/>
        <v>Impianto Ventilazione_Ventilatore_ALR_ASSORBIMENTO-Allarme assorbimento  ventilatore</v>
      </c>
      <c r="B39" t="str">
        <f t="shared" si="1"/>
        <v>ALR_ASSORBIMENTO-Allarme assorbimento  ventilatore</v>
      </c>
      <c r="C39" t="str">
        <f>VLOOKUP(B39,'[2]Classi allarmi RMT-STIG_rev4'!$C:$C,1,0)</f>
        <v>ALR_ASSORBIMENTO-Allarme assorbimento  ventilatore</v>
      </c>
      <c r="D39" t="str">
        <f>VLOOKUP(B39,'EXPORT IRIS PROD 13-11-2024'!A:A,1,0)</f>
        <v>ALR_ASSORBIMENTO-Allarme assorbimento  ventilatore</v>
      </c>
      <c r="E39" t="str">
        <f>VLOOKUP(H39,'EXPORT IRIS PROD 13-11-2024'!F:F,1,0)</f>
        <v>ALR_ASSORBIMENTO</v>
      </c>
      <c r="F39" t="str">
        <f>VLOOKUP(I39,'EXPORT IRIS PROD 13-11-2024'!D:D,1,0)</f>
        <v>Allarme assorbimento  ventilatore</v>
      </c>
      <c r="G39" s="37" t="s">
        <v>85</v>
      </c>
      <c r="H39" s="38" t="s">
        <v>122</v>
      </c>
      <c r="I39" s="38" t="s">
        <v>123</v>
      </c>
      <c r="J39" s="39" t="s">
        <v>50</v>
      </c>
      <c r="K39" s="39" t="s">
        <v>124</v>
      </c>
      <c r="L39" s="40" t="s">
        <v>21</v>
      </c>
      <c r="M39" s="41" t="s">
        <v>22</v>
      </c>
      <c r="N39" s="42" t="s">
        <v>23</v>
      </c>
      <c r="O39" s="43" t="s">
        <v>24</v>
      </c>
      <c r="P39" s="42" t="s">
        <v>25</v>
      </c>
      <c r="Q39" s="42" t="s">
        <v>21</v>
      </c>
      <c r="R39" s="44"/>
    </row>
    <row r="40" spans="1:18" customFormat="1" ht="15" customHeight="1" x14ac:dyDescent="0.25">
      <c r="A40" t="str">
        <f t="shared" si="0"/>
        <v>Impianto Canalizzazione_PMV/Frecciacroce_ALR_AVARIA_ALIMENTATORI-Allarme avaria alimentatori</v>
      </c>
      <c r="B40" t="str">
        <f t="shared" si="1"/>
        <v>ALR_AVARIA_ALIMENTATORI-Allarme avaria alimentatori</v>
      </c>
      <c r="C40" t="str">
        <f>VLOOKUP(B40,'[2]Classi allarmi RMT-STIG_rev4'!$C:$C,1,0)</f>
        <v>ALR_AVARIA_ALIMENTATORI-Allarme avaria alimentatori</v>
      </c>
      <c r="D40" t="str">
        <f>VLOOKUP(B40,'EXPORT IRIS PROD 13-11-2024'!A:A,1,0)</f>
        <v>ALR_AVARIA_ALIMENTATORI-Allarme avaria alimentatori</v>
      </c>
      <c r="E40" t="str">
        <f>VLOOKUP(H40,'EXPORT IRIS PROD 13-11-2024'!F:F,1,0)</f>
        <v>ALR_AVARIA_ALIMENTATORI</v>
      </c>
      <c r="F40" t="str">
        <f>VLOOKUP(I40,'EXPORT IRIS PROD 13-11-2024'!D:D,1,0)</f>
        <v>Allarme avaria alimentatori</v>
      </c>
      <c r="G40" s="37" t="s">
        <v>109</v>
      </c>
      <c r="H40" s="38" t="s">
        <v>125</v>
      </c>
      <c r="I40" s="38" t="s">
        <v>126</v>
      </c>
      <c r="J40" s="39" t="s">
        <v>111</v>
      </c>
      <c r="K40" s="39" t="s">
        <v>127</v>
      </c>
      <c r="L40" s="40" t="s">
        <v>21</v>
      </c>
      <c r="M40" s="41" t="s">
        <v>22</v>
      </c>
      <c r="N40" s="42" t="s">
        <v>23</v>
      </c>
      <c r="O40" s="43" t="s">
        <v>24</v>
      </c>
      <c r="P40" s="42" t="s">
        <v>25</v>
      </c>
      <c r="Q40" s="42" t="s">
        <v>21</v>
      </c>
      <c r="R40" s="44"/>
    </row>
    <row r="41" spans="1:18" customFormat="1" ht="14.85" customHeight="1" x14ac:dyDescent="0.25">
      <c r="A41" t="str">
        <f t="shared" si="0"/>
        <v>Impianto Rilevazione Incendio_Centralina antincendio_ALR_AVARIA_CENTRALINA_ANTINCENDIO-Allarme avaria centralina incendio</v>
      </c>
      <c r="B41" t="str">
        <f t="shared" si="1"/>
        <v>ALR_AVARIA_CENTRALINA_ANTINCENDIO-Allarme avaria centralina incendio</v>
      </c>
      <c r="C41" t="str">
        <f>VLOOKUP(B41,'[2]Classi allarmi RMT-STIG_rev4'!$C:$C,1,0)</f>
        <v>ALR_AVARIA_CENTRALINA_ANTINCENDIO-Allarme avaria centralina incendio</v>
      </c>
      <c r="D41" t="str">
        <f>VLOOKUP(B41,'EXPORT IRIS PROD 13-11-2024'!A:A,1,0)</f>
        <v>ALR_AVARIA_CENTRALINA_ANTINCENDIO-Allarme avaria centralina incendio</v>
      </c>
      <c r="E41" t="str">
        <f>VLOOKUP(H41,'EXPORT IRIS PROD 13-11-2024'!F:F,1,0)</f>
        <v>ALR_AVARIA_CENTRALINA_ANTINCENDIO</v>
      </c>
      <c r="F41" t="str">
        <f>VLOOKUP(I41,'EXPORT IRIS PROD 13-11-2024'!D:D,1,0)</f>
        <v>Allarme avaria centralina incendio</v>
      </c>
      <c r="G41" s="37" t="s">
        <v>105</v>
      </c>
      <c r="H41" s="38" t="s">
        <v>128</v>
      </c>
      <c r="I41" s="38" t="s">
        <v>129</v>
      </c>
      <c r="J41" s="39" t="s">
        <v>43</v>
      </c>
      <c r="K41" s="39" t="s">
        <v>130</v>
      </c>
      <c r="L41" s="40" t="s">
        <v>31</v>
      </c>
      <c r="M41" s="41" t="s">
        <v>32</v>
      </c>
      <c r="N41" s="42">
        <v>3</v>
      </c>
      <c r="O41" s="43" t="s">
        <v>33</v>
      </c>
      <c r="P41" s="42" t="s">
        <v>34</v>
      </c>
      <c r="Q41" s="42" t="s">
        <v>31</v>
      </c>
      <c r="R41" s="44"/>
    </row>
    <row r="42" spans="1:18" customFormat="1" ht="15" customHeight="1" x14ac:dyDescent="0.25">
      <c r="A42" t="str">
        <f t="shared" si="0"/>
        <v>Impianto Canalizzazione_PMV/Frecciacroce_ALR_AVARIA_LED-Allarme avaria LED</v>
      </c>
      <c r="B42" t="str">
        <f t="shared" si="1"/>
        <v>ALR_AVARIA_LED-Allarme avaria LED</v>
      </c>
      <c r="C42" t="str">
        <f>VLOOKUP(B42,'[2]Classi allarmi RMT-STIG_rev4'!$C:$C,1,0)</f>
        <v>ALR_AVARIA_LED-Allarme avaria LED</v>
      </c>
      <c r="D42" t="str">
        <f>VLOOKUP(B42,'EXPORT IRIS PROD 13-11-2024'!A:A,1,0)</f>
        <v>ALR_AVARIA_LED-Allarme avaria LED</v>
      </c>
      <c r="E42" t="str">
        <f>VLOOKUP(H42,'EXPORT IRIS PROD 13-11-2024'!F:F,1,0)</f>
        <v>ALR_AVARIA_LED</v>
      </c>
      <c r="F42" t="str">
        <f>VLOOKUP(I42,'EXPORT IRIS PROD 13-11-2024'!D:D,1,0)</f>
        <v>Allarme avaria LED</v>
      </c>
      <c r="G42" s="37" t="s">
        <v>109</v>
      </c>
      <c r="H42" s="38" t="s">
        <v>131</v>
      </c>
      <c r="I42" s="38" t="s">
        <v>132</v>
      </c>
      <c r="J42" s="39" t="s">
        <v>111</v>
      </c>
      <c r="K42" s="39" t="s">
        <v>127</v>
      </c>
      <c r="L42" s="40" t="s">
        <v>21</v>
      </c>
      <c r="M42" s="41" t="s">
        <v>22</v>
      </c>
      <c r="N42" s="42" t="s">
        <v>23</v>
      </c>
      <c r="O42" s="43" t="s">
        <v>24</v>
      </c>
      <c r="P42" s="42" t="s">
        <v>25</v>
      </c>
      <c r="Q42" s="42" t="s">
        <v>21</v>
      </c>
      <c r="R42" s="44"/>
    </row>
    <row r="43" spans="1:18" customFormat="1" ht="15" customHeight="1" x14ac:dyDescent="0.25">
      <c r="A43" t="str">
        <f t="shared" si="0"/>
        <v>Impianto Canalizzazione_PMV/Frecciacroce_ALR_AVARIA_LINEA_INTERNA-Allarme avaria linea interna</v>
      </c>
      <c r="B43" t="str">
        <f t="shared" si="1"/>
        <v>ALR_AVARIA_LINEA_INTERNA-Allarme avaria linea interna</v>
      </c>
      <c r="C43" t="str">
        <f>VLOOKUP(B43,'[2]Classi allarmi RMT-STIG_rev4'!$C:$C,1,0)</f>
        <v>ALR_AVARIA_LINEA_INTERNA-Allarme avaria linea interna</v>
      </c>
      <c r="D43" t="str">
        <f>VLOOKUP(B43,'EXPORT IRIS PROD 13-11-2024'!A:A,1,0)</f>
        <v>ALR_AVARIA_LINEA_INTERNA-Allarme avaria linea interna</v>
      </c>
      <c r="E43" t="str">
        <f>VLOOKUP(H43,'EXPORT IRIS PROD 13-11-2024'!F:F,1,0)</f>
        <v>ALR_AVARIA_LINEA_INTERNA</v>
      </c>
      <c r="F43" t="str">
        <f>VLOOKUP(I43,'EXPORT IRIS PROD 13-11-2024'!D:D,1,0)</f>
        <v>Allarme avaria linea interna</v>
      </c>
      <c r="G43" s="37" t="s">
        <v>109</v>
      </c>
      <c r="H43" s="38" t="s">
        <v>133</v>
      </c>
      <c r="I43" s="38" t="s">
        <v>134</v>
      </c>
      <c r="J43" s="39" t="s">
        <v>111</v>
      </c>
      <c r="K43" s="39" t="s">
        <v>127</v>
      </c>
      <c r="L43" s="40" t="s">
        <v>21</v>
      </c>
      <c r="M43" s="41" t="s">
        <v>22</v>
      </c>
      <c r="N43" s="42" t="s">
        <v>23</v>
      </c>
      <c r="O43" s="43" t="s">
        <v>24</v>
      </c>
      <c r="P43" s="42" t="s">
        <v>25</v>
      </c>
      <c r="Q43" s="42" t="s">
        <v>21</v>
      </c>
      <c r="R43" s="44"/>
    </row>
    <row r="44" spans="1:18" customFormat="1" ht="15" customHeight="1" x14ac:dyDescent="0.25">
      <c r="A44" t="str">
        <f t="shared" si="0"/>
        <v>Impianto Elettrico_Gruppo elettrogeno (serbatoio)_ALR_AVARIA_SERBATOIO-Allarme serbatoio GE in avaria</v>
      </c>
      <c r="B44" t="str">
        <f t="shared" si="1"/>
        <v>ALR_AVARIA_SERBATOIO-Allarme serbatoio GE in avaria</v>
      </c>
      <c r="C44" t="str">
        <f>VLOOKUP(B44,'[2]Classi allarmi RMT-STIG_rev4'!$C:$C,1,0)</f>
        <v>ALR_AVARIA_SERBATOIO-Allarme serbatoio GE in avaria</v>
      </c>
      <c r="D44" t="str">
        <f>VLOOKUP(B44,'EXPORT IRIS PROD 13-11-2024'!A:A,1,0)</f>
        <v>ALR_AVARIA_SERBATOIO-Allarme serbatoio GE in avaria</v>
      </c>
      <c r="E44" t="str">
        <f>VLOOKUP(H44,'EXPORT IRIS PROD 13-11-2024'!F:F,1,0)</f>
        <v>ALR_AVARIA_SERBATOIO</v>
      </c>
      <c r="F44" t="str">
        <f>VLOOKUP(I44,'EXPORT IRIS PROD 13-11-2024'!D:D,1,0)</f>
        <v>Allarme serbatoio GE in avaria</v>
      </c>
      <c r="G44" s="37" t="s">
        <v>53</v>
      </c>
      <c r="H44" s="38" t="s">
        <v>135</v>
      </c>
      <c r="I44" s="38" t="s">
        <v>136</v>
      </c>
      <c r="J44" s="39" t="s">
        <v>56</v>
      </c>
      <c r="K44" s="39" t="s">
        <v>137</v>
      </c>
      <c r="L44" s="40" t="s">
        <v>21</v>
      </c>
      <c r="M44" s="41" t="s">
        <v>22</v>
      </c>
      <c r="N44" s="42" t="s">
        <v>23</v>
      </c>
      <c r="O44" s="43" t="s">
        <v>24</v>
      </c>
      <c r="P44" s="42" t="s">
        <v>25</v>
      </c>
      <c r="Q44" s="42" t="s">
        <v>21</v>
      </c>
      <c r="R44" s="44"/>
    </row>
    <row r="45" spans="1:18" customFormat="1" ht="15" customHeight="1" x14ac:dyDescent="0.25">
      <c r="A45" t="str">
        <f t="shared" si="0"/>
        <v>Impianto Canalizzazione_PMV/Frecciacroce_ALR_AVARIA_SERIALE_NE-Allarme avaria seriale NE</v>
      </c>
      <c r="B45" t="str">
        <f t="shared" si="1"/>
        <v>ALR_AVARIA_SERIALE_NE-Allarme avaria seriale NE</v>
      </c>
      <c r="C45" t="str">
        <f>VLOOKUP(B45,'[2]Classi allarmi RMT-STIG_rev4'!$C:$C,1,0)</f>
        <v>ALR_AVARIA_SERIALE_NE-Allarme avaria seriale NE</v>
      </c>
      <c r="D45" t="str">
        <f>VLOOKUP(B45,'EXPORT IRIS PROD 13-11-2024'!A:A,1,0)</f>
        <v>ALR_AVARIA_SERIALE_NE-Allarme avaria seriale NE</v>
      </c>
      <c r="E45" t="str">
        <f>VLOOKUP(H45,'EXPORT IRIS PROD 13-11-2024'!F:F,1,0)</f>
        <v>ALR_AVARIA_SERIALE_NE</v>
      </c>
      <c r="F45" t="str">
        <f>VLOOKUP(I45,'EXPORT IRIS PROD 13-11-2024'!D:D,1,0)</f>
        <v>Allarme avaria seriale NE</v>
      </c>
      <c r="G45" s="37" t="s">
        <v>109</v>
      </c>
      <c r="H45" s="38" t="s">
        <v>138</v>
      </c>
      <c r="I45" s="38" t="s">
        <v>139</v>
      </c>
      <c r="J45" s="39" t="s">
        <v>111</v>
      </c>
      <c r="K45" s="39" t="s">
        <v>127</v>
      </c>
      <c r="L45" s="40" t="s">
        <v>21</v>
      </c>
      <c r="M45" s="41" t="s">
        <v>22</v>
      </c>
      <c r="N45" s="42" t="s">
        <v>23</v>
      </c>
      <c r="O45" s="43" t="s">
        <v>24</v>
      </c>
      <c r="P45" s="42" t="s">
        <v>25</v>
      </c>
      <c r="Q45" s="42" t="s">
        <v>21</v>
      </c>
      <c r="R45" s="44"/>
    </row>
    <row r="46" spans="1:18" customFormat="1" ht="15" customHeight="1" x14ac:dyDescent="0.25">
      <c r="A46" t="str">
        <f t="shared" si="0"/>
        <v>Impianto Canalizzazione_PMV/Frecciacroce_ALR_AVARIA_SERIALE_NW-Allarme avaria seriale NW</v>
      </c>
      <c r="B46" t="str">
        <f t="shared" si="1"/>
        <v>ALR_AVARIA_SERIALE_NW-Allarme avaria seriale NW</v>
      </c>
      <c r="C46" t="str">
        <f>VLOOKUP(B46,'[2]Classi allarmi RMT-STIG_rev4'!$C:$C,1,0)</f>
        <v>ALR_AVARIA_SERIALE_NW-Allarme avaria seriale NW</v>
      </c>
      <c r="D46" t="str">
        <f>VLOOKUP(B46,'EXPORT IRIS PROD 13-11-2024'!A:A,1,0)</f>
        <v>ALR_AVARIA_SERIALE_NW-Allarme avaria seriale NW</v>
      </c>
      <c r="E46" t="str">
        <f>VLOOKUP(H46,'EXPORT IRIS PROD 13-11-2024'!F:F,1,0)</f>
        <v>ALR_AVARIA_SERIALE_NW</v>
      </c>
      <c r="F46" t="str">
        <f>VLOOKUP(I46,'EXPORT IRIS PROD 13-11-2024'!D:D,1,0)</f>
        <v>Allarme avaria seriale NW</v>
      </c>
      <c r="G46" s="37" t="s">
        <v>109</v>
      </c>
      <c r="H46" s="38" t="s">
        <v>140</v>
      </c>
      <c r="I46" s="38" t="s">
        <v>141</v>
      </c>
      <c r="J46" s="39" t="s">
        <v>111</v>
      </c>
      <c r="K46" s="39" t="s">
        <v>127</v>
      </c>
      <c r="L46" s="40" t="s">
        <v>21</v>
      </c>
      <c r="M46" s="41" t="s">
        <v>22</v>
      </c>
      <c r="N46" s="42" t="s">
        <v>23</v>
      </c>
      <c r="O46" s="43" t="s">
        <v>24</v>
      </c>
      <c r="P46" s="42" t="s">
        <v>25</v>
      </c>
      <c r="Q46" s="42" t="s">
        <v>21</v>
      </c>
      <c r="R46" s="44"/>
    </row>
    <row r="47" spans="1:18" customFormat="1" ht="15" customHeight="1" x14ac:dyDescent="0.25">
      <c r="A47" t="str">
        <f t="shared" si="0"/>
        <v>Impianto Canalizzazione_PMV/Frecciacroce_ALR_AVARIA_SERIALE_SE-Allarme avaria seriale SE</v>
      </c>
      <c r="B47" t="str">
        <f t="shared" si="1"/>
        <v>ALR_AVARIA_SERIALE_SE-Allarme avaria seriale SE</v>
      </c>
      <c r="C47" t="str">
        <f>VLOOKUP(B47,'[2]Classi allarmi RMT-STIG_rev4'!$C:$C,1,0)</f>
        <v>ALR_AVARIA_SERIALE_SE-Allarme avaria seriale SE</v>
      </c>
      <c r="D47" t="str">
        <f>VLOOKUP(B47,'EXPORT IRIS PROD 13-11-2024'!A:A,1,0)</f>
        <v>ALR_AVARIA_SERIALE_SE-Allarme avaria seriale SE</v>
      </c>
      <c r="E47" t="str">
        <f>VLOOKUP(H47,'EXPORT IRIS PROD 13-11-2024'!F:F,1,0)</f>
        <v>ALR_AVARIA_SERIALE_SE</v>
      </c>
      <c r="F47" t="str">
        <f>VLOOKUP(I47,'EXPORT IRIS PROD 13-11-2024'!D:D,1,0)</f>
        <v>Allarme avaria seriale SE</v>
      </c>
      <c r="G47" s="37" t="s">
        <v>109</v>
      </c>
      <c r="H47" s="38" t="s">
        <v>142</v>
      </c>
      <c r="I47" s="38" t="s">
        <v>143</v>
      </c>
      <c r="J47" s="39" t="s">
        <v>111</v>
      </c>
      <c r="K47" s="39" t="s">
        <v>127</v>
      </c>
      <c r="L47" s="40" t="s">
        <v>21</v>
      </c>
      <c r="M47" s="41" t="s">
        <v>22</v>
      </c>
      <c r="N47" s="42" t="s">
        <v>23</v>
      </c>
      <c r="O47" s="43" t="s">
        <v>24</v>
      </c>
      <c r="P47" s="42" t="s">
        <v>25</v>
      </c>
      <c r="Q47" s="42" t="s">
        <v>21</v>
      </c>
      <c r="R47" s="44"/>
    </row>
    <row r="48" spans="1:18" customFormat="1" ht="15" customHeight="1" x14ac:dyDescent="0.25">
      <c r="A48" t="str">
        <f t="shared" si="0"/>
        <v>Impianto Canalizzazione_PMV/Frecciacroce_ALR_AVARIA_SERIALE_SW-Allarme avaria seriale SW</v>
      </c>
      <c r="B48" t="str">
        <f t="shared" si="1"/>
        <v>ALR_AVARIA_SERIALE_SW-Allarme avaria seriale SW</v>
      </c>
      <c r="C48" t="str">
        <f>VLOOKUP(B48,'[2]Classi allarmi RMT-STIG_rev4'!$C:$C,1,0)</f>
        <v>ALR_AVARIA_SERIALE_SW-Allarme avaria seriale SW</v>
      </c>
      <c r="D48" t="str">
        <f>VLOOKUP(B48,'EXPORT IRIS PROD 13-11-2024'!A:A,1,0)</f>
        <v>ALR_AVARIA_SERIALE_SW-Allarme avaria seriale SW</v>
      </c>
      <c r="E48" t="str">
        <f>VLOOKUP(H48,'EXPORT IRIS PROD 13-11-2024'!F:F,1,0)</f>
        <v>ALR_AVARIA_SERIALE_SW</v>
      </c>
      <c r="F48" t="str">
        <f>VLOOKUP(I48,'EXPORT IRIS PROD 13-11-2024'!D:D,1,0)</f>
        <v>Allarme avaria seriale SW</v>
      </c>
      <c r="G48" s="37" t="s">
        <v>109</v>
      </c>
      <c r="H48" s="38" t="s">
        <v>144</v>
      </c>
      <c r="I48" s="38" t="s">
        <v>145</v>
      </c>
      <c r="J48" s="39" t="s">
        <v>111</v>
      </c>
      <c r="K48" s="39" t="s">
        <v>127</v>
      </c>
      <c r="L48" s="40" t="s">
        <v>21</v>
      </c>
      <c r="M48" s="41" t="s">
        <v>22</v>
      </c>
      <c r="N48" s="42" t="s">
        <v>23</v>
      </c>
      <c r="O48" s="43" t="s">
        <v>24</v>
      </c>
      <c r="P48" s="42" t="s">
        <v>25</v>
      </c>
      <c r="Q48" s="42" t="s">
        <v>21</v>
      </c>
      <c r="R48" s="44"/>
    </row>
    <row r="49" spans="1:18" customFormat="1" ht="15" customHeight="1" x14ac:dyDescent="0.25">
      <c r="A49" t="str">
        <f t="shared" si="0"/>
        <v>Impianto Canalizzazione_PMV/Frecciacroce_ALR_AVARIA_TEMPERATURE-Allarme avaria temperatura</v>
      </c>
      <c r="B49" t="str">
        <f t="shared" si="1"/>
        <v>ALR_AVARIA_TEMPERATURE-Allarme avaria temperatura</v>
      </c>
      <c r="C49" t="str">
        <f>VLOOKUP(B49,'[2]Classi allarmi RMT-STIG_rev4'!$C:$C,1,0)</f>
        <v>ALR_AVARIA_TEMPERATURE-Allarme avaria temperatura</v>
      </c>
      <c r="D49" t="str">
        <f>VLOOKUP(B49,'EXPORT IRIS PROD 13-11-2024'!A:A,1,0)</f>
        <v>ALR_AVARIA_TEMPERATURE-Allarme avaria temperatura</v>
      </c>
      <c r="E49" t="str">
        <f>VLOOKUP(H49,'EXPORT IRIS PROD 13-11-2024'!F:F,1,0)</f>
        <v>ALR_AVARIA_TEMPERATURE</v>
      </c>
      <c r="F49" t="str">
        <f>VLOOKUP(I49,'EXPORT IRIS PROD 13-11-2024'!D:D,1,0)</f>
        <v>Allarme avaria temperatura</v>
      </c>
      <c r="G49" s="37" t="s">
        <v>109</v>
      </c>
      <c r="H49" s="38" t="s">
        <v>146</v>
      </c>
      <c r="I49" s="38" t="s">
        <v>147</v>
      </c>
      <c r="J49" s="39" t="s">
        <v>111</v>
      </c>
      <c r="K49" s="39" t="s">
        <v>127</v>
      </c>
      <c r="L49" s="40" t="s">
        <v>21</v>
      </c>
      <c r="M49" s="41" t="s">
        <v>22</v>
      </c>
      <c r="N49" s="42" t="s">
        <v>23</v>
      </c>
      <c r="O49" s="43" t="s">
        <v>24</v>
      </c>
      <c r="P49" s="42" t="s">
        <v>25</v>
      </c>
      <c r="Q49" s="42" t="s">
        <v>21</v>
      </c>
      <c r="R49" s="44"/>
    </row>
    <row r="50" spans="1:18" customFormat="1" ht="15" customHeight="1" x14ac:dyDescent="0.25">
      <c r="A50" t="str">
        <f t="shared" si="0"/>
        <v>Impianto Elettrico_Gruppo elettrogeno_ALR_BASSA_PRESSIONE-Allarme bassa pressione Gruppo Elettrogeno</v>
      </c>
      <c r="B50" t="str">
        <f t="shared" si="1"/>
        <v>ALR_BASSA_PRESSIONE-Allarme bassa pressione Gruppo Elettrogeno</v>
      </c>
      <c r="C50" t="str">
        <f>VLOOKUP(B50,'[2]Classi allarmi RMT-STIG_rev4'!$C:$C,1,0)</f>
        <v>ALR_BASSA_PRESSIONE-Allarme bassa pressione Gruppo Elettrogeno</v>
      </c>
      <c r="D50" t="str">
        <f>VLOOKUP(B50,'EXPORT IRIS PROD 13-11-2024'!A:A,1,0)</f>
        <v>ALR_BASSA_PRESSIONE-Allarme bassa pressione Gruppo Elettrogeno</v>
      </c>
      <c r="E50" t="str">
        <f>VLOOKUP(H50,'EXPORT IRIS PROD 13-11-2024'!F:F,1,0)</f>
        <v>ALR_BASSA_PRESSIONE</v>
      </c>
      <c r="F50" t="str">
        <f>VLOOKUP(I50,'EXPORT IRIS PROD 13-11-2024'!D:D,1,0)</f>
        <v>Allarme bassa pressione Gruppo Elettrogeno</v>
      </c>
      <c r="G50" s="37" t="s">
        <v>53</v>
      </c>
      <c r="H50" s="38" t="s">
        <v>148</v>
      </c>
      <c r="I50" s="38" t="s">
        <v>149</v>
      </c>
      <c r="J50" s="39" t="s">
        <v>56</v>
      </c>
      <c r="K50" s="39" t="s">
        <v>57</v>
      </c>
      <c r="L50" s="40" t="s">
        <v>21</v>
      </c>
      <c r="M50" s="41" t="s">
        <v>22</v>
      </c>
      <c r="N50" s="42" t="s">
        <v>23</v>
      </c>
      <c r="O50" s="43" t="s">
        <v>24</v>
      </c>
      <c r="P50" s="42" t="s">
        <v>25</v>
      </c>
      <c r="Q50" s="42" t="s">
        <v>21</v>
      </c>
      <c r="R50" s="44"/>
    </row>
    <row r="51" spans="1:18" customFormat="1" ht="15" customHeight="1" x14ac:dyDescent="0.25">
      <c r="A51" t="str">
        <f t="shared" si="0"/>
        <v>Impianto Elettrico_Gruppo elettrogeno_ALR_BASSA_TENSIONE_RETE-Allarme bassa tensione rete</v>
      </c>
      <c r="B51" t="str">
        <f t="shared" si="1"/>
        <v>ALR_BASSA_TENSIONE_RETE-Allarme bassa tensione rete</v>
      </c>
      <c r="C51" t="str">
        <f>VLOOKUP(B51,'[2]Classi allarmi RMT-STIG_rev4'!$C:$C,1,0)</f>
        <v>ALR_BASSA_TENSIONE_RETE-Allarme bassa tensione rete</v>
      </c>
      <c r="D51" t="str">
        <f>VLOOKUP(B51,'EXPORT IRIS PROD 13-11-2024'!A:A,1,0)</f>
        <v>ALR_BASSA_TENSIONE_RETE-Allarme bassa tensione rete</v>
      </c>
      <c r="E51" t="str">
        <f>VLOOKUP(H51,'EXPORT IRIS PROD 13-11-2024'!F:F,1,0)</f>
        <v>ALR_BASSA_TENSIONE_RETE</v>
      </c>
      <c r="F51" t="str">
        <f>VLOOKUP(I51,'EXPORT IRIS PROD 13-11-2024'!D:D,1,0)</f>
        <v>Allarme bassa tensione rete</v>
      </c>
      <c r="G51" s="37" t="s">
        <v>53</v>
      </c>
      <c r="H51" s="38" t="s">
        <v>150</v>
      </c>
      <c r="I51" s="38" t="s">
        <v>151</v>
      </c>
      <c r="J51" s="39" t="s">
        <v>56</v>
      </c>
      <c r="K51" s="39" t="s">
        <v>57</v>
      </c>
      <c r="L51" s="40" t="s">
        <v>21</v>
      </c>
      <c r="M51" s="41" t="s">
        <v>22</v>
      </c>
      <c r="N51" s="42" t="s">
        <v>23</v>
      </c>
      <c r="O51" s="43" t="s">
        <v>24</v>
      </c>
      <c r="P51" s="42" t="s">
        <v>25</v>
      </c>
      <c r="Q51" s="42" t="s">
        <v>21</v>
      </c>
      <c r="R51" s="44"/>
    </row>
    <row r="52" spans="1:18" customFormat="1" ht="15" customHeight="1" x14ac:dyDescent="0.25">
      <c r="A52" t="str">
        <f t="shared" si="0"/>
        <v>Impianto Elettrico_Gruppo elettrogeno_ALR_BASSISSIMO_LIV_GASOLIO_SERB-Allarme livello gasolio bassissimo</v>
      </c>
      <c r="B52" t="str">
        <f t="shared" si="1"/>
        <v>ALR_BASSISSIMO_LIV_GASOLIO_SERB-Allarme livello gasolio bassissimo</v>
      </c>
      <c r="C52" t="str">
        <f>VLOOKUP(B52,'[2]Classi allarmi RMT-STIG_rev4'!$C:$C,1,0)</f>
        <v>ALR_BASSISSIMO_LIV_GASOLIO_SERB-Allarme livello gasolio bassissimo</v>
      </c>
      <c r="D52" t="str">
        <f>VLOOKUP(B52,'EXPORT IRIS PROD 13-11-2024'!A:A,1,0)</f>
        <v>ALR_BASSISSIMO_LIV_GASOLIO_SERB-Allarme livello gasolio bassissimo</v>
      </c>
      <c r="E52" t="str">
        <f>VLOOKUP(H52,'EXPORT IRIS PROD 13-11-2024'!F:F,1,0)</f>
        <v>ALR_BASSISSIMO_LIV_GASOLIO_SERB</v>
      </c>
      <c r="F52" t="str">
        <f>VLOOKUP(I52,'EXPORT IRIS PROD 13-11-2024'!D:D,1,0)</f>
        <v>Allarme livello gasolio bassissimo</v>
      </c>
      <c r="G52" s="37" t="s">
        <v>53</v>
      </c>
      <c r="H52" s="38" t="s">
        <v>152</v>
      </c>
      <c r="I52" s="38" t="s">
        <v>153</v>
      </c>
      <c r="J52" s="39" t="s">
        <v>56</v>
      </c>
      <c r="K52" s="39" t="s">
        <v>57</v>
      </c>
      <c r="L52" s="40" t="s">
        <v>21</v>
      </c>
      <c r="M52" s="41" t="s">
        <v>22</v>
      </c>
      <c r="N52" s="42" t="s">
        <v>23</v>
      </c>
      <c r="O52" s="43" t="s">
        <v>24</v>
      </c>
      <c r="P52" s="42" t="s">
        <v>25</v>
      </c>
      <c r="Q52" s="42" t="s">
        <v>21</v>
      </c>
      <c r="R52" s="44"/>
    </row>
    <row r="53" spans="1:18" customFormat="1" ht="15" customHeight="1" x14ac:dyDescent="0.25">
      <c r="A53" t="str">
        <f t="shared" si="0"/>
        <v>Impianto Elettrico_Serbatoio gasolio_ALR_BASSO_LIV_GASOLIO_SERB-Allarme livello serbatoio gasolio in esaurimento</v>
      </c>
      <c r="B53" t="str">
        <f t="shared" si="1"/>
        <v>ALR_BASSO_LIV_GASOLIO_SERB-Allarme livello serbatoio gasolio in esaurimento</v>
      </c>
      <c r="C53" t="str">
        <f>VLOOKUP(B53,'[2]Classi allarmi RMT-STIG_rev4'!$C:$C,1,0)</f>
        <v>ALR_BASSO_LIV_GASOLIO_SERB-Allarme livello serbatoio gasolio in esaurimento</v>
      </c>
      <c r="D53" t="str">
        <f>VLOOKUP(B53,'EXPORT IRIS PROD 13-11-2024'!A:A,1,0)</f>
        <v>ALR_BASSO_LIV_GASOLIO_SERB-Allarme livello serbatoio gasolio in esaurimento</v>
      </c>
      <c r="E53" t="str">
        <f>VLOOKUP(H53,'EXPORT IRIS PROD 13-11-2024'!F:F,1,0)</f>
        <v>ALR_BASSO_LIV_GASOLIO_SERB</v>
      </c>
      <c r="F53" t="str">
        <f>VLOOKUP(I53,'EXPORT IRIS PROD 13-11-2024'!D:D,1,0)</f>
        <v>Allarme livello serbatoio gasolio in esaurimento</v>
      </c>
      <c r="G53" s="37" t="s">
        <v>53</v>
      </c>
      <c r="H53" s="38" t="s">
        <v>154</v>
      </c>
      <c r="I53" s="38" t="s">
        <v>155</v>
      </c>
      <c r="J53" s="39" t="s">
        <v>56</v>
      </c>
      <c r="K53" s="39" t="s">
        <v>156</v>
      </c>
      <c r="L53" s="40" t="s">
        <v>21</v>
      </c>
      <c r="M53" s="41" t="s">
        <v>22</v>
      </c>
      <c r="N53" s="42" t="s">
        <v>23</v>
      </c>
      <c r="O53" s="43" t="s">
        <v>157</v>
      </c>
      <c r="P53" s="42" t="s">
        <v>158</v>
      </c>
      <c r="Q53" s="42" t="s">
        <v>21</v>
      </c>
      <c r="R53" s="44"/>
    </row>
    <row r="54" spans="1:18" customFormat="1" ht="15" customHeight="1" x14ac:dyDescent="0.25">
      <c r="A54" t="str">
        <f t="shared" si="0"/>
        <v>Impianto Elettrico_Gruppo elettrogeno_ALR_BATTERIA_ALTA-Allarme batteria alta</v>
      </c>
      <c r="B54" t="str">
        <f t="shared" si="1"/>
        <v>ALR_BATTERIA_ALTA-Allarme batteria alta</v>
      </c>
      <c r="C54" t="str">
        <f>VLOOKUP(B54,'[2]Classi allarmi RMT-STIG_rev4'!$C:$C,1,0)</f>
        <v>ALR_BATTERIA_ALTA-Allarme batteria alta</v>
      </c>
      <c r="D54" t="str">
        <f>VLOOKUP(B54,'EXPORT IRIS PROD 13-11-2024'!A:A,1,0)</f>
        <v>ALR_BATTERIA_ALTA-Allarme batteria alta</v>
      </c>
      <c r="E54" t="str">
        <f>VLOOKUP(H54,'EXPORT IRIS PROD 13-11-2024'!F:F,1,0)</f>
        <v>ALR_BATTERIA_ALTA</v>
      </c>
      <c r="F54" t="str">
        <f>VLOOKUP(I54,'EXPORT IRIS PROD 13-11-2024'!D:D,1,0)</f>
        <v>Allarme batteria alta</v>
      </c>
      <c r="G54" s="37" t="s">
        <v>53</v>
      </c>
      <c r="H54" s="38" t="s">
        <v>159</v>
      </c>
      <c r="I54" s="38" t="s">
        <v>160</v>
      </c>
      <c r="J54" s="39" t="s">
        <v>56</v>
      </c>
      <c r="K54" s="39" t="s">
        <v>57</v>
      </c>
      <c r="L54" s="40" t="s">
        <v>21</v>
      </c>
      <c r="M54" s="41" t="s">
        <v>22</v>
      </c>
      <c r="N54" s="42" t="s">
        <v>23</v>
      </c>
      <c r="O54" s="43" t="s">
        <v>24</v>
      </c>
      <c r="P54" s="42" t="s">
        <v>25</v>
      </c>
      <c r="Q54" s="42" t="s">
        <v>21</v>
      </c>
      <c r="R54" s="44"/>
    </row>
    <row r="55" spans="1:18" customFormat="1" ht="15" customHeight="1" x14ac:dyDescent="0.25">
      <c r="A55" t="str">
        <f t="shared" si="0"/>
        <v>Impianto Elettrico_Gruppo elettrogeno_ALR_BATTERIA_BASSA-Allarme batteria bassa</v>
      </c>
      <c r="B55" t="str">
        <f t="shared" si="1"/>
        <v>ALR_BATTERIA_BASSA-Allarme batteria bassa</v>
      </c>
      <c r="C55" t="str">
        <f>VLOOKUP(B55,'[2]Classi allarmi RMT-STIG_rev4'!$C:$C,1,0)</f>
        <v>ALR_BATTERIA_BASSA-Allarme batteria bassa</v>
      </c>
      <c r="D55" t="str">
        <f>VLOOKUP(B55,'EXPORT IRIS PROD 13-11-2024'!A:A,1,0)</f>
        <v>ALR_BATTERIA_BASSA-Allarme batteria bassa</v>
      </c>
      <c r="E55" t="str">
        <f>VLOOKUP(H55,'EXPORT IRIS PROD 13-11-2024'!F:F,1,0)</f>
        <v>ALR_BATTERIA_BASSA</v>
      </c>
      <c r="F55" t="str">
        <f>VLOOKUP(I55,'EXPORT IRIS PROD 13-11-2024'!D:D,1,0)</f>
        <v>Allarme batteria bassa</v>
      </c>
      <c r="G55" s="37" t="s">
        <v>53</v>
      </c>
      <c r="H55" s="38" t="s">
        <v>161</v>
      </c>
      <c r="I55" s="38" t="s">
        <v>162</v>
      </c>
      <c r="J55" s="39" t="s">
        <v>56</v>
      </c>
      <c r="K55" s="39" t="s">
        <v>57</v>
      </c>
      <c r="L55" s="40" t="s">
        <v>21</v>
      </c>
      <c r="M55" s="41" t="s">
        <v>22</v>
      </c>
      <c r="N55" s="42" t="s">
        <v>23</v>
      </c>
      <c r="O55" s="43" t="s">
        <v>24</v>
      </c>
      <c r="P55" s="42" t="s">
        <v>25</v>
      </c>
      <c r="Q55" s="42" t="s">
        <v>21</v>
      </c>
      <c r="R55" s="44"/>
    </row>
    <row r="56" spans="1:18" customFormat="1" ht="15" customHeight="1" x14ac:dyDescent="0.25">
      <c r="A56" t="str">
        <f t="shared" si="0"/>
        <v>Impianto Elettrico_UPS_ALR_BATTERIA_BASSA-Allarme batteria bassa</v>
      </c>
      <c r="B56" t="str">
        <f t="shared" si="1"/>
        <v>ALR_BATTERIA_BASSA-Allarme batteria bassa</v>
      </c>
      <c r="C56" t="str">
        <f>VLOOKUP(B56,'[2]Classi allarmi RMT-STIG_rev4'!$C:$C,1,0)</f>
        <v>ALR_BATTERIA_BASSA-Allarme batteria bassa</v>
      </c>
      <c r="D56" t="str">
        <f>VLOOKUP(B56,'EXPORT IRIS PROD 13-11-2024'!A:A,1,0)</f>
        <v>ALR_BATTERIA_BASSA-Allarme batteria bassa</v>
      </c>
      <c r="E56" t="str">
        <f>VLOOKUP(H56,'EXPORT IRIS PROD 13-11-2024'!F:F,1,0)</f>
        <v>ALR_BATTERIA_BASSA</v>
      </c>
      <c r="F56" t="str">
        <f>VLOOKUP(I56,'EXPORT IRIS PROD 13-11-2024'!D:D,1,0)</f>
        <v>Allarme batteria bassa</v>
      </c>
      <c r="G56" s="37" t="s">
        <v>53</v>
      </c>
      <c r="H56" s="38" t="s">
        <v>161</v>
      </c>
      <c r="I56" s="38" t="s">
        <v>162</v>
      </c>
      <c r="J56" s="39" t="s">
        <v>56</v>
      </c>
      <c r="K56" s="39" t="s">
        <v>104</v>
      </c>
      <c r="L56" s="40" t="s">
        <v>21</v>
      </c>
      <c r="M56" s="41" t="s">
        <v>22</v>
      </c>
      <c r="N56" s="42" t="s">
        <v>23</v>
      </c>
      <c r="O56" s="43" t="s">
        <v>24</v>
      </c>
      <c r="P56" s="42" t="s">
        <v>25</v>
      </c>
      <c r="Q56" s="42" t="s">
        <v>21</v>
      </c>
      <c r="R56" s="44"/>
    </row>
    <row r="57" spans="1:18" customFormat="1" ht="15" customHeight="1" x14ac:dyDescent="0.25">
      <c r="A57" t="str">
        <f t="shared" si="0"/>
        <v>Impianto Rilevazione Incendio_Centralina rilevazione incendio_ALR_BATTERIA_CENTRALINA-Allarme batteria centralina</v>
      </c>
      <c r="B57" t="str">
        <f t="shared" si="1"/>
        <v>ALR_BATTERIA_CENTRALINA-Allarme batteria centralina</v>
      </c>
      <c r="C57" t="str">
        <f>VLOOKUP(B57,'[2]Classi allarmi RMT-STIG_rev4'!$C:$C,1,0)</f>
        <v>ALR_BATTERIA_CENTRALINA-Allarme batteria centralina</v>
      </c>
      <c r="D57" t="str">
        <f>VLOOKUP(B57,'EXPORT IRIS PROD 13-11-2024'!A:A,1,0)</f>
        <v>ALR_BATTERIA_CENTRALINA-Allarme batteria centralina</v>
      </c>
      <c r="E57" t="str">
        <f>VLOOKUP(H57,'EXPORT IRIS PROD 13-11-2024'!F:F,1,0)</f>
        <v>ALR_BATTERIA_CENTRALINA</v>
      </c>
      <c r="F57" t="str">
        <f>VLOOKUP(I57,'EXPORT IRIS PROD 13-11-2024'!D:D,1,0)</f>
        <v>Allarme batteria centralina</v>
      </c>
      <c r="G57" s="37" t="s">
        <v>105</v>
      </c>
      <c r="H57" s="38" t="s">
        <v>163</v>
      </c>
      <c r="I57" s="38" t="s">
        <v>164</v>
      </c>
      <c r="J57" s="39" t="s">
        <v>43</v>
      </c>
      <c r="K57" s="39" t="s">
        <v>108</v>
      </c>
      <c r="L57" s="40" t="s">
        <v>21</v>
      </c>
      <c r="M57" s="41" t="s">
        <v>22</v>
      </c>
      <c r="N57" s="42" t="s">
        <v>23</v>
      </c>
      <c r="O57" s="43" t="s">
        <v>24</v>
      </c>
      <c r="P57" s="42" t="s">
        <v>25</v>
      </c>
      <c r="Q57" s="42" t="s">
        <v>21</v>
      </c>
      <c r="R57" s="44"/>
    </row>
    <row r="58" spans="1:18" customFormat="1" ht="15" customHeight="1" x14ac:dyDescent="0.25">
      <c r="A58" t="str">
        <f t="shared" si="0"/>
        <v>Impianto Rete dati_PLC_ALR_BATTERIA_PROCESSORE-Allarme batteria processore</v>
      </c>
      <c r="B58" t="str">
        <f t="shared" si="1"/>
        <v>ALR_BATTERIA_PROCESSORE-Allarme batteria processore</v>
      </c>
      <c r="C58" t="str">
        <f>VLOOKUP(B58,'[2]Classi allarmi RMT-STIG_rev4'!$C:$C,1,0)</f>
        <v>ALR_BATTERIA_PROCESSORE-Allarme batteria processore</v>
      </c>
      <c r="D58" t="str">
        <f>VLOOKUP(B58,'EXPORT IRIS PROD 13-11-2024'!A:A,1,0)</f>
        <v>ALR_BATTERIA_PROCESSORE-Allarme batteria processore</v>
      </c>
      <c r="E58" t="str">
        <f>VLOOKUP(H58,'EXPORT IRIS PROD 13-11-2024'!F:F,1,0)</f>
        <v>ALR_BATTERIA_PROCESSORE</v>
      </c>
      <c r="F58" t="str">
        <f>VLOOKUP(I58,'EXPORT IRIS PROD 13-11-2024'!D:D,1,0)</f>
        <v>Allarme batteria processore</v>
      </c>
      <c r="G58" s="37" t="s">
        <v>16</v>
      </c>
      <c r="H58" s="38" t="s">
        <v>165</v>
      </c>
      <c r="I58" s="38" t="s">
        <v>166</v>
      </c>
      <c r="J58" s="39" t="s">
        <v>19</v>
      </c>
      <c r="K58" s="39" t="s">
        <v>167</v>
      </c>
      <c r="L58" s="40" t="s">
        <v>21</v>
      </c>
      <c r="M58" s="41" t="s">
        <v>22</v>
      </c>
      <c r="N58" s="42" t="s">
        <v>23</v>
      </c>
      <c r="O58" s="43" t="s">
        <v>24</v>
      </c>
      <c r="P58" s="42" t="s">
        <v>25</v>
      </c>
      <c r="Q58" s="42" t="s">
        <v>21</v>
      </c>
      <c r="R58" s="44"/>
    </row>
    <row r="59" spans="1:18" customFormat="1" ht="15" customHeight="1" x14ac:dyDescent="0.25">
      <c r="A59" t="str">
        <f t="shared" si="0"/>
        <v>Impianto Elettrico_UPS_ALR_BATTERIA_SCARICA-Allarme batteria scarica</v>
      </c>
      <c r="B59" t="str">
        <f t="shared" si="1"/>
        <v>ALR_BATTERIA_SCARICA-Allarme batteria scarica</v>
      </c>
      <c r="C59" t="str">
        <f>VLOOKUP(B59,'[2]Classi allarmi RMT-STIG_rev4'!$C:$C,1,0)</f>
        <v>ALR_BATTERIA_SCARICA-Allarme batteria scarica</v>
      </c>
      <c r="D59" t="str">
        <f>VLOOKUP(B59,'EXPORT IRIS PROD 13-11-2024'!A:A,1,0)</f>
        <v>ALR_BATTERIA_SCARICA-Allarme batteria scarica</v>
      </c>
      <c r="E59" t="str">
        <f>VLOOKUP(H59,'EXPORT IRIS PROD 13-11-2024'!F:F,1,0)</f>
        <v>ALR_BATTERIA_SCARICA</v>
      </c>
      <c r="F59" t="str">
        <f>VLOOKUP(I59,'EXPORT IRIS PROD 13-11-2024'!D:D,1,0)</f>
        <v>Allarme batteria scarica</v>
      </c>
      <c r="G59" s="37" t="s">
        <v>53</v>
      </c>
      <c r="H59" s="38" t="s">
        <v>168</v>
      </c>
      <c r="I59" s="38" t="s">
        <v>169</v>
      </c>
      <c r="J59" s="39" t="s">
        <v>56</v>
      </c>
      <c r="K59" s="39" t="s">
        <v>104</v>
      </c>
      <c r="L59" s="40" t="s">
        <v>21</v>
      </c>
      <c r="M59" s="41" t="s">
        <v>22</v>
      </c>
      <c r="N59" s="42" t="s">
        <v>23</v>
      </c>
      <c r="O59" s="43" t="s">
        <v>24</v>
      </c>
      <c r="P59" s="42" t="s">
        <v>25</v>
      </c>
      <c r="Q59" s="42" t="s">
        <v>21</v>
      </c>
      <c r="R59" s="44"/>
    </row>
    <row r="60" spans="1:18" customFormat="1" ht="15" customHeight="1" x14ac:dyDescent="0.25">
      <c r="A60" t="str">
        <f t="shared" si="0"/>
        <v>Impianto Antincendio_Motopompa_ALR_CARBURANTE_ESAURITO-Allarme carburante esaurito</v>
      </c>
      <c r="B60" t="str">
        <f t="shared" si="1"/>
        <v>ALR_CARBURANTE_ESAURITO-Allarme carburante esaurito</v>
      </c>
      <c r="C60" t="str">
        <f>VLOOKUP(B60,'[2]Classi allarmi RMT-STIG_rev4'!$C:$C,1,0)</f>
        <v>ALR_CARBURANTE_ESAURITO-Allarme carburante esaurito</v>
      </c>
      <c r="D60" t="str">
        <f>VLOOKUP(B60,'EXPORT IRIS PROD 13-11-2024'!A:A,1,0)</f>
        <v>ALR_CARBURANTE_ESAURITO-Allarme carburante esaurito</v>
      </c>
      <c r="E60" t="str">
        <f>VLOOKUP(H60,'EXPORT IRIS PROD 13-11-2024'!F:F,1,0)</f>
        <v>ALR_CARBURANTE_ESAURITO</v>
      </c>
      <c r="F60" t="str">
        <f>VLOOKUP(I60,'EXPORT IRIS PROD 13-11-2024'!D:D,1,0)</f>
        <v>Allarme carburante esaurito</v>
      </c>
      <c r="G60" s="37" t="s">
        <v>35</v>
      </c>
      <c r="H60" s="38" t="s">
        <v>170</v>
      </c>
      <c r="I60" s="38" t="s">
        <v>171</v>
      </c>
      <c r="J60" s="39" t="s">
        <v>38</v>
      </c>
      <c r="K60" s="39" t="s">
        <v>172</v>
      </c>
      <c r="L60" s="40" t="s">
        <v>21</v>
      </c>
      <c r="M60" s="41" t="s">
        <v>22</v>
      </c>
      <c r="N60" s="42" t="s">
        <v>23</v>
      </c>
      <c r="O60" s="43" t="s">
        <v>157</v>
      </c>
      <c r="P60" s="42" t="s">
        <v>158</v>
      </c>
      <c r="Q60" s="42" t="s">
        <v>21</v>
      </c>
      <c r="R60" s="44"/>
    </row>
    <row r="61" spans="1:18" customFormat="1" ht="15" customHeight="1" x14ac:dyDescent="0.25">
      <c r="A61" t="str">
        <f t="shared" si="0"/>
        <v>Impianto Ventilazione_Ventilatore_ALR_CASSETTO_ESTRATTO-Allarme cassetto comandi ventilatore estratto</v>
      </c>
      <c r="B61" t="str">
        <f t="shared" si="1"/>
        <v>ALR_CASSETTO_ESTRATTO-Allarme cassetto comandi ventilatore estratto</v>
      </c>
      <c r="C61" t="str">
        <f>VLOOKUP(B61,'[2]Classi allarmi RMT-STIG_rev4'!$C:$C,1,0)</f>
        <v>ALR_CASSETTO_ESTRATTO-Allarme cassetto comandi ventilatore estratto</v>
      </c>
      <c r="D61" t="str">
        <f>VLOOKUP(B61,'EXPORT IRIS PROD 13-11-2024'!A:A,1,0)</f>
        <v>ALR_CASSETTO_ESTRATTO-Allarme cassetto comandi ventilatore estratto</v>
      </c>
      <c r="E61" t="str">
        <f>VLOOKUP(H61,'EXPORT IRIS PROD 13-11-2024'!F:F,1,0)</f>
        <v>ALR_CASSETTO_ESTRATTO</v>
      </c>
      <c r="F61" t="str">
        <f>VLOOKUP(I61,'EXPORT IRIS PROD 13-11-2024'!D:D,1,0)</f>
        <v>Allarme cassetto comandi ventilatore estratto</v>
      </c>
      <c r="G61" s="37" t="s">
        <v>85</v>
      </c>
      <c r="H61" s="38" t="s">
        <v>173</v>
      </c>
      <c r="I61" s="38" t="s">
        <v>174</v>
      </c>
      <c r="J61" s="39" t="s">
        <v>50</v>
      </c>
      <c r="K61" s="39" t="s">
        <v>124</v>
      </c>
      <c r="L61" s="40" t="s">
        <v>21</v>
      </c>
      <c r="M61" s="41" t="s">
        <v>22</v>
      </c>
      <c r="N61" s="42" t="s">
        <v>23</v>
      </c>
      <c r="O61" s="43" t="s">
        <v>24</v>
      </c>
      <c r="P61" s="42" t="s">
        <v>25</v>
      </c>
      <c r="Q61" s="42" t="s">
        <v>21</v>
      </c>
      <c r="R61" s="44"/>
    </row>
    <row r="62" spans="1:18" customFormat="1" ht="15" customHeight="1" x14ac:dyDescent="0.25">
      <c r="A62" t="str">
        <f t="shared" si="0"/>
        <v>Impianto Elettrico_Centralina scambio rete-gruppo_ALR_CB1_APERTURA_FALLITA-Allarme CB1 apertura fallita</v>
      </c>
      <c r="B62" t="str">
        <f t="shared" si="1"/>
        <v>ALR_CB1_APERTURA_FALLITA-Allarme CB1 apertura fallita</v>
      </c>
      <c r="C62" t="str">
        <f>VLOOKUP(B62,'[2]Classi allarmi RMT-STIG_rev4'!$C:$C,1,0)</f>
        <v>ALR_CB1_APERTURA_FALLITA-Allarme CB1 apertura fallita</v>
      </c>
      <c r="D62" t="str">
        <f>VLOOKUP(B62,'EXPORT IRIS PROD 13-11-2024'!A:A,1,0)</f>
        <v>ALR_CB1_APERTURA_FALLITA-Allarme CB1 apertura fallita</v>
      </c>
      <c r="E62" t="str">
        <f>VLOOKUP(H62,'EXPORT IRIS PROD 13-11-2024'!F:F,1,0)</f>
        <v>ALR_CB1_APERTURA_FALLITA</v>
      </c>
      <c r="F62" t="str">
        <f>VLOOKUP(I62,'EXPORT IRIS PROD 13-11-2024'!D:D,1,0)</f>
        <v>Allarme CB1 apertura fallita</v>
      </c>
      <c r="G62" s="37" t="s">
        <v>53</v>
      </c>
      <c r="H62" s="38" t="s">
        <v>175</v>
      </c>
      <c r="I62" s="38" t="s">
        <v>176</v>
      </c>
      <c r="J62" s="39" t="s">
        <v>56</v>
      </c>
      <c r="K62" s="39" t="s">
        <v>177</v>
      </c>
      <c r="L62" s="40" t="s">
        <v>21</v>
      </c>
      <c r="M62" s="41" t="s">
        <v>22</v>
      </c>
      <c r="N62" s="42" t="s">
        <v>23</v>
      </c>
      <c r="O62" s="43" t="s">
        <v>24</v>
      </c>
      <c r="P62" s="42" t="s">
        <v>25</v>
      </c>
      <c r="Q62" s="42" t="s">
        <v>21</v>
      </c>
      <c r="R62" s="44"/>
    </row>
    <row r="63" spans="1:18" customFormat="1" ht="15" customHeight="1" x14ac:dyDescent="0.25">
      <c r="A63" t="str">
        <f t="shared" si="0"/>
        <v>Impianto Elettrico_Centralina scambio rete-gruppo_ALR_CB1_CHIUSURA_FALLITA-Allarme CB1 chiusura fallita</v>
      </c>
      <c r="B63" t="str">
        <f t="shared" si="1"/>
        <v>ALR_CB1_CHIUSURA_FALLITA-Allarme CB1 chiusura fallita</v>
      </c>
      <c r="C63" t="str">
        <f>VLOOKUP(B63,'[2]Classi allarmi RMT-STIG_rev4'!$C:$C,1,0)</f>
        <v>ALR_CB1_CHIUSURA_FALLITA-Allarme CB1 chiusura fallita</v>
      </c>
      <c r="D63" t="str">
        <f>VLOOKUP(B63,'EXPORT IRIS PROD 13-11-2024'!A:A,1,0)</f>
        <v>ALR_CB1_CHIUSURA_FALLITA-Allarme CB1 chiusura fallita</v>
      </c>
      <c r="E63" t="str">
        <f>VLOOKUP(H63,'EXPORT IRIS PROD 13-11-2024'!F:F,1,0)</f>
        <v>ALR_CB1_CHIUSURA_FALLITA</v>
      </c>
      <c r="F63" t="str">
        <f>VLOOKUP(I63,'EXPORT IRIS PROD 13-11-2024'!D:D,1,0)</f>
        <v>Allarme CB1 chiusura fallita</v>
      </c>
      <c r="G63" s="37" t="s">
        <v>53</v>
      </c>
      <c r="H63" s="38" t="s">
        <v>178</v>
      </c>
      <c r="I63" s="38" t="s">
        <v>179</v>
      </c>
      <c r="J63" s="39" t="s">
        <v>56</v>
      </c>
      <c r="K63" s="39" t="s">
        <v>177</v>
      </c>
      <c r="L63" s="40" t="s">
        <v>21</v>
      </c>
      <c r="M63" s="41" t="s">
        <v>22</v>
      </c>
      <c r="N63" s="42" t="s">
        <v>23</v>
      </c>
      <c r="O63" s="43" t="s">
        <v>24</v>
      </c>
      <c r="P63" s="42" t="s">
        <v>25</v>
      </c>
      <c r="Q63" s="42" t="s">
        <v>21</v>
      </c>
      <c r="R63" s="44"/>
    </row>
    <row r="64" spans="1:18" customFormat="1" ht="15" customHeight="1" x14ac:dyDescent="0.25">
      <c r="A64" t="str">
        <f t="shared" si="0"/>
        <v>Impianto Elettrico_Centralina scambio rete-gruppo_ALR_CB1_ESTRATTO-Allarme CB1 estratto</v>
      </c>
      <c r="B64" t="str">
        <f t="shared" si="1"/>
        <v>ALR_CB1_ESTRATTO-Allarme CB1 estratto</v>
      </c>
      <c r="C64" t="str">
        <f>VLOOKUP(B64,'[2]Classi allarmi RMT-STIG_rev4'!$C:$C,1,0)</f>
        <v>ALR_CB1_ESTRATTO-Allarme CB1 estratto</v>
      </c>
      <c r="D64" t="str">
        <f>VLOOKUP(B64,'EXPORT IRIS PROD 13-11-2024'!A:A,1,0)</f>
        <v>ALR_CB1_ESTRATTO-Allarme CB1 estratto</v>
      </c>
      <c r="E64" t="str">
        <f>VLOOKUP(H64,'EXPORT IRIS PROD 13-11-2024'!F:F,1,0)</f>
        <v>ALR_CB1_ESTRATTO</v>
      </c>
      <c r="F64" t="str">
        <f>VLOOKUP(I64,'EXPORT IRIS PROD 13-11-2024'!D:D,1,0)</f>
        <v>Allarme CB1 estratto</v>
      </c>
      <c r="G64" s="37" t="s">
        <v>53</v>
      </c>
      <c r="H64" s="38" t="s">
        <v>180</v>
      </c>
      <c r="I64" s="38" t="s">
        <v>181</v>
      </c>
      <c r="J64" s="39" t="s">
        <v>56</v>
      </c>
      <c r="K64" s="39" t="s">
        <v>177</v>
      </c>
      <c r="L64" s="40" t="s">
        <v>21</v>
      </c>
      <c r="M64" s="41" t="s">
        <v>22</v>
      </c>
      <c r="N64" s="42" t="s">
        <v>23</v>
      </c>
      <c r="O64" s="43" t="s">
        <v>24</v>
      </c>
      <c r="P64" s="42" t="s">
        <v>25</v>
      </c>
      <c r="Q64" s="42" t="s">
        <v>21</v>
      </c>
      <c r="R64" s="44"/>
    </row>
    <row r="65" spans="1:18" customFormat="1" ht="15" customHeight="1" x14ac:dyDescent="0.25">
      <c r="A65" t="str">
        <f t="shared" si="0"/>
        <v>Impianto Elettrico_Centralina scambio rete-gruppo_ALR_CB1_INTERVENUTO-Allarme CB1 interventuo</v>
      </c>
      <c r="B65" t="str">
        <f t="shared" si="1"/>
        <v>ALR_CB1_INTERVENUTO-Allarme CB1 interventuo</v>
      </c>
      <c r="C65" t="str">
        <f>VLOOKUP(B65,'[2]Classi allarmi RMT-STIG_rev4'!$C:$C,1,0)</f>
        <v>ALR_CB1_INTERVENUTO-Allarme CB1 interventuo</v>
      </c>
      <c r="D65" t="str">
        <f>VLOOKUP(B65,'EXPORT IRIS PROD 13-11-2024'!A:A,1,0)</f>
        <v>ALR_CB1_INTERVENUTO-Allarme CB1 interventuo</v>
      </c>
      <c r="E65" t="str">
        <f>VLOOKUP(H65,'EXPORT IRIS PROD 13-11-2024'!F:F,1,0)</f>
        <v>ALR_CB1_INTERVENUTO</v>
      </c>
      <c r="F65" t="str">
        <f>VLOOKUP(I65,'EXPORT IRIS PROD 13-11-2024'!D:D,1,0)</f>
        <v>Allarme CB1 interventuo</v>
      </c>
      <c r="G65" s="37" t="s">
        <v>53</v>
      </c>
      <c r="H65" s="38" t="s">
        <v>182</v>
      </c>
      <c r="I65" s="38" t="s">
        <v>183</v>
      </c>
      <c r="J65" s="39" t="s">
        <v>56</v>
      </c>
      <c r="K65" s="39" t="s">
        <v>177</v>
      </c>
      <c r="L65" s="40" t="s">
        <v>21</v>
      </c>
      <c r="M65" s="41" t="s">
        <v>22</v>
      </c>
      <c r="N65" s="42" t="s">
        <v>23</v>
      </c>
      <c r="O65" s="43" t="s">
        <v>24</v>
      </c>
      <c r="P65" s="42" t="s">
        <v>25</v>
      </c>
      <c r="Q65" s="42" t="s">
        <v>21</v>
      </c>
      <c r="R65" s="44"/>
    </row>
    <row r="66" spans="1:18" customFormat="1" ht="15" customHeight="1" x14ac:dyDescent="0.25">
      <c r="A66" t="str">
        <f t="shared" ref="A66:A129" si="2">CONCATENATE(J66,"_",K66,"_",B66)</f>
        <v>Impianto Elettrico_Centralina scambio rete-gruppo_ALR_CB2_APERTURA_FALLITA-Allarme CB2 apertura fallita</v>
      </c>
      <c r="B66" t="str">
        <f t="shared" si="1"/>
        <v>ALR_CB2_APERTURA_FALLITA-Allarme CB2 apertura fallita</v>
      </c>
      <c r="C66" t="str">
        <f>VLOOKUP(B66,'[2]Classi allarmi RMT-STIG_rev4'!$C:$C,1,0)</f>
        <v>ALR_CB2_APERTURA_FALLITA-Allarme CB2 apertura fallita</v>
      </c>
      <c r="D66" t="str">
        <f>VLOOKUP(B66,'EXPORT IRIS PROD 13-11-2024'!A:A,1,0)</f>
        <v>ALR_CB2_APERTURA_FALLITA-Allarme CB2 apertura fallita</v>
      </c>
      <c r="E66" t="str">
        <f>VLOOKUP(H66,'EXPORT IRIS PROD 13-11-2024'!F:F,1,0)</f>
        <v>ALR_CB2_APERTURA_FALLITA</v>
      </c>
      <c r="F66" t="str">
        <f>VLOOKUP(I66,'EXPORT IRIS PROD 13-11-2024'!D:D,1,0)</f>
        <v>Allarme CB2 apertura fallita</v>
      </c>
      <c r="G66" s="37" t="s">
        <v>53</v>
      </c>
      <c r="H66" s="38" t="s">
        <v>184</v>
      </c>
      <c r="I66" s="38" t="s">
        <v>185</v>
      </c>
      <c r="J66" s="39" t="s">
        <v>56</v>
      </c>
      <c r="K66" s="39" t="s">
        <v>177</v>
      </c>
      <c r="L66" s="40" t="s">
        <v>21</v>
      </c>
      <c r="M66" s="41" t="s">
        <v>22</v>
      </c>
      <c r="N66" s="42" t="s">
        <v>23</v>
      </c>
      <c r="O66" s="43" t="s">
        <v>24</v>
      </c>
      <c r="P66" s="42" t="s">
        <v>25</v>
      </c>
      <c r="Q66" s="42" t="s">
        <v>21</v>
      </c>
      <c r="R66" s="44"/>
    </row>
    <row r="67" spans="1:18" customFormat="1" ht="15" customHeight="1" x14ac:dyDescent="0.25">
      <c r="A67" t="str">
        <f t="shared" si="2"/>
        <v>Impianto Elettrico_Centralina scambio rete-gruppo_ALR_CB2_CHIUSURA_FALLITA-Allarme CB2 chiusura fallita</v>
      </c>
      <c r="B67" t="str">
        <f t="shared" ref="B67:B130" si="3">CONCATENATE(H67,"-",I67)</f>
        <v>ALR_CB2_CHIUSURA_FALLITA-Allarme CB2 chiusura fallita</v>
      </c>
      <c r="C67" t="str">
        <f>VLOOKUP(B67,'[2]Classi allarmi RMT-STIG_rev4'!$C:$C,1,0)</f>
        <v>ALR_CB2_CHIUSURA_FALLITA-Allarme CB2 chiusura fallita</v>
      </c>
      <c r="D67" t="str">
        <f>VLOOKUP(B67,'EXPORT IRIS PROD 13-11-2024'!A:A,1,0)</f>
        <v>ALR_CB2_CHIUSURA_FALLITA-Allarme CB2 chiusura fallita</v>
      </c>
      <c r="E67" t="str">
        <f>VLOOKUP(H67,'EXPORT IRIS PROD 13-11-2024'!F:F,1,0)</f>
        <v>ALR_CB2_CHIUSURA_FALLITA</v>
      </c>
      <c r="F67" t="str">
        <f>VLOOKUP(I67,'EXPORT IRIS PROD 13-11-2024'!D:D,1,0)</f>
        <v>Allarme CB2 chiusura fallita</v>
      </c>
      <c r="G67" s="37" t="s">
        <v>53</v>
      </c>
      <c r="H67" s="38" t="s">
        <v>186</v>
      </c>
      <c r="I67" s="38" t="s">
        <v>187</v>
      </c>
      <c r="J67" s="39" t="s">
        <v>56</v>
      </c>
      <c r="K67" s="39" t="s">
        <v>177</v>
      </c>
      <c r="L67" s="40" t="s">
        <v>21</v>
      </c>
      <c r="M67" s="41" t="s">
        <v>22</v>
      </c>
      <c r="N67" s="42" t="s">
        <v>23</v>
      </c>
      <c r="O67" s="43" t="s">
        <v>24</v>
      </c>
      <c r="P67" s="42" t="s">
        <v>25</v>
      </c>
      <c r="Q67" s="42" t="s">
        <v>21</v>
      </c>
      <c r="R67" s="44"/>
    </row>
    <row r="68" spans="1:18" customFormat="1" ht="15" customHeight="1" x14ac:dyDescent="0.25">
      <c r="A68" t="str">
        <f t="shared" si="2"/>
        <v>Impianto Elettrico_Centralina scambio rete-gruppo_ALR_CB2_ESTRATTO-Allarme CB2 estratto</v>
      </c>
      <c r="B68" t="str">
        <f t="shared" si="3"/>
        <v>ALR_CB2_ESTRATTO-Allarme CB2 estratto</v>
      </c>
      <c r="C68" t="str">
        <f>VLOOKUP(B68,'[2]Classi allarmi RMT-STIG_rev4'!$C:$C,1,0)</f>
        <v>ALR_CB2_ESTRATTO-Allarme CB2 estratto</v>
      </c>
      <c r="D68" t="str">
        <f>VLOOKUP(B68,'EXPORT IRIS PROD 13-11-2024'!A:A,1,0)</f>
        <v>ALR_CB2_ESTRATTO-Allarme CB2 estratto</v>
      </c>
      <c r="E68" t="str">
        <f>VLOOKUP(H68,'EXPORT IRIS PROD 13-11-2024'!F:F,1,0)</f>
        <v>ALR_CB2_ESTRATTO</v>
      </c>
      <c r="F68" t="str">
        <f>VLOOKUP(I68,'EXPORT IRIS PROD 13-11-2024'!D:D,1,0)</f>
        <v>Allarme CB2 estratto</v>
      </c>
      <c r="G68" s="37" t="s">
        <v>53</v>
      </c>
      <c r="H68" s="38" t="s">
        <v>188</v>
      </c>
      <c r="I68" s="38" t="s">
        <v>189</v>
      </c>
      <c r="J68" s="39" t="s">
        <v>56</v>
      </c>
      <c r="K68" s="39" t="s">
        <v>177</v>
      </c>
      <c r="L68" s="40" t="s">
        <v>21</v>
      </c>
      <c r="M68" s="41" t="s">
        <v>22</v>
      </c>
      <c r="N68" s="42" t="s">
        <v>23</v>
      </c>
      <c r="O68" s="43" t="s">
        <v>24</v>
      </c>
      <c r="P68" s="42" t="s">
        <v>25</v>
      </c>
      <c r="Q68" s="42" t="s">
        <v>21</v>
      </c>
      <c r="R68" s="44"/>
    </row>
    <row r="69" spans="1:18" customFormat="1" ht="15" customHeight="1" x14ac:dyDescent="0.25">
      <c r="A69" t="str">
        <f t="shared" si="2"/>
        <v>Impianto Elettrico_Centralina scambio rete-gruppo_ALR_CB2_INTERVENUTO-Allarme CB2 intervenuto</v>
      </c>
      <c r="B69" t="str">
        <f t="shared" si="3"/>
        <v>ALR_CB2_INTERVENUTO-Allarme CB2 intervenuto</v>
      </c>
      <c r="C69" t="str">
        <f>VLOOKUP(B69,'[2]Classi allarmi RMT-STIG_rev4'!$C:$C,1,0)</f>
        <v>ALR_CB2_INTERVENUTO-Allarme CB2 intervenuto</v>
      </c>
      <c r="D69" t="str">
        <f>VLOOKUP(B69,'EXPORT IRIS PROD 13-11-2024'!A:A,1,0)</f>
        <v>ALR_CB2_INTERVENUTO-Allarme CB2 intervenuto</v>
      </c>
      <c r="E69" t="str">
        <f>VLOOKUP(H69,'EXPORT IRIS PROD 13-11-2024'!F:F,1,0)</f>
        <v>ALR_CB2_INTERVENUTO</v>
      </c>
      <c r="F69" t="str">
        <f>VLOOKUP(I69,'EXPORT IRIS PROD 13-11-2024'!D:D,1,0)</f>
        <v>Allarme CB2 intervenuto</v>
      </c>
      <c r="G69" s="37" t="s">
        <v>53</v>
      </c>
      <c r="H69" s="38" t="s">
        <v>190</v>
      </c>
      <c r="I69" s="38" t="s">
        <v>191</v>
      </c>
      <c r="J69" s="39" t="s">
        <v>56</v>
      </c>
      <c r="K69" s="39" t="s">
        <v>177</v>
      </c>
      <c r="L69" s="40" t="s">
        <v>21</v>
      </c>
      <c r="M69" s="41" t="s">
        <v>22</v>
      </c>
      <c r="N69" s="42" t="s">
        <v>23</v>
      </c>
      <c r="O69" s="43" t="s">
        <v>24</v>
      </c>
      <c r="P69" s="42" t="s">
        <v>25</v>
      </c>
      <c r="Q69" s="42" t="s">
        <v>21</v>
      </c>
      <c r="R69" s="44"/>
    </row>
    <row r="70" spans="1:18" customFormat="1" ht="15" customHeight="1" x14ac:dyDescent="0.25">
      <c r="A70" t="str">
        <f t="shared" si="2"/>
        <v>Impianto Elettrico_Centralina scambio rete-gruppo_ALR_CB3_APERTURA_FALLITA-Allarme CB3 apertura fallita</v>
      </c>
      <c r="B70" t="str">
        <f t="shared" si="3"/>
        <v>ALR_CB3_APERTURA_FALLITA-Allarme CB3 apertura fallita</v>
      </c>
      <c r="C70" t="str">
        <f>VLOOKUP(B70,'[2]Classi allarmi RMT-STIG_rev4'!$C:$C,1,0)</f>
        <v>ALR_CB3_APERTURA_FALLITA-Allarme CB3 apertura fallita</v>
      </c>
      <c r="D70" t="str">
        <f>VLOOKUP(B70,'EXPORT IRIS PROD 13-11-2024'!A:A,1,0)</f>
        <v>ALR_CB3_APERTURA_FALLITA-Allarme CB3 apertura fallita</v>
      </c>
      <c r="E70" t="str">
        <f>VLOOKUP(H70,'EXPORT IRIS PROD 13-11-2024'!F:F,1,0)</f>
        <v>ALR_CB3_APERTURA_FALLITA</v>
      </c>
      <c r="F70" t="str">
        <f>VLOOKUP(I70,'EXPORT IRIS PROD 13-11-2024'!D:D,1,0)</f>
        <v>Allarme CB3 apertura fallita</v>
      </c>
      <c r="G70" s="37" t="s">
        <v>53</v>
      </c>
      <c r="H70" s="38" t="s">
        <v>192</v>
      </c>
      <c r="I70" s="38" t="s">
        <v>193</v>
      </c>
      <c r="J70" s="39" t="s">
        <v>56</v>
      </c>
      <c r="K70" s="39" t="s">
        <v>177</v>
      </c>
      <c r="L70" s="40" t="s">
        <v>21</v>
      </c>
      <c r="M70" s="41" t="s">
        <v>22</v>
      </c>
      <c r="N70" s="42" t="s">
        <v>23</v>
      </c>
      <c r="O70" s="43" t="s">
        <v>24</v>
      </c>
      <c r="P70" s="42" t="s">
        <v>25</v>
      </c>
      <c r="Q70" s="42" t="s">
        <v>21</v>
      </c>
      <c r="R70" s="44"/>
    </row>
    <row r="71" spans="1:18" customFormat="1" ht="15" customHeight="1" x14ac:dyDescent="0.25">
      <c r="A71" t="str">
        <f t="shared" si="2"/>
        <v>Impianto Elettrico_Centralina scambio rete-gruppo_ALR_CB3_CHIUSURA_FALLITA-Allarme CB3 chiusura fallita</v>
      </c>
      <c r="B71" t="str">
        <f t="shared" si="3"/>
        <v>ALR_CB3_CHIUSURA_FALLITA-Allarme CB3 chiusura fallita</v>
      </c>
      <c r="C71" t="str">
        <f>VLOOKUP(B71,'[2]Classi allarmi RMT-STIG_rev4'!$C:$C,1,0)</f>
        <v>ALR_CB3_CHIUSURA_FALLITA-Allarme CB3 chiusura fallita</v>
      </c>
      <c r="D71" t="str">
        <f>VLOOKUP(B71,'EXPORT IRIS PROD 13-11-2024'!A:A,1,0)</f>
        <v>ALR_CB3_CHIUSURA_FALLITA-Allarme CB3 chiusura fallita</v>
      </c>
      <c r="E71" t="str">
        <f>VLOOKUP(H71,'EXPORT IRIS PROD 13-11-2024'!F:F,1,0)</f>
        <v>ALR_CB3_CHIUSURA_FALLITA</v>
      </c>
      <c r="F71" t="str">
        <f>VLOOKUP(I71,'EXPORT IRIS PROD 13-11-2024'!D:D,1,0)</f>
        <v>Allarme CB3 chiusura fallita</v>
      </c>
      <c r="G71" s="37" t="s">
        <v>53</v>
      </c>
      <c r="H71" s="38" t="s">
        <v>194</v>
      </c>
      <c r="I71" s="38" t="s">
        <v>195</v>
      </c>
      <c r="J71" s="39" t="s">
        <v>56</v>
      </c>
      <c r="K71" s="39" t="s">
        <v>177</v>
      </c>
      <c r="L71" s="40" t="s">
        <v>21</v>
      </c>
      <c r="M71" s="41" t="s">
        <v>22</v>
      </c>
      <c r="N71" s="42" t="s">
        <v>23</v>
      </c>
      <c r="O71" s="43" t="s">
        <v>24</v>
      </c>
      <c r="P71" s="42" t="s">
        <v>25</v>
      </c>
      <c r="Q71" s="42" t="s">
        <v>21</v>
      </c>
      <c r="R71" s="44"/>
    </row>
    <row r="72" spans="1:18" x14ac:dyDescent="0.25">
      <c r="A72" t="str">
        <f t="shared" si="2"/>
        <v>Impianto Rilevazione Incendio_Centralina rilevazione incendio_ALR_CENTRALINA-Allarme centralina rilevazione incendio</v>
      </c>
      <c r="B72" t="str">
        <f t="shared" si="3"/>
        <v>ALR_CENTRALINA-Allarme centralina rilevazione incendio</v>
      </c>
      <c r="C72" t="str">
        <f>VLOOKUP(B72,'[2]Classi allarmi RMT-STIG_rev4'!$C:$C,1,0)</f>
        <v>ALR_CENTRALINA-Allarme centralina rilevazione incendio</v>
      </c>
      <c r="D72" t="str">
        <f>VLOOKUP(B72,'EXPORT IRIS PROD 13-11-2024'!A:A,1,0)</f>
        <v>ALR_CENTRALINA-Allarme centralina rilevazione incendio</v>
      </c>
      <c r="E72" t="str">
        <f>VLOOKUP(H72,'EXPORT IRIS PROD 13-11-2024'!F:F,1,0)</f>
        <v>ALR_CENTRALINA</v>
      </c>
      <c r="F72" t="str">
        <f>VLOOKUP(I72,'EXPORT IRIS PROD 13-11-2024'!D:D,1,0)</f>
        <v>Allarme centralina rilevazione incendio</v>
      </c>
      <c r="G72" s="37" t="s">
        <v>105</v>
      </c>
      <c r="H72" s="38" t="s">
        <v>196</v>
      </c>
      <c r="I72" s="45" t="s">
        <v>197</v>
      </c>
      <c r="J72" s="46" t="s">
        <v>43</v>
      </c>
      <c r="K72" s="46" t="s">
        <v>108</v>
      </c>
      <c r="L72" s="47" t="s">
        <v>31</v>
      </c>
      <c r="M72" s="48" t="s">
        <v>32</v>
      </c>
      <c r="N72" s="43">
        <v>2</v>
      </c>
      <c r="O72" s="43" t="s">
        <v>24</v>
      </c>
      <c r="P72" s="43" t="s">
        <v>25</v>
      </c>
      <c r="Q72" s="42" t="s">
        <v>21</v>
      </c>
      <c r="R72" s="49"/>
    </row>
    <row r="73" spans="1:18" customFormat="1" ht="15" customHeight="1" x14ac:dyDescent="0.25">
      <c r="A73" t="str">
        <f t="shared" si="2"/>
        <v>Impianto Videosorveglianza_Centralina Contamezzi_ALR_CENTRALINA_NON_PRONTA-Allarme centralina non pronta</v>
      </c>
      <c r="B73" t="str">
        <f t="shared" si="3"/>
        <v>ALR_CENTRALINA_NON_PRONTA-Allarme centralina non pronta</v>
      </c>
      <c r="C73" t="str">
        <f>VLOOKUP(B73,'[2]Classi allarmi RMT-STIG_rev4'!$C:$C,1,0)</f>
        <v>ALR_CENTRALINA_NON_PRONTA-Allarme centralina non pronta</v>
      </c>
      <c r="D73" t="str">
        <f>VLOOKUP(B73,'EXPORT IRIS PROD 13-11-2024'!A:A,1,0)</f>
        <v>ALR_CENTRALINA_NON_PRONTA-Allarme centralina non pronta</v>
      </c>
      <c r="E73" t="str">
        <f>VLOOKUP(H73,'EXPORT IRIS PROD 13-11-2024'!F:F,1,0)</f>
        <v>ALR_CENTRALINA_NON_PRONTA</v>
      </c>
      <c r="F73" t="str">
        <f>VLOOKUP(I73,'EXPORT IRIS PROD 13-11-2024'!D:D,1,0)</f>
        <v>Allarme centralina non pronta</v>
      </c>
      <c r="G73" s="37" t="s">
        <v>198</v>
      </c>
      <c r="H73" s="38" t="s">
        <v>199</v>
      </c>
      <c r="I73" s="38" t="s">
        <v>200</v>
      </c>
      <c r="J73" s="39" t="s">
        <v>201</v>
      </c>
      <c r="K73" s="39" t="s">
        <v>202</v>
      </c>
      <c r="L73" s="40" t="s">
        <v>21</v>
      </c>
      <c r="M73" s="41" t="s">
        <v>22</v>
      </c>
      <c r="N73" s="42" t="s">
        <v>23</v>
      </c>
      <c r="O73" s="43" t="s">
        <v>24</v>
      </c>
      <c r="P73" s="42" t="s">
        <v>25</v>
      </c>
      <c r="Q73" s="42" t="s">
        <v>21</v>
      </c>
      <c r="R73" s="44"/>
    </row>
    <row r="74" spans="1:18" ht="15" customHeight="1" x14ac:dyDescent="0.25">
      <c r="A74" t="str">
        <f t="shared" si="2"/>
        <v>Impianto Elettrico_Centralina scambio_ALR_CENTRALINA_SCAMBIO_RETE_GRUPPO-Allarme centralina scambio rete gruppo</v>
      </c>
      <c r="B74" t="str">
        <f t="shared" si="3"/>
        <v>ALR_CENTRALINA_SCAMBIO_RETE_GRUPPO-Allarme centralina scambio rete gruppo</v>
      </c>
      <c r="C74" t="str">
        <f>VLOOKUP(B74,'[2]Classi allarmi RMT-STIG_rev4'!$C:$C,1,0)</f>
        <v>ALR_CENTRALINA_SCAMBIO_RETE_GRUPPO-Allarme centralina scambio rete gruppo</v>
      </c>
      <c r="D74" t="str">
        <f>VLOOKUP(B74,'EXPORT IRIS PROD 13-11-2024'!A:A,1,0)</f>
        <v>ALR_CENTRALINA_SCAMBIO_RETE_GRUPPO-Allarme centralina scambio rete gruppo</v>
      </c>
      <c r="E74" t="str">
        <f>VLOOKUP(H74,'EXPORT IRIS PROD 13-11-2024'!F:F,1,0)</f>
        <v>ALR_CENTRALINA_SCAMBIO_RETE_GRUPPO</v>
      </c>
      <c r="F74" t="str">
        <f>VLOOKUP(I74,'EXPORT IRIS PROD 13-11-2024'!D:D,1,0)</f>
        <v>Allarme centralina scambio rete gruppo</v>
      </c>
      <c r="G74" s="37" t="s">
        <v>53</v>
      </c>
      <c r="H74" s="38" t="s">
        <v>203</v>
      </c>
      <c r="I74" s="45" t="s">
        <v>204</v>
      </c>
      <c r="J74" s="46" t="s">
        <v>56</v>
      </c>
      <c r="K74" s="46" t="s">
        <v>205</v>
      </c>
      <c r="L74" s="47" t="s">
        <v>31</v>
      </c>
      <c r="M74" s="48" t="s">
        <v>32</v>
      </c>
      <c r="N74" s="43">
        <v>2</v>
      </c>
      <c r="O74" s="43" t="s">
        <v>24</v>
      </c>
      <c r="P74" s="43" t="s">
        <v>25</v>
      </c>
      <c r="Q74" s="42" t="s">
        <v>21</v>
      </c>
      <c r="R74" s="49"/>
    </row>
    <row r="75" spans="1:18" customFormat="1" ht="15" customHeight="1" x14ac:dyDescent="0.25">
      <c r="A75" t="str">
        <f t="shared" si="2"/>
        <v>Impianto Elettrico_Trasformatore_ALR_CENTRALINA_TRAFO-Allarme centralina Trasformatore</v>
      </c>
      <c r="B75" t="str">
        <f t="shared" si="3"/>
        <v>ALR_CENTRALINA_TRAFO-Allarme centralina Trasformatore</v>
      </c>
      <c r="C75" t="str">
        <f>VLOOKUP(B75,'[2]Classi allarmi RMT-STIG_rev4'!$C:$C,1,0)</f>
        <v>ALR_CENTRALINA_TRAFO-Allarme centralina Trasformatore</v>
      </c>
      <c r="D75" t="str">
        <f>VLOOKUP(B75,'EXPORT IRIS PROD 13-11-2024'!A:A,1,0)</f>
        <v>ALR_CENTRALINA_TRAFO-Allarme centralina Trasformatore</v>
      </c>
      <c r="E75" t="str">
        <f>VLOOKUP(H75,'EXPORT IRIS PROD 13-11-2024'!F:F,1,0)</f>
        <v>ALR_CENTRALINA_TRAFO</v>
      </c>
      <c r="F75" t="str">
        <f>VLOOKUP(I75,'EXPORT IRIS PROD 13-11-2024'!D:D,1,0)</f>
        <v>Allarme centralina Trasformatore</v>
      </c>
      <c r="G75" s="37" t="s">
        <v>53</v>
      </c>
      <c r="H75" s="38" t="s">
        <v>206</v>
      </c>
      <c r="I75" s="38" t="s">
        <v>207</v>
      </c>
      <c r="J75" s="39" t="s">
        <v>56</v>
      </c>
      <c r="K75" s="39" t="s">
        <v>208</v>
      </c>
      <c r="L75" s="40" t="s">
        <v>21</v>
      </c>
      <c r="M75" s="41" t="s">
        <v>22</v>
      </c>
      <c r="N75" s="42" t="s">
        <v>23</v>
      </c>
      <c r="O75" s="43" t="s">
        <v>24</v>
      </c>
      <c r="P75" s="42" t="s">
        <v>25</v>
      </c>
      <c r="Q75" s="42" t="s">
        <v>21</v>
      </c>
      <c r="R75" s="44"/>
    </row>
    <row r="76" spans="1:18" customFormat="1" ht="15" customHeight="1" x14ac:dyDescent="0.25">
      <c r="A76" t="str">
        <f t="shared" si="2"/>
        <v>Impianto Elettrico_Gruppo elettrogeno_ALR_CHIUSURA_IMMOTIVATA_GCB-Allarme chiusura immotivata contattore generatore</v>
      </c>
      <c r="B76" t="str">
        <f t="shared" si="3"/>
        <v>ALR_CHIUSURA_IMMOTIVATA_GCB-Allarme chiusura immotivata contattore generatore</v>
      </c>
      <c r="C76" t="str">
        <f>VLOOKUP(B76,'[2]Classi allarmi RMT-STIG_rev4'!$C:$C,1,0)</f>
        <v>ALR_CHIUSURA_IMMOTIVATA_GCB-Allarme chiusura immotivata contattore generatore</v>
      </c>
      <c r="D76" t="str">
        <f>VLOOKUP(B76,'EXPORT IRIS PROD 13-11-2024'!A:A,1,0)</f>
        <v>ALR_CHIUSURA_IMMOTIVATA_GCB-Allarme chiusura immotivata contattore generatore</v>
      </c>
      <c r="E76" t="str">
        <f>VLOOKUP(H76,'EXPORT IRIS PROD 13-11-2024'!F:F,1,0)</f>
        <v>ALR_CHIUSURA_IMMOTIVATA_GCB</v>
      </c>
      <c r="F76" t="str">
        <f>VLOOKUP(I76,'EXPORT IRIS PROD 13-11-2024'!D:D,1,0)</f>
        <v>Allarme chiusura immotivata contattore generatore</v>
      </c>
      <c r="G76" s="37" t="s">
        <v>53</v>
      </c>
      <c r="H76" s="38" t="s">
        <v>209</v>
      </c>
      <c r="I76" s="38" t="s">
        <v>210</v>
      </c>
      <c r="J76" s="39" t="s">
        <v>56</v>
      </c>
      <c r="K76" s="39" t="s">
        <v>57</v>
      </c>
      <c r="L76" s="40" t="s">
        <v>21</v>
      </c>
      <c r="M76" s="41" t="s">
        <v>22</v>
      </c>
      <c r="N76" s="42" t="s">
        <v>23</v>
      </c>
      <c r="O76" s="43" t="s">
        <v>24</v>
      </c>
      <c r="P76" s="42" t="s">
        <v>25</v>
      </c>
      <c r="Q76" s="42" t="s">
        <v>21</v>
      </c>
      <c r="R76" s="44"/>
    </row>
    <row r="77" spans="1:18" customFormat="1" ht="15" customHeight="1" x14ac:dyDescent="0.25">
      <c r="A77" t="str">
        <f t="shared" si="2"/>
        <v>Impianto Elettrico_Gruppo elettrogeno_ALR_CHIUSURA_IMMOTIVATA_MCB-Allarme chiusura immotivata contattore di rete</v>
      </c>
      <c r="B77" t="str">
        <f t="shared" si="3"/>
        <v>ALR_CHIUSURA_IMMOTIVATA_MCB-Allarme chiusura immotivata contattore di rete</v>
      </c>
      <c r="C77" t="str">
        <f>VLOOKUP(B77,'[2]Classi allarmi RMT-STIG_rev4'!$C:$C,1,0)</f>
        <v>ALR_CHIUSURA_IMMOTIVATA_MCB-Allarme chiusura immotivata contattore di rete</v>
      </c>
      <c r="D77" t="str">
        <f>VLOOKUP(B77,'EXPORT IRIS PROD 13-11-2024'!A:A,1,0)</f>
        <v>ALR_CHIUSURA_IMMOTIVATA_MCB-Allarme chiusura immotivata contattore di rete</v>
      </c>
      <c r="E77" t="str">
        <f>VLOOKUP(H77,'EXPORT IRIS PROD 13-11-2024'!F:F,1,0)</f>
        <v>ALR_CHIUSURA_IMMOTIVATA_MCB</v>
      </c>
      <c r="F77" t="str">
        <f>VLOOKUP(I77,'EXPORT IRIS PROD 13-11-2024'!D:D,1,0)</f>
        <v>Allarme chiusura immotivata contattore di rete</v>
      </c>
      <c r="G77" s="37" t="s">
        <v>53</v>
      </c>
      <c r="H77" s="38" t="s">
        <v>211</v>
      </c>
      <c r="I77" s="38" t="s">
        <v>212</v>
      </c>
      <c r="J77" s="39" t="s">
        <v>56</v>
      </c>
      <c r="K77" s="39" t="s">
        <v>57</v>
      </c>
      <c r="L77" s="40" t="s">
        <v>21</v>
      </c>
      <c r="M77" s="41" t="s">
        <v>22</v>
      </c>
      <c r="N77" s="42" t="s">
        <v>23</v>
      </c>
      <c r="O77" s="43" t="s">
        <v>24</v>
      </c>
      <c r="P77" s="42" t="s">
        <v>25</v>
      </c>
      <c r="Q77" s="42" t="s">
        <v>21</v>
      </c>
      <c r="R77" s="44"/>
    </row>
    <row r="78" spans="1:18" customFormat="1" ht="15" customHeight="1" x14ac:dyDescent="0.25">
      <c r="A78" t="str">
        <f t="shared" si="2"/>
        <v>Impianto Ventilazione_CO_ALR_CO_DIR_NORD_CASO_A-Allarme CO caso A dir. nord</v>
      </c>
      <c r="B78" t="str">
        <f t="shared" si="3"/>
        <v>ALR_CO_DIR_NORD_CASO_A-Allarme CO caso A dir. nord</v>
      </c>
      <c r="C78" t="str">
        <f>VLOOKUP(B78,'[2]Classi allarmi RMT-STIG_rev4'!$C:$C,1,0)</f>
        <v>ALR_CO_DIR_NORD_CASO_A-Allarme CO caso A dir. nord</v>
      </c>
      <c r="D78" t="str">
        <f>VLOOKUP(B78,'EXPORT IRIS PROD 13-11-2024'!A:A,1,0)</f>
        <v>ALR_CO_DIR_NORD_CASO_A-Allarme CO caso A dir. nord</v>
      </c>
      <c r="E78" t="str">
        <f>VLOOKUP(H78,'EXPORT IRIS PROD 13-11-2024'!F:F,1,0)</f>
        <v>ALR_CO_DIR_NORD_CASO_A</v>
      </c>
      <c r="F78" t="str">
        <f>VLOOKUP(I78,'EXPORT IRIS PROD 13-11-2024'!D:D,1,0)</f>
        <v>Allarme CO caso A dir. nord</v>
      </c>
      <c r="G78" s="37" t="s">
        <v>213</v>
      </c>
      <c r="H78" s="38" t="s">
        <v>214</v>
      </c>
      <c r="I78" s="38" t="s">
        <v>215</v>
      </c>
      <c r="J78" s="39" t="s">
        <v>50</v>
      </c>
      <c r="K78" s="39" t="s">
        <v>51</v>
      </c>
      <c r="L78" s="40" t="s">
        <v>31</v>
      </c>
      <c r="M78" s="48" t="s">
        <v>32</v>
      </c>
      <c r="N78" s="42">
        <v>3</v>
      </c>
      <c r="O78" s="43" t="s">
        <v>24</v>
      </c>
      <c r="P78" s="43" t="s">
        <v>25</v>
      </c>
      <c r="Q78" s="42" t="s">
        <v>21</v>
      </c>
      <c r="R78" s="44"/>
    </row>
    <row r="79" spans="1:18" customFormat="1" ht="15" customHeight="1" x14ac:dyDescent="0.25">
      <c r="A79" t="str">
        <f t="shared" si="2"/>
        <v>Impianto Ventilazione_CO_ALR_CO_DIR_NORD_CASO_B-Allarme CO caso B dir. nord</v>
      </c>
      <c r="B79" t="str">
        <f t="shared" si="3"/>
        <v>ALR_CO_DIR_NORD_CASO_B-Allarme CO caso B dir. nord</v>
      </c>
      <c r="C79" t="str">
        <f>VLOOKUP(B79,'[2]Classi allarmi RMT-STIG_rev4'!$C:$C,1,0)</f>
        <v>ALR_CO_DIR_NORD_CASO_B-Allarme CO caso B dir. nord</v>
      </c>
      <c r="D79" t="str">
        <f>VLOOKUP(B79,'EXPORT IRIS PROD 13-11-2024'!A:A,1,0)</f>
        <v>ALR_CO_DIR_NORD_CASO_B-Allarme CO caso B dir. nord</v>
      </c>
      <c r="E79" t="str">
        <f>VLOOKUP(H79,'EXPORT IRIS PROD 13-11-2024'!F:F,1,0)</f>
        <v>ALR_CO_DIR_NORD_CASO_B</v>
      </c>
      <c r="F79" t="str">
        <f>VLOOKUP(I79,'EXPORT IRIS PROD 13-11-2024'!D:D,1,0)</f>
        <v>Allarme CO caso B dir. nord</v>
      </c>
      <c r="G79" s="37" t="s">
        <v>213</v>
      </c>
      <c r="H79" s="38" t="s">
        <v>216</v>
      </c>
      <c r="I79" s="38" t="s">
        <v>217</v>
      </c>
      <c r="J79" s="39" t="s">
        <v>50</v>
      </c>
      <c r="K79" s="39" t="s">
        <v>51</v>
      </c>
      <c r="L79" s="40" t="s">
        <v>31</v>
      </c>
      <c r="M79" s="48" t="s">
        <v>32</v>
      </c>
      <c r="N79" s="42">
        <v>3</v>
      </c>
      <c r="O79" s="43" t="s">
        <v>157</v>
      </c>
      <c r="P79" s="43" t="s">
        <v>158</v>
      </c>
      <c r="Q79" s="42" t="s">
        <v>21</v>
      </c>
      <c r="R79" s="44"/>
    </row>
    <row r="80" spans="1:18" customFormat="1" ht="15" customHeight="1" x14ac:dyDescent="0.25">
      <c r="A80" t="str">
        <f t="shared" si="2"/>
        <v>Impianto Ventilazione_CO_ALR_CO_DIR_NORD_CASO_C-Allarme CO caso C dir. nord</v>
      </c>
      <c r="B80" t="str">
        <f t="shared" si="3"/>
        <v>ALR_CO_DIR_NORD_CASO_C-Allarme CO caso C dir. nord</v>
      </c>
      <c r="C80" t="str">
        <f>VLOOKUP(B80,'[2]Classi allarmi RMT-STIG_rev4'!$C:$C,1,0)</f>
        <v>ALR_CO_DIR_NORD_CASO_C-Allarme CO caso C dir. nord</v>
      </c>
      <c r="D80" t="str">
        <f>VLOOKUP(B80,'EXPORT IRIS PROD 13-11-2024'!A:A,1,0)</f>
        <v>ALR_CO_DIR_NORD_CASO_C-Allarme CO caso C dir. nord</v>
      </c>
      <c r="E80" t="str">
        <f>VLOOKUP(H80,'EXPORT IRIS PROD 13-11-2024'!F:F,1,0)</f>
        <v>ALR_CO_DIR_NORD_CASO_C</v>
      </c>
      <c r="F80" t="str">
        <f>VLOOKUP(I80,'EXPORT IRIS PROD 13-11-2024'!D:D,1,0)</f>
        <v>Allarme CO caso C dir. nord</v>
      </c>
      <c r="G80" s="37" t="s">
        <v>213</v>
      </c>
      <c r="H80" s="38" t="s">
        <v>218</v>
      </c>
      <c r="I80" s="38" t="s">
        <v>219</v>
      </c>
      <c r="J80" s="39" t="s">
        <v>50</v>
      </c>
      <c r="K80" s="39" t="s">
        <v>51</v>
      </c>
      <c r="L80" s="40" t="s">
        <v>31</v>
      </c>
      <c r="M80" s="48" t="s">
        <v>32</v>
      </c>
      <c r="N80" s="43">
        <v>2</v>
      </c>
      <c r="O80" s="43" t="s">
        <v>45</v>
      </c>
      <c r="P80" s="43" t="s">
        <v>46</v>
      </c>
      <c r="Q80" s="43" t="s">
        <v>31</v>
      </c>
      <c r="R80" s="49"/>
    </row>
    <row r="81" spans="1:18" customFormat="1" ht="15" customHeight="1" x14ac:dyDescent="0.25">
      <c r="A81" t="str">
        <f t="shared" si="2"/>
        <v>Impianto Ventilazione_CO_ALR_CO_DIR_SUD_CASO_A-Allarme CO caso A dir. sud</v>
      </c>
      <c r="B81" t="str">
        <f t="shared" si="3"/>
        <v>ALR_CO_DIR_SUD_CASO_A-Allarme CO caso A dir. sud</v>
      </c>
      <c r="C81" t="str">
        <f>VLOOKUP(B81,'[2]Classi allarmi RMT-STIG_rev4'!$C:$C,1,0)</f>
        <v>ALR_CO_DIR_SUD_CASO_A-Allarme CO caso A dir. sud</v>
      </c>
      <c r="D81" t="str">
        <f>VLOOKUP(B81,'EXPORT IRIS PROD 13-11-2024'!A:A,1,0)</f>
        <v>ALR_CO_DIR_SUD_CASO_A-Allarme CO caso A dir. sud</v>
      </c>
      <c r="E81" t="str">
        <f>VLOOKUP(H81,'EXPORT IRIS PROD 13-11-2024'!F:F,1,0)</f>
        <v>ALR_CO_DIR_SUD_CASO_A</v>
      </c>
      <c r="F81" t="str">
        <f>VLOOKUP(I81,'EXPORT IRIS PROD 13-11-2024'!D:D,1,0)</f>
        <v>Allarme CO caso A dir. sud</v>
      </c>
      <c r="G81" s="37" t="s">
        <v>213</v>
      </c>
      <c r="H81" s="38" t="s">
        <v>220</v>
      </c>
      <c r="I81" s="38" t="s">
        <v>221</v>
      </c>
      <c r="J81" s="39" t="s">
        <v>50</v>
      </c>
      <c r="K81" s="39" t="s">
        <v>51</v>
      </c>
      <c r="L81" s="40" t="s">
        <v>31</v>
      </c>
      <c r="M81" s="48" t="s">
        <v>32</v>
      </c>
      <c r="N81" s="42">
        <v>3</v>
      </c>
      <c r="O81" s="43" t="s">
        <v>24</v>
      </c>
      <c r="P81" s="43" t="s">
        <v>25</v>
      </c>
      <c r="Q81" s="42" t="s">
        <v>21</v>
      </c>
      <c r="R81" s="44"/>
    </row>
    <row r="82" spans="1:18" customFormat="1" ht="15" customHeight="1" x14ac:dyDescent="0.25">
      <c r="A82" t="str">
        <f t="shared" si="2"/>
        <v>Impianto Ventilazione_CO_ALR_CO_DIR_SUD_CASO_B-Allarme CO caso B dir. sud</v>
      </c>
      <c r="B82" t="str">
        <f t="shared" si="3"/>
        <v>ALR_CO_DIR_SUD_CASO_B-Allarme CO caso B dir. sud</v>
      </c>
      <c r="C82" t="str">
        <f>VLOOKUP(B82,'[2]Classi allarmi RMT-STIG_rev4'!$C:$C,1,0)</f>
        <v>ALR_CO_DIR_SUD_CASO_B-Allarme CO caso B dir. sud</v>
      </c>
      <c r="D82" t="str">
        <f>VLOOKUP(B82,'EXPORT IRIS PROD 13-11-2024'!A:A,1,0)</f>
        <v>ALR_CO_DIR_SUD_CASO_B-Allarme CO caso B dir. sud</v>
      </c>
      <c r="E82" t="str">
        <f>VLOOKUP(H82,'EXPORT IRIS PROD 13-11-2024'!F:F,1,0)</f>
        <v>ALR_CO_DIR_SUD_CASO_B</v>
      </c>
      <c r="F82" t="str">
        <f>VLOOKUP(I82,'EXPORT IRIS PROD 13-11-2024'!D:D,1,0)</f>
        <v>Allarme CO caso B dir. sud</v>
      </c>
      <c r="G82" s="37" t="s">
        <v>213</v>
      </c>
      <c r="H82" s="38" t="s">
        <v>222</v>
      </c>
      <c r="I82" s="38" t="s">
        <v>223</v>
      </c>
      <c r="J82" s="39" t="s">
        <v>50</v>
      </c>
      <c r="K82" s="39" t="s">
        <v>51</v>
      </c>
      <c r="L82" s="40" t="s">
        <v>31</v>
      </c>
      <c r="M82" s="48" t="s">
        <v>32</v>
      </c>
      <c r="N82" s="42">
        <v>3</v>
      </c>
      <c r="O82" s="43" t="s">
        <v>157</v>
      </c>
      <c r="P82" s="43" t="s">
        <v>158</v>
      </c>
      <c r="Q82" s="42" t="s">
        <v>21</v>
      </c>
      <c r="R82" s="44"/>
    </row>
    <row r="83" spans="1:18" customFormat="1" ht="15" customHeight="1" x14ac:dyDescent="0.25">
      <c r="A83" t="str">
        <f t="shared" si="2"/>
        <v>Impianto Ventilazione_CO_ALR_CO_DIR_SUD_CASO_C-Allarme CO caso C dir. sud</v>
      </c>
      <c r="B83" t="str">
        <f t="shared" si="3"/>
        <v>ALR_CO_DIR_SUD_CASO_C-Allarme CO caso C dir. sud</v>
      </c>
      <c r="C83" t="str">
        <f>VLOOKUP(B83,'[2]Classi allarmi RMT-STIG_rev4'!$C:$C,1,0)</f>
        <v>ALR_CO_DIR_SUD_CASO_C-Allarme CO caso C dir. sud</v>
      </c>
      <c r="D83" t="str">
        <f>VLOOKUP(B83,'EXPORT IRIS PROD 13-11-2024'!A:A,1,0)</f>
        <v>ALR_CO_DIR_SUD_CASO_C-Allarme CO caso C dir. sud</v>
      </c>
      <c r="E83" t="str">
        <f>VLOOKUP(H83,'EXPORT IRIS PROD 13-11-2024'!F:F,1,0)</f>
        <v>ALR_CO_DIR_SUD_CASO_C</v>
      </c>
      <c r="F83" t="str">
        <f>VLOOKUP(I83,'EXPORT IRIS PROD 13-11-2024'!D:D,1,0)</f>
        <v>Allarme CO caso C dir. sud</v>
      </c>
      <c r="G83" s="37" t="s">
        <v>213</v>
      </c>
      <c r="H83" s="38" t="s">
        <v>224</v>
      </c>
      <c r="I83" s="38" t="s">
        <v>225</v>
      </c>
      <c r="J83" s="39" t="s">
        <v>50</v>
      </c>
      <c r="K83" s="39" t="s">
        <v>51</v>
      </c>
      <c r="L83" s="40" t="s">
        <v>31</v>
      </c>
      <c r="M83" s="48" t="s">
        <v>32</v>
      </c>
      <c r="N83" s="43">
        <v>2</v>
      </c>
      <c r="O83" s="43" t="s">
        <v>45</v>
      </c>
      <c r="P83" s="43" t="s">
        <v>46</v>
      </c>
      <c r="Q83" s="43" t="s">
        <v>31</v>
      </c>
      <c r="R83" s="49"/>
    </row>
    <row r="84" spans="1:18" customFormat="1" ht="15" customHeight="1" x14ac:dyDescent="0.25">
      <c r="A84" t="str">
        <f t="shared" si="2"/>
        <v>Impianto Ventilazione_CO-OP_ALR_CO_OP_DIR_NORD_CASO_A-Allarme CO-OP caso A dir. nord</v>
      </c>
      <c r="B84" t="str">
        <f t="shared" si="3"/>
        <v>ALR_CO_OP_DIR_NORD_CASO_A-Allarme CO-OP caso A dir. nord</v>
      </c>
      <c r="C84" t="str">
        <f>VLOOKUP(B84,'[2]Classi allarmi RMT-STIG_rev4'!$C:$C,1,0)</f>
        <v>ALR_CO_OP_DIR_NORD_CASO_A-Allarme CO-OP caso A dir. nord</v>
      </c>
      <c r="D84" t="str">
        <f>VLOOKUP(B84,'EXPORT IRIS PROD 13-11-2024'!A:A,1,0)</f>
        <v>ALR_CO_OP_DIR_NORD_CASO_A-Allarme CO-OP caso A dir. nord</v>
      </c>
      <c r="E84" t="str">
        <f>VLOOKUP(H84,'EXPORT IRIS PROD 13-11-2024'!F:F,1,0)</f>
        <v>ALR_CO_OP_DIR_NORD_CASO_A</v>
      </c>
      <c r="F84" t="str">
        <f>VLOOKUP(I84,'EXPORT IRIS PROD 13-11-2024'!D:D,1,0)</f>
        <v>Allarme CO-OP caso A dir. nord</v>
      </c>
      <c r="G84" s="37" t="s">
        <v>213</v>
      </c>
      <c r="H84" s="38" t="s">
        <v>226</v>
      </c>
      <c r="I84" s="38" t="s">
        <v>227</v>
      </c>
      <c r="J84" s="39" t="s">
        <v>50</v>
      </c>
      <c r="K84" s="39" t="s">
        <v>228</v>
      </c>
      <c r="L84" s="40" t="s">
        <v>31</v>
      </c>
      <c r="M84" s="48" t="s">
        <v>32</v>
      </c>
      <c r="N84" s="42">
        <v>3</v>
      </c>
      <c r="O84" s="43" t="s">
        <v>24</v>
      </c>
      <c r="P84" s="43" t="s">
        <v>25</v>
      </c>
      <c r="Q84" s="42" t="s">
        <v>21</v>
      </c>
      <c r="R84" s="44"/>
    </row>
    <row r="85" spans="1:18" customFormat="1" ht="15" customHeight="1" x14ac:dyDescent="0.25">
      <c r="A85" t="str">
        <f t="shared" si="2"/>
        <v>Impianto Ventilazione_CO-OP_ALR_CO_OP_DIR_NORD_CASO_B-Allarme CO-OP caso B dir. nord</v>
      </c>
      <c r="B85" t="str">
        <f t="shared" si="3"/>
        <v>ALR_CO_OP_DIR_NORD_CASO_B-Allarme CO-OP caso B dir. nord</v>
      </c>
      <c r="C85" t="str">
        <f>VLOOKUP(B85,'[2]Classi allarmi RMT-STIG_rev4'!$C:$C,1,0)</f>
        <v>ALR_CO_OP_DIR_NORD_CASO_B-Allarme CO-OP caso B dir. nord</v>
      </c>
      <c r="D85" t="str">
        <f>VLOOKUP(B85,'EXPORT IRIS PROD 13-11-2024'!A:A,1,0)</f>
        <v>ALR_CO_OP_DIR_NORD_CASO_B-Allarme CO-OP caso B dir. nord</v>
      </c>
      <c r="E85" t="str">
        <f>VLOOKUP(H85,'EXPORT IRIS PROD 13-11-2024'!F:F,1,0)</f>
        <v>ALR_CO_OP_DIR_NORD_CASO_B</v>
      </c>
      <c r="F85" t="str">
        <f>VLOOKUP(I85,'EXPORT IRIS PROD 13-11-2024'!D:D,1,0)</f>
        <v>Allarme CO-OP caso B dir. nord</v>
      </c>
      <c r="G85" s="37" t="s">
        <v>213</v>
      </c>
      <c r="H85" s="38" t="s">
        <v>229</v>
      </c>
      <c r="I85" s="38" t="s">
        <v>230</v>
      </c>
      <c r="J85" s="39" t="s">
        <v>50</v>
      </c>
      <c r="K85" s="39" t="s">
        <v>228</v>
      </c>
      <c r="L85" s="40" t="s">
        <v>31</v>
      </c>
      <c r="M85" s="48" t="s">
        <v>32</v>
      </c>
      <c r="N85" s="42">
        <v>3</v>
      </c>
      <c r="O85" s="43" t="s">
        <v>157</v>
      </c>
      <c r="P85" s="43" t="s">
        <v>158</v>
      </c>
      <c r="Q85" s="42" t="s">
        <v>21</v>
      </c>
      <c r="R85" s="44"/>
    </row>
    <row r="86" spans="1:18" customFormat="1" ht="15" customHeight="1" x14ac:dyDescent="0.25">
      <c r="A86" t="str">
        <f t="shared" si="2"/>
        <v>Impianto Ventilazione_CO-OP_ALR_CO_OP_DIR_NORD_CASO_C-Allarme CO-OP caso C dir. nord</v>
      </c>
      <c r="B86" t="str">
        <f t="shared" si="3"/>
        <v>ALR_CO_OP_DIR_NORD_CASO_C-Allarme CO-OP caso C dir. nord</v>
      </c>
      <c r="C86" t="str">
        <f>VLOOKUP(B86,'[2]Classi allarmi RMT-STIG_rev4'!$C:$C,1,0)</f>
        <v>ALR_CO_OP_DIR_NORD_CASO_C-Allarme CO-OP caso C dir. nord</v>
      </c>
      <c r="D86" t="str">
        <f>VLOOKUP(B86,'EXPORT IRIS PROD 13-11-2024'!A:A,1,0)</f>
        <v>ALR_CO_OP_DIR_NORD_CASO_C-Allarme CO-OP caso C dir. nord</v>
      </c>
      <c r="E86" t="str">
        <f>VLOOKUP(H86,'EXPORT IRIS PROD 13-11-2024'!F:F,1,0)</f>
        <v>ALR_CO_OP_DIR_NORD_CASO_C</v>
      </c>
      <c r="F86" t="str">
        <f>VLOOKUP(I86,'EXPORT IRIS PROD 13-11-2024'!D:D,1,0)</f>
        <v>Allarme CO-OP caso C dir. nord</v>
      </c>
      <c r="G86" s="37" t="s">
        <v>213</v>
      </c>
      <c r="H86" s="38" t="s">
        <v>231</v>
      </c>
      <c r="I86" s="38" t="s">
        <v>232</v>
      </c>
      <c r="J86" s="39" t="s">
        <v>50</v>
      </c>
      <c r="K86" s="39" t="s">
        <v>228</v>
      </c>
      <c r="L86" s="40" t="s">
        <v>31</v>
      </c>
      <c r="M86" s="48" t="s">
        <v>32</v>
      </c>
      <c r="N86" s="43">
        <v>2</v>
      </c>
      <c r="O86" s="43" t="s">
        <v>45</v>
      </c>
      <c r="P86" s="43" t="s">
        <v>46</v>
      </c>
      <c r="Q86" s="43" t="s">
        <v>31</v>
      </c>
      <c r="R86" s="49"/>
    </row>
    <row r="87" spans="1:18" customFormat="1" ht="15" customHeight="1" x14ac:dyDescent="0.25">
      <c r="A87" t="str">
        <f t="shared" si="2"/>
        <v>Impianto Ventilazione_CO-OP_ALR_CO_OP_DIR_SUD_CASO_A-Allarme CO-OP caso A dir. sud</v>
      </c>
      <c r="B87" t="str">
        <f t="shared" si="3"/>
        <v>ALR_CO_OP_DIR_SUD_CASO_A-Allarme CO-OP caso A dir. sud</v>
      </c>
      <c r="C87" t="str">
        <f>VLOOKUP(B87,'[2]Classi allarmi RMT-STIG_rev4'!$C:$C,1,0)</f>
        <v>ALR_CO_OP_DIR_SUD_CASO_A-Allarme CO-OP caso A dir. sud</v>
      </c>
      <c r="D87" t="str">
        <f>VLOOKUP(B87,'EXPORT IRIS PROD 13-11-2024'!A:A,1,0)</f>
        <v>ALR_CO_OP_DIR_SUD_CASO_A-Allarme CO-OP caso A dir. sud</v>
      </c>
      <c r="E87" t="str">
        <f>VLOOKUP(H87,'EXPORT IRIS PROD 13-11-2024'!F:F,1,0)</f>
        <v>ALR_CO_OP_DIR_SUD_CASO_A</v>
      </c>
      <c r="F87" t="str">
        <f>VLOOKUP(I87,'EXPORT IRIS PROD 13-11-2024'!D:D,1,0)</f>
        <v>Allarme CO-OP caso A dir. sud</v>
      </c>
      <c r="G87" s="37" t="s">
        <v>213</v>
      </c>
      <c r="H87" s="38" t="s">
        <v>233</v>
      </c>
      <c r="I87" s="38" t="s">
        <v>234</v>
      </c>
      <c r="J87" s="39" t="s">
        <v>50</v>
      </c>
      <c r="K87" s="39" t="s">
        <v>228</v>
      </c>
      <c r="L87" s="40" t="s">
        <v>31</v>
      </c>
      <c r="M87" s="48" t="s">
        <v>32</v>
      </c>
      <c r="N87" s="42">
        <v>3</v>
      </c>
      <c r="O87" s="43" t="s">
        <v>24</v>
      </c>
      <c r="P87" s="43" t="s">
        <v>25</v>
      </c>
      <c r="Q87" s="42" t="s">
        <v>21</v>
      </c>
      <c r="R87" s="44"/>
    </row>
    <row r="88" spans="1:18" customFormat="1" ht="15" customHeight="1" x14ac:dyDescent="0.25">
      <c r="A88" t="str">
        <f t="shared" si="2"/>
        <v>Impianto Ventilazione_CO-OP_ALR_CO_OP_DIR_SUD_CASO_B-Allarme CO-OP caso B dir. sud</v>
      </c>
      <c r="B88" t="str">
        <f t="shared" si="3"/>
        <v>ALR_CO_OP_DIR_SUD_CASO_B-Allarme CO-OP caso B dir. sud</v>
      </c>
      <c r="C88" t="str">
        <f>VLOOKUP(B88,'[2]Classi allarmi RMT-STIG_rev4'!$C:$C,1,0)</f>
        <v>ALR_CO_OP_DIR_SUD_CASO_B-Allarme CO-OP caso B dir. sud</v>
      </c>
      <c r="D88" t="str">
        <f>VLOOKUP(B88,'EXPORT IRIS PROD 13-11-2024'!A:A,1,0)</f>
        <v>ALR_CO_OP_DIR_SUD_CASO_B-Allarme CO-OP caso B dir. sud</v>
      </c>
      <c r="E88" t="str">
        <f>VLOOKUP(H88,'EXPORT IRIS PROD 13-11-2024'!F:F,1,0)</f>
        <v>ALR_CO_OP_DIR_SUD_CASO_B</v>
      </c>
      <c r="F88" t="str">
        <f>VLOOKUP(I88,'EXPORT IRIS PROD 13-11-2024'!D:D,1,0)</f>
        <v>Allarme CO-OP caso B dir. sud</v>
      </c>
      <c r="G88" s="37" t="s">
        <v>213</v>
      </c>
      <c r="H88" s="38" t="s">
        <v>235</v>
      </c>
      <c r="I88" s="38" t="s">
        <v>236</v>
      </c>
      <c r="J88" s="39" t="s">
        <v>50</v>
      </c>
      <c r="K88" s="39" t="s">
        <v>228</v>
      </c>
      <c r="L88" s="40" t="s">
        <v>31</v>
      </c>
      <c r="M88" s="48" t="s">
        <v>32</v>
      </c>
      <c r="N88" s="42">
        <v>3</v>
      </c>
      <c r="O88" s="43" t="s">
        <v>157</v>
      </c>
      <c r="P88" s="43" t="s">
        <v>158</v>
      </c>
      <c r="Q88" s="42" t="s">
        <v>21</v>
      </c>
      <c r="R88" s="44"/>
    </row>
    <row r="89" spans="1:18" customFormat="1" ht="15" customHeight="1" x14ac:dyDescent="0.25">
      <c r="A89" t="str">
        <f t="shared" si="2"/>
        <v>Impianto Ventilazione_CO-OP_ALR_CO_OP_DIR_SUD_CASO_C-Allarme CO-OP caso C dir. sud</v>
      </c>
      <c r="B89" t="str">
        <f t="shared" si="3"/>
        <v>ALR_CO_OP_DIR_SUD_CASO_C-Allarme CO-OP caso C dir. sud</v>
      </c>
      <c r="C89" t="str">
        <f>VLOOKUP(B89,'[2]Classi allarmi RMT-STIG_rev4'!$C:$C,1,0)</f>
        <v>ALR_CO_OP_DIR_SUD_CASO_C-Allarme CO-OP caso C dir. sud</v>
      </c>
      <c r="D89" t="str">
        <f>VLOOKUP(B89,'EXPORT IRIS PROD 13-11-2024'!A:A,1,0)</f>
        <v>ALR_CO_OP_DIR_SUD_CASO_C-Allarme CO-OP caso C dir. sud</v>
      </c>
      <c r="E89" t="str">
        <f>VLOOKUP(H89,'EXPORT IRIS PROD 13-11-2024'!F:F,1,0)</f>
        <v>ALR_CO_OP_DIR_SUD_CASO_C</v>
      </c>
      <c r="F89" t="str">
        <f>VLOOKUP(I89,'EXPORT IRIS PROD 13-11-2024'!D:D,1,0)</f>
        <v>Allarme CO-OP caso C dir. sud</v>
      </c>
      <c r="G89" s="37" t="s">
        <v>213</v>
      </c>
      <c r="H89" s="38" t="s">
        <v>237</v>
      </c>
      <c r="I89" s="38" t="s">
        <v>238</v>
      </c>
      <c r="J89" s="39" t="s">
        <v>50</v>
      </c>
      <c r="K89" s="39" t="s">
        <v>228</v>
      </c>
      <c r="L89" s="40" t="s">
        <v>31</v>
      </c>
      <c r="M89" s="48" t="s">
        <v>32</v>
      </c>
      <c r="N89" s="43">
        <v>2</v>
      </c>
      <c r="O89" s="43" t="s">
        <v>45</v>
      </c>
      <c r="P89" s="43" t="s">
        <v>46</v>
      </c>
      <c r="Q89" s="43" t="s">
        <v>31</v>
      </c>
      <c r="R89" s="49"/>
    </row>
    <row r="90" spans="1:18" customFormat="1" ht="15" customHeight="1" x14ac:dyDescent="0.25">
      <c r="A90" t="str">
        <f t="shared" si="2"/>
        <v>Impianto Elettrico_Quadro elettrico_ALR_COMMUTAZIONE_400V-Allarme commutazione 400V</v>
      </c>
      <c r="B90" t="str">
        <f t="shared" si="3"/>
        <v>ALR_COMMUTAZIONE_400V-Allarme commutazione 400V</v>
      </c>
      <c r="C90" t="str">
        <f>VLOOKUP(B90,'[2]Classi allarmi RMT-STIG_rev4'!$C:$C,1,0)</f>
        <v>ALR_COMMUTAZIONE_400V-Allarme commutazione 400V</v>
      </c>
      <c r="D90" t="str">
        <f>VLOOKUP(B90,'EXPORT IRIS PROD 13-11-2024'!A:A,1,0)</f>
        <v>ALR_COMMUTAZIONE_400V-Allarme commutazione 400V</v>
      </c>
      <c r="E90" t="str">
        <f>VLOOKUP(H90,'EXPORT IRIS PROD 13-11-2024'!F:F,1,0)</f>
        <v>ALR_COMMUTAZIONE_400V</v>
      </c>
      <c r="F90" t="str">
        <f>VLOOKUP(I90,'EXPORT IRIS PROD 13-11-2024'!D:D,1,0)</f>
        <v>Allarme commutazione 400V</v>
      </c>
      <c r="G90" s="37" t="s">
        <v>53</v>
      </c>
      <c r="H90" s="38" t="s">
        <v>239</v>
      </c>
      <c r="I90" s="38" t="s">
        <v>240</v>
      </c>
      <c r="J90" s="39" t="s">
        <v>56</v>
      </c>
      <c r="K90" s="39" t="s">
        <v>114</v>
      </c>
      <c r="L90" s="40" t="s">
        <v>21</v>
      </c>
      <c r="M90" s="41" t="s">
        <v>22</v>
      </c>
      <c r="N90" s="42" t="s">
        <v>23</v>
      </c>
      <c r="O90" s="43" t="s">
        <v>24</v>
      </c>
      <c r="P90" s="42" t="s">
        <v>25</v>
      </c>
      <c r="Q90" s="42" t="s">
        <v>21</v>
      </c>
      <c r="R90" s="44"/>
    </row>
    <row r="91" spans="1:18" customFormat="1" ht="15" customHeight="1" x14ac:dyDescent="0.25">
      <c r="A91" t="str">
        <f t="shared" si="2"/>
        <v>Impianto Elettrico_Quadro elettrico_ALR_COMMUTAZIONE_690V-Allarme commutazione 690V</v>
      </c>
      <c r="B91" t="str">
        <f t="shared" si="3"/>
        <v>ALR_COMMUTAZIONE_690V-Allarme commutazione 690V</v>
      </c>
      <c r="C91" t="str">
        <f>VLOOKUP(B91,'[2]Classi allarmi RMT-STIG_rev4'!$C:$C,1,0)</f>
        <v>ALR_COMMUTAZIONE_690V-Allarme commutazione 690V</v>
      </c>
      <c r="D91" t="str">
        <f>VLOOKUP(B91,'EXPORT IRIS PROD 13-11-2024'!A:A,1,0)</f>
        <v>ALR_COMMUTAZIONE_690V-Allarme commutazione 690V</v>
      </c>
      <c r="E91" t="str">
        <f>VLOOKUP(H91,'EXPORT IRIS PROD 13-11-2024'!F:F,1,0)</f>
        <v>ALR_COMMUTAZIONE_690V</v>
      </c>
      <c r="F91" t="str">
        <f>VLOOKUP(I91,'EXPORT IRIS PROD 13-11-2024'!D:D,1,0)</f>
        <v>Allarme commutazione 690V</v>
      </c>
      <c r="G91" s="37" t="s">
        <v>53</v>
      </c>
      <c r="H91" s="38" t="s">
        <v>241</v>
      </c>
      <c r="I91" s="38" t="s">
        <v>242</v>
      </c>
      <c r="J91" s="39" t="s">
        <v>56</v>
      </c>
      <c r="K91" s="39" t="s">
        <v>114</v>
      </c>
      <c r="L91" s="40" t="s">
        <v>21</v>
      </c>
      <c r="M91" s="41" t="s">
        <v>22</v>
      </c>
      <c r="N91" s="42" t="s">
        <v>23</v>
      </c>
      <c r="O91" s="43" t="s">
        <v>24</v>
      </c>
      <c r="P91" s="42" t="s">
        <v>25</v>
      </c>
      <c r="Q91" s="42" t="s">
        <v>21</v>
      </c>
      <c r="R91" s="44"/>
    </row>
    <row r="92" spans="1:18" customFormat="1" ht="15" customHeight="1" x14ac:dyDescent="0.25">
      <c r="A92" t="str">
        <f t="shared" si="2"/>
        <v>Impianto Elettrico_Quadro elettrico_ALR_COMMUTAZIONE_ILL-Allarme commutazione illuminazione</v>
      </c>
      <c r="B92" t="str">
        <f t="shared" si="3"/>
        <v>ALR_COMMUTAZIONE_ILL-Allarme commutazione illuminazione</v>
      </c>
      <c r="C92" t="str">
        <f>VLOOKUP(B92,'[2]Classi allarmi RMT-STIG_rev4'!$C:$C,1,0)</f>
        <v>ALR_COMMUTAZIONE_ILL-Allarme commutazione illuminazione</v>
      </c>
      <c r="D92" t="str">
        <f>VLOOKUP(B92,'EXPORT IRIS PROD 13-11-2024'!A:A,1,0)</f>
        <v>ALR_COMMUTAZIONE_ILL-Allarme commutazione illuminazione</v>
      </c>
      <c r="E92" t="str">
        <f>VLOOKUP(H92,'EXPORT IRIS PROD 13-11-2024'!F:F,1,0)</f>
        <v>ALR_COMMUTAZIONE_ILL</v>
      </c>
      <c r="F92" t="str">
        <f>VLOOKUP(I92,'EXPORT IRIS PROD 13-11-2024'!D:D,1,0)</f>
        <v>Allarme commutazione illuminazione</v>
      </c>
      <c r="G92" s="37" t="s">
        <v>53</v>
      </c>
      <c r="H92" s="38" t="s">
        <v>243</v>
      </c>
      <c r="I92" s="38" t="s">
        <v>244</v>
      </c>
      <c r="J92" s="39" t="s">
        <v>56</v>
      </c>
      <c r="K92" s="39" t="s">
        <v>114</v>
      </c>
      <c r="L92" s="40" t="s">
        <v>21</v>
      </c>
      <c r="M92" s="41" t="s">
        <v>22</v>
      </c>
      <c r="N92" s="42" t="s">
        <v>23</v>
      </c>
      <c r="O92" s="43" t="s">
        <v>24</v>
      </c>
      <c r="P92" s="42" t="s">
        <v>25</v>
      </c>
      <c r="Q92" s="42" t="s">
        <v>21</v>
      </c>
      <c r="R92" s="44"/>
    </row>
    <row r="93" spans="1:18" customFormat="1" ht="15" customHeight="1" x14ac:dyDescent="0.25">
      <c r="A93" t="str">
        <f t="shared" si="2"/>
        <v>Impianto Elettrico_Quadro elettrico_ALR_COMMUTAZIONE_RETE-Allarme commutazione rete</v>
      </c>
      <c r="B93" t="str">
        <f t="shared" si="3"/>
        <v>ALR_COMMUTAZIONE_RETE-Allarme commutazione rete</v>
      </c>
      <c r="C93" t="str">
        <f>VLOOKUP(B93,'[2]Classi allarmi RMT-STIG_rev4'!$C:$C,1,0)</f>
        <v>ALR_COMMUTAZIONE_RETE-Allarme commutazione rete</v>
      </c>
      <c r="D93" t="str">
        <f>VLOOKUP(B93,'EXPORT IRIS PROD 13-11-2024'!A:A,1,0)</f>
        <v>ALR_COMMUTAZIONE_RETE-Allarme commutazione rete</v>
      </c>
      <c r="E93" t="str">
        <f>VLOOKUP(H93,'EXPORT IRIS PROD 13-11-2024'!F:F,1,0)</f>
        <v>ALR_COMMUTAZIONE_RETE</v>
      </c>
      <c r="F93" t="str">
        <f>VLOOKUP(I93,'EXPORT IRIS PROD 13-11-2024'!D:D,1,0)</f>
        <v>Allarme commutazione rete</v>
      </c>
      <c r="G93" s="37" t="s">
        <v>53</v>
      </c>
      <c r="H93" s="38" t="s">
        <v>245</v>
      </c>
      <c r="I93" s="38" t="s">
        <v>246</v>
      </c>
      <c r="J93" s="39" t="s">
        <v>56</v>
      </c>
      <c r="K93" s="39" t="s">
        <v>114</v>
      </c>
      <c r="L93" s="40" t="s">
        <v>21</v>
      </c>
      <c r="M93" s="41" t="s">
        <v>22</v>
      </c>
      <c r="N93" s="42" t="s">
        <v>23</v>
      </c>
      <c r="O93" s="43" t="s">
        <v>24</v>
      </c>
      <c r="P93" s="42" t="s">
        <v>25</v>
      </c>
      <c r="Q93" s="42" t="s">
        <v>21</v>
      </c>
      <c r="R93" s="44"/>
    </row>
    <row r="94" spans="1:18" customFormat="1" ht="15" customHeight="1" x14ac:dyDescent="0.25">
      <c r="A94" t="str">
        <f t="shared" si="2"/>
        <v>Impianto Elettrico_Quadro elettrico_ALR_COMMUTAZIONE_VENT-Allarme commutazione ventilazione</v>
      </c>
      <c r="B94" t="str">
        <f t="shared" si="3"/>
        <v>ALR_COMMUTAZIONE_VENT-Allarme commutazione ventilazione</v>
      </c>
      <c r="C94" t="str">
        <f>VLOOKUP(B94,'[2]Classi allarmi RMT-STIG_rev4'!$C:$C,1,0)</f>
        <v>ALR_COMMUTAZIONE_VENT-Allarme commutazione ventilazione</v>
      </c>
      <c r="D94" t="str">
        <f>VLOOKUP(B94,'EXPORT IRIS PROD 13-11-2024'!A:A,1,0)</f>
        <v>ALR_COMMUTAZIONE_VENT-Allarme commutazione ventilazione</v>
      </c>
      <c r="E94" t="str">
        <f>VLOOKUP(H94,'EXPORT IRIS PROD 13-11-2024'!F:F,1,0)</f>
        <v>ALR_COMMUTAZIONE_VENT</v>
      </c>
      <c r="F94" t="str">
        <f>VLOOKUP(I94,'EXPORT IRIS PROD 13-11-2024'!D:D,1,0)</f>
        <v>Allarme commutazione ventilazione</v>
      </c>
      <c r="G94" s="37" t="s">
        <v>53</v>
      </c>
      <c r="H94" s="38" t="s">
        <v>247</v>
      </c>
      <c r="I94" s="38" t="s">
        <v>248</v>
      </c>
      <c r="J94" s="39" t="s">
        <v>56</v>
      </c>
      <c r="K94" s="39" t="s">
        <v>114</v>
      </c>
      <c r="L94" s="40" t="s">
        <v>21</v>
      </c>
      <c r="M94" s="41" t="s">
        <v>22</v>
      </c>
      <c r="N94" s="42" t="s">
        <v>23</v>
      </c>
      <c r="O94" s="43" t="s">
        <v>24</v>
      </c>
      <c r="P94" s="42" t="s">
        <v>25</v>
      </c>
      <c r="Q94" s="42" t="s">
        <v>21</v>
      </c>
      <c r="R94" s="44"/>
    </row>
    <row r="95" spans="1:18" customFormat="1" ht="15" customHeight="1" x14ac:dyDescent="0.25">
      <c r="A95" t="str">
        <f t="shared" si="2"/>
        <v>Impianto Rete dati_PLC_ALR_COMUNICAZIONE-Allarme comunicazione dispositivo</v>
      </c>
      <c r="B95" t="str">
        <f t="shared" si="3"/>
        <v>ALR_COMUNICAZIONE-Allarme comunicazione dispositivo</v>
      </c>
      <c r="C95" t="str">
        <f>VLOOKUP(B95,'[2]Classi allarmi RMT-STIG_rev4'!$C:$C,1,0)</f>
        <v>ALR_COMUNICAZIONE-Allarme comunicazione dispositivo</v>
      </c>
      <c r="D95" t="str">
        <f>VLOOKUP(B95,'EXPORT IRIS PROD 13-11-2024'!A:A,1,0)</f>
        <v>ALR_COMUNICAZIONE-Allarme comunicazione dispositivo</v>
      </c>
      <c r="E95" t="str">
        <f>VLOOKUP(H95,'EXPORT IRIS PROD 13-11-2024'!F:F,1,0)</f>
        <v>ALR_COMUNICAZIONE</v>
      </c>
      <c r="F95" t="str">
        <f>VLOOKUP(I95,'EXPORT IRIS PROD 13-11-2024'!D:D,1,0)</f>
        <v>Allarme comunicazione dispositivo</v>
      </c>
      <c r="G95" s="37" t="s">
        <v>249</v>
      </c>
      <c r="H95" s="38" t="s">
        <v>250</v>
      </c>
      <c r="I95" s="38" t="s">
        <v>251</v>
      </c>
      <c r="J95" s="39" t="s">
        <v>19</v>
      </c>
      <c r="K95" s="39" t="s">
        <v>167</v>
      </c>
      <c r="L95" s="40" t="s">
        <v>31</v>
      </c>
      <c r="M95" s="41" t="s">
        <v>32</v>
      </c>
      <c r="N95" s="42">
        <v>3</v>
      </c>
      <c r="O95" s="43" t="s">
        <v>33</v>
      </c>
      <c r="P95" s="42" t="s">
        <v>34</v>
      </c>
      <c r="Q95" s="42" t="s">
        <v>31</v>
      </c>
      <c r="R95" s="44"/>
    </row>
    <row r="96" spans="1:18" customFormat="1" ht="15" customHeight="1" x14ac:dyDescent="0.25">
      <c r="A96" t="str">
        <f t="shared" si="2"/>
        <v>Impianto Canalizzazione_PMV/Frecciacroce_ALR_COMUNICAZIONE_1_IMP-Allarme comunicazione dispositivo</v>
      </c>
      <c r="B96" t="str">
        <f t="shared" si="3"/>
        <v>ALR_COMUNICAZIONE_1_IMP-Allarme comunicazione dispositivo</v>
      </c>
      <c r="C96" t="str">
        <f>VLOOKUP(B96,'[2]Classi allarmi RMT-STIG_rev4'!$C:$C,1,0)</f>
        <v>ALR_COMUNICAZIONE_1_IMP-Allarme comunicazione dispositivo</v>
      </c>
      <c r="D96" t="str">
        <f>VLOOKUP(B96,'EXPORT IRIS PROD 13-11-2024'!A:A,1,0)</f>
        <v>ALR_COMUNICAZIONE_1_IMP-Allarme comunicazione dispositivo</v>
      </c>
      <c r="E96" t="str">
        <f>VLOOKUP(H96,'EXPORT IRIS PROD 13-11-2024'!F:F,1,0)</f>
        <v>ALR_COMUNICAZIONE_1_IMP</v>
      </c>
      <c r="F96" t="str">
        <f>VLOOKUP(I96,'EXPORT IRIS PROD 13-11-2024'!D:D,1,0)</f>
        <v>Allarme comunicazione dispositivo</v>
      </c>
      <c r="G96" s="37" t="s">
        <v>109</v>
      </c>
      <c r="H96" s="38" t="s">
        <v>252</v>
      </c>
      <c r="I96" s="38" t="s">
        <v>251</v>
      </c>
      <c r="J96" s="39" t="s">
        <v>111</v>
      </c>
      <c r="K96" s="39" t="s">
        <v>127</v>
      </c>
      <c r="L96" s="40" t="s">
        <v>21</v>
      </c>
      <c r="M96" s="41" t="s">
        <v>22</v>
      </c>
      <c r="N96" s="42" t="s">
        <v>23</v>
      </c>
      <c r="O96" s="43" t="s">
        <v>157</v>
      </c>
      <c r="P96" s="42" t="s">
        <v>158</v>
      </c>
      <c r="Q96" s="42" t="s">
        <v>21</v>
      </c>
      <c r="R96" s="44"/>
    </row>
    <row r="97" spans="1:18" customFormat="1" ht="15" customHeight="1" x14ac:dyDescent="0.25">
      <c r="A97" t="str">
        <f t="shared" si="2"/>
        <v>Impianto Rilevazione Incendio_Centralina rilevazione incendio_ALR_COMUNICAZIONE_2_IMP-Allarme comunicazione dispositivo</v>
      </c>
      <c r="B97" t="str">
        <f t="shared" si="3"/>
        <v>ALR_COMUNICAZIONE_2_IMP-Allarme comunicazione dispositivo</v>
      </c>
      <c r="C97" t="str">
        <f>VLOOKUP(B97,'[2]Classi allarmi RMT-STIG_rev4'!$C:$C,1,0)</f>
        <v>ALR_COMUNICAZIONE_2_IMP-Allarme comunicazione dispositivo</v>
      </c>
      <c r="D97" t="str">
        <f>VLOOKUP(B97,'EXPORT IRIS PROD 13-11-2024'!A:A,1,0)</f>
        <v>ALR_COMUNICAZIONE_2_IMP-Allarme comunicazione dispositivo</v>
      </c>
      <c r="E97" t="str">
        <f>VLOOKUP(H97,'EXPORT IRIS PROD 13-11-2024'!F:F,1,0)</f>
        <v>ALR_COMUNICAZIONE_2_IMP</v>
      </c>
      <c r="F97" t="str">
        <f>VLOOKUP(I97,'EXPORT IRIS PROD 13-11-2024'!D:D,1,0)</f>
        <v>Allarme comunicazione dispositivo</v>
      </c>
      <c r="G97" s="37" t="s">
        <v>105</v>
      </c>
      <c r="H97" s="38" t="s">
        <v>253</v>
      </c>
      <c r="I97" s="38" t="s">
        <v>251</v>
      </c>
      <c r="J97" s="39" t="s">
        <v>43</v>
      </c>
      <c r="K97" s="39" t="s">
        <v>108</v>
      </c>
      <c r="L97" s="40" t="s">
        <v>21</v>
      </c>
      <c r="M97" s="41" t="s">
        <v>22</v>
      </c>
      <c r="N97" s="42" t="s">
        <v>23</v>
      </c>
      <c r="O97" s="43" t="s">
        <v>24</v>
      </c>
      <c r="P97" s="42" t="s">
        <v>25</v>
      </c>
      <c r="Q97" s="42" t="s">
        <v>21</v>
      </c>
      <c r="R97" s="44"/>
    </row>
    <row r="98" spans="1:18" customFormat="1" ht="15" customHeight="1" x14ac:dyDescent="0.25">
      <c r="A98" t="str">
        <f t="shared" si="2"/>
        <v>Impianto Elettrico_Gruppo elettrogeno_ALR_COMUNICAZIONE_2_IMP-Allarme comunicazione dispositivo</v>
      </c>
      <c r="B98" t="str">
        <f t="shared" si="3"/>
        <v>ALR_COMUNICAZIONE_2_IMP-Allarme comunicazione dispositivo</v>
      </c>
      <c r="C98" t="str">
        <f>VLOOKUP(B98,'[2]Classi allarmi RMT-STIG_rev4'!$C:$C,1,0)</f>
        <v>ALR_COMUNICAZIONE_2_IMP-Allarme comunicazione dispositivo</v>
      </c>
      <c r="D98" t="str">
        <f>VLOOKUP(B98,'EXPORT IRIS PROD 13-11-2024'!A:A,1,0)</f>
        <v>ALR_COMUNICAZIONE_2_IMP-Allarme comunicazione dispositivo</v>
      </c>
      <c r="E98" t="str">
        <f>VLOOKUP(H98,'EXPORT IRIS PROD 13-11-2024'!F:F,1,0)</f>
        <v>ALR_COMUNICAZIONE_2_IMP</v>
      </c>
      <c r="F98" t="str">
        <f>VLOOKUP(I98,'EXPORT IRIS PROD 13-11-2024'!D:D,1,0)</f>
        <v>Allarme comunicazione dispositivo</v>
      </c>
      <c r="G98" s="37" t="s">
        <v>53</v>
      </c>
      <c r="H98" s="38" t="s">
        <v>253</v>
      </c>
      <c r="I98" s="38" t="s">
        <v>251</v>
      </c>
      <c r="J98" s="39" t="s">
        <v>56</v>
      </c>
      <c r="K98" s="39" t="s">
        <v>57</v>
      </c>
      <c r="L98" s="40" t="s">
        <v>21</v>
      </c>
      <c r="M98" s="41" t="s">
        <v>22</v>
      </c>
      <c r="N98" s="42" t="s">
        <v>23</v>
      </c>
      <c r="O98" s="43" t="s">
        <v>24</v>
      </c>
      <c r="P98" s="42" t="s">
        <v>25</v>
      </c>
      <c r="Q98" s="42" t="s">
        <v>21</v>
      </c>
      <c r="R98" s="44"/>
    </row>
    <row r="99" spans="1:18" customFormat="1" ht="15" customHeight="1" x14ac:dyDescent="0.25">
      <c r="A99" t="str">
        <f t="shared" si="2"/>
        <v>Impianto Elettrico_Multimetro_ALR_COMUNICAZIONE_2_IMP-Allarme comunicazione dispositivo</v>
      </c>
      <c r="B99" t="str">
        <f t="shared" si="3"/>
        <v>ALR_COMUNICAZIONE_2_IMP-Allarme comunicazione dispositivo</v>
      </c>
      <c r="C99" t="str">
        <f>VLOOKUP(B99,'[2]Classi allarmi RMT-STIG_rev4'!$C:$C,1,0)</f>
        <v>ALR_COMUNICAZIONE_2_IMP-Allarme comunicazione dispositivo</v>
      </c>
      <c r="D99" t="str">
        <f>VLOOKUP(B99,'EXPORT IRIS PROD 13-11-2024'!A:A,1,0)</f>
        <v>ALR_COMUNICAZIONE_2_IMP-Allarme comunicazione dispositivo</v>
      </c>
      <c r="E99" t="str">
        <f>VLOOKUP(H99,'EXPORT IRIS PROD 13-11-2024'!F:F,1,0)</f>
        <v>ALR_COMUNICAZIONE_2_IMP</v>
      </c>
      <c r="F99" t="str">
        <f>VLOOKUP(I99,'EXPORT IRIS PROD 13-11-2024'!D:D,1,0)</f>
        <v>Allarme comunicazione dispositivo</v>
      </c>
      <c r="G99" s="37" t="s">
        <v>53</v>
      </c>
      <c r="H99" s="38" t="s">
        <v>253</v>
      </c>
      <c r="I99" s="38" t="s">
        <v>251</v>
      </c>
      <c r="J99" s="39" t="s">
        <v>56</v>
      </c>
      <c r="K99" s="39" t="s">
        <v>254</v>
      </c>
      <c r="L99" s="40" t="s">
        <v>21</v>
      </c>
      <c r="M99" s="41" t="s">
        <v>22</v>
      </c>
      <c r="N99" s="42" t="s">
        <v>23</v>
      </c>
      <c r="O99" s="43" t="s">
        <v>24</v>
      </c>
      <c r="P99" s="42" t="s">
        <v>25</v>
      </c>
      <c r="Q99" s="42" t="s">
        <v>21</v>
      </c>
      <c r="R99" s="44"/>
    </row>
    <row r="100" spans="1:18" customFormat="1" ht="15" customHeight="1" x14ac:dyDescent="0.25">
      <c r="A100" t="str">
        <f t="shared" si="2"/>
        <v>Impianto Elettrico_Quadro elettrico_ALR_COMUNICAZIONE_2_IMP-Allarme comunicazione dispositivo</v>
      </c>
      <c r="B100" t="str">
        <f t="shared" si="3"/>
        <v>ALR_COMUNICAZIONE_2_IMP-Allarme comunicazione dispositivo</v>
      </c>
      <c r="C100" t="str">
        <f>VLOOKUP(B100,'[2]Classi allarmi RMT-STIG_rev4'!$C:$C,1,0)</f>
        <v>ALR_COMUNICAZIONE_2_IMP-Allarme comunicazione dispositivo</v>
      </c>
      <c r="D100" t="str">
        <f>VLOOKUP(B100,'EXPORT IRIS PROD 13-11-2024'!A:A,1,0)</f>
        <v>ALR_COMUNICAZIONE_2_IMP-Allarme comunicazione dispositivo</v>
      </c>
      <c r="E100" t="str">
        <f>VLOOKUP(H100,'EXPORT IRIS PROD 13-11-2024'!F:F,1,0)</f>
        <v>ALR_COMUNICAZIONE_2_IMP</v>
      </c>
      <c r="F100" t="str">
        <f>VLOOKUP(I100,'EXPORT IRIS PROD 13-11-2024'!D:D,1,0)</f>
        <v>Allarme comunicazione dispositivo</v>
      </c>
      <c r="G100" s="37" t="s">
        <v>53</v>
      </c>
      <c r="H100" s="38" t="s">
        <v>253</v>
      </c>
      <c r="I100" s="38" t="s">
        <v>251</v>
      </c>
      <c r="J100" s="39" t="s">
        <v>56</v>
      </c>
      <c r="K100" s="39" t="s">
        <v>114</v>
      </c>
      <c r="L100" s="40" t="s">
        <v>21</v>
      </c>
      <c r="M100" s="41" t="s">
        <v>22</v>
      </c>
      <c r="N100" s="42" t="s">
        <v>23</v>
      </c>
      <c r="O100" s="43" t="s">
        <v>24</v>
      </c>
      <c r="P100" s="42" t="s">
        <v>25</v>
      </c>
      <c r="Q100" s="42" t="s">
        <v>21</v>
      </c>
      <c r="R100" s="44"/>
    </row>
    <row r="101" spans="1:18" customFormat="1" ht="15" customHeight="1" x14ac:dyDescent="0.25">
      <c r="A101" t="str">
        <f t="shared" si="2"/>
        <v>Impianto Elettrico_Sepam_ALR_COMUNICAZIONE_2_IMP-Allarme comunicazione dispositivo</v>
      </c>
      <c r="B101" t="str">
        <f t="shared" si="3"/>
        <v>ALR_COMUNICAZIONE_2_IMP-Allarme comunicazione dispositivo</v>
      </c>
      <c r="C101" t="str">
        <f>VLOOKUP(B101,'[2]Classi allarmi RMT-STIG_rev4'!$C:$C,1,0)</f>
        <v>ALR_COMUNICAZIONE_2_IMP-Allarme comunicazione dispositivo</v>
      </c>
      <c r="D101" t="str">
        <f>VLOOKUP(B101,'EXPORT IRIS PROD 13-11-2024'!A:A,1,0)</f>
        <v>ALR_COMUNICAZIONE_2_IMP-Allarme comunicazione dispositivo</v>
      </c>
      <c r="E101" t="str">
        <f>VLOOKUP(H101,'EXPORT IRIS PROD 13-11-2024'!F:F,1,0)</f>
        <v>ALR_COMUNICAZIONE_2_IMP</v>
      </c>
      <c r="F101" t="str">
        <f>VLOOKUP(I101,'EXPORT IRIS PROD 13-11-2024'!D:D,1,0)</f>
        <v>Allarme comunicazione dispositivo</v>
      </c>
      <c r="G101" s="37" t="s">
        <v>53</v>
      </c>
      <c r="H101" s="38" t="s">
        <v>253</v>
      </c>
      <c r="I101" s="38" t="s">
        <v>251</v>
      </c>
      <c r="J101" s="39" t="s">
        <v>56</v>
      </c>
      <c r="K101" s="39" t="s">
        <v>255</v>
      </c>
      <c r="L101" s="40" t="s">
        <v>21</v>
      </c>
      <c r="M101" s="41" t="s">
        <v>22</v>
      </c>
      <c r="N101" s="42" t="s">
        <v>23</v>
      </c>
      <c r="O101" s="43" t="s">
        <v>24</v>
      </c>
      <c r="P101" s="42" t="s">
        <v>25</v>
      </c>
      <c r="Q101" s="42" t="s">
        <v>21</v>
      </c>
      <c r="R101" s="44"/>
    </row>
    <row r="102" spans="1:18" customFormat="1" ht="15" customHeight="1" x14ac:dyDescent="0.25">
      <c r="A102" t="str">
        <f t="shared" si="2"/>
        <v>Impianto Illuminazione_Regolatore di flusso_ALR_COMUNICAZIONE_2_IMP-Allarme comunicazione dispositivo</v>
      </c>
      <c r="B102" t="str">
        <f t="shared" si="3"/>
        <v>ALR_COMUNICAZIONE_2_IMP-Allarme comunicazione dispositivo</v>
      </c>
      <c r="C102" t="str">
        <f>VLOOKUP(B102,'[2]Classi allarmi RMT-STIG_rev4'!$C:$C,1,0)</f>
        <v>ALR_COMUNICAZIONE_2_IMP-Allarme comunicazione dispositivo</v>
      </c>
      <c r="D102" t="str">
        <f>VLOOKUP(B102,'EXPORT IRIS PROD 13-11-2024'!A:A,1,0)</f>
        <v>ALR_COMUNICAZIONE_2_IMP-Allarme comunicazione dispositivo</v>
      </c>
      <c r="E102" t="str">
        <f>VLOOKUP(H102,'EXPORT IRIS PROD 13-11-2024'!F:F,1,0)</f>
        <v>ALR_COMUNICAZIONE_2_IMP</v>
      </c>
      <c r="F102" t="str">
        <f>VLOOKUP(I102,'EXPORT IRIS PROD 13-11-2024'!D:D,1,0)</f>
        <v>Allarme comunicazione dispositivo</v>
      </c>
      <c r="G102" s="37" t="s">
        <v>115</v>
      </c>
      <c r="H102" s="38" t="s">
        <v>253</v>
      </c>
      <c r="I102" s="38" t="s">
        <v>251</v>
      </c>
      <c r="J102" s="39" t="s">
        <v>116</v>
      </c>
      <c r="K102" s="39" t="s">
        <v>256</v>
      </c>
      <c r="L102" s="40" t="s">
        <v>21</v>
      </c>
      <c r="M102" s="41" t="s">
        <v>22</v>
      </c>
      <c r="N102" s="42" t="s">
        <v>23</v>
      </c>
      <c r="O102" s="43" t="s">
        <v>24</v>
      </c>
      <c r="P102" s="42" t="s">
        <v>25</v>
      </c>
      <c r="Q102" s="42" t="s">
        <v>21</v>
      </c>
      <c r="R102" s="44"/>
    </row>
    <row r="103" spans="1:18" customFormat="1" ht="15" customHeight="1" x14ac:dyDescent="0.25">
      <c r="A103" t="str">
        <f t="shared" si="2"/>
        <v>Impianto Illuminazione_Sonda di luminanza_ALR_COMUNICAZIONE_2_IMP-Allarme comunicazione dispositivo</v>
      </c>
      <c r="B103" t="str">
        <f t="shared" si="3"/>
        <v>ALR_COMUNICAZIONE_2_IMP-Allarme comunicazione dispositivo</v>
      </c>
      <c r="C103" t="str">
        <f>VLOOKUP(B103,'[2]Classi allarmi RMT-STIG_rev4'!$C:$C,1,0)</f>
        <v>ALR_COMUNICAZIONE_2_IMP-Allarme comunicazione dispositivo</v>
      </c>
      <c r="D103" t="str">
        <f>VLOOKUP(B103,'EXPORT IRIS PROD 13-11-2024'!A:A,1,0)</f>
        <v>ALR_COMUNICAZIONE_2_IMP-Allarme comunicazione dispositivo</v>
      </c>
      <c r="E103" t="str">
        <f>VLOOKUP(H103,'EXPORT IRIS PROD 13-11-2024'!F:F,1,0)</f>
        <v>ALR_COMUNICAZIONE_2_IMP</v>
      </c>
      <c r="F103" t="str">
        <f>VLOOKUP(I103,'EXPORT IRIS PROD 13-11-2024'!D:D,1,0)</f>
        <v>Allarme comunicazione dispositivo</v>
      </c>
      <c r="G103" s="37" t="s">
        <v>115</v>
      </c>
      <c r="H103" s="38" t="s">
        <v>253</v>
      </c>
      <c r="I103" s="38" t="s">
        <v>251</v>
      </c>
      <c r="J103" s="39" t="s">
        <v>116</v>
      </c>
      <c r="K103" s="39" t="s">
        <v>257</v>
      </c>
      <c r="L103" s="40" t="s">
        <v>21</v>
      </c>
      <c r="M103" s="41" t="s">
        <v>22</v>
      </c>
      <c r="N103" s="42" t="s">
        <v>23</v>
      </c>
      <c r="O103" s="43" t="s">
        <v>24</v>
      </c>
      <c r="P103" s="42" t="s">
        <v>25</v>
      </c>
      <c r="Q103" s="42" t="s">
        <v>21</v>
      </c>
      <c r="R103" s="44"/>
    </row>
    <row r="104" spans="1:18" customFormat="1" ht="15" customHeight="1" x14ac:dyDescent="0.25">
      <c r="A104" t="str">
        <f t="shared" si="2"/>
        <v>Impianto Rete dati_PLC Rio_ALR_COMUNICAZIONE_2_IMP-Allarme comunicazione dispositivo</v>
      </c>
      <c r="B104" t="str">
        <f t="shared" si="3"/>
        <v>ALR_COMUNICAZIONE_2_IMP-Allarme comunicazione dispositivo</v>
      </c>
      <c r="C104" t="str">
        <f>VLOOKUP(B104,'[2]Classi allarmi RMT-STIG_rev4'!$C:$C,1,0)</f>
        <v>ALR_COMUNICAZIONE_2_IMP-Allarme comunicazione dispositivo</v>
      </c>
      <c r="D104" t="str">
        <f>VLOOKUP(B104,'EXPORT IRIS PROD 13-11-2024'!A:A,1,0)</f>
        <v>ALR_COMUNICAZIONE_2_IMP-Allarme comunicazione dispositivo</v>
      </c>
      <c r="E104" t="str">
        <f>VLOOKUP(H104,'EXPORT IRIS PROD 13-11-2024'!F:F,1,0)</f>
        <v>ALR_COMUNICAZIONE_2_IMP</v>
      </c>
      <c r="F104" t="str">
        <f>VLOOKUP(I104,'EXPORT IRIS PROD 13-11-2024'!D:D,1,0)</f>
        <v>Allarme comunicazione dispositivo</v>
      </c>
      <c r="G104" s="37" t="s">
        <v>16</v>
      </c>
      <c r="H104" s="38" t="s">
        <v>253</v>
      </c>
      <c r="I104" s="38" t="s">
        <v>251</v>
      </c>
      <c r="J104" s="39" t="s">
        <v>19</v>
      </c>
      <c r="K104" s="39" t="s">
        <v>258</v>
      </c>
      <c r="L104" s="40" t="s">
        <v>21</v>
      </c>
      <c r="M104" s="41" t="s">
        <v>22</v>
      </c>
      <c r="N104" s="42" t="s">
        <v>23</v>
      </c>
      <c r="O104" s="43" t="s">
        <v>24</v>
      </c>
      <c r="P104" s="42" t="s">
        <v>25</v>
      </c>
      <c r="Q104" s="42" t="s">
        <v>21</v>
      </c>
      <c r="R104" s="44"/>
    </row>
    <row r="105" spans="1:18" customFormat="1" ht="15" customHeight="1" x14ac:dyDescent="0.25">
      <c r="A105" t="str">
        <f t="shared" si="2"/>
        <v>Impianto Rete dati_Switch SNMP_ALR_COMUNICAZIONE_2_IMP-Allarme comunicazione dispositivo</v>
      </c>
      <c r="B105" t="str">
        <f t="shared" si="3"/>
        <v>ALR_COMUNICAZIONE_2_IMP-Allarme comunicazione dispositivo</v>
      </c>
      <c r="C105" t="str">
        <f>VLOOKUP(B105,'[2]Classi allarmi RMT-STIG_rev4'!$C:$C,1,0)</f>
        <v>ALR_COMUNICAZIONE_2_IMP-Allarme comunicazione dispositivo</v>
      </c>
      <c r="D105" t="str">
        <f>VLOOKUP(B105,'EXPORT IRIS PROD 13-11-2024'!A:A,1,0)</f>
        <v>ALR_COMUNICAZIONE_2_IMP-Allarme comunicazione dispositivo</v>
      </c>
      <c r="E105" t="str">
        <f>VLOOKUP(H105,'EXPORT IRIS PROD 13-11-2024'!F:F,1,0)</f>
        <v>ALR_COMUNICAZIONE_2_IMP</v>
      </c>
      <c r="F105" t="str">
        <f>VLOOKUP(I105,'EXPORT IRIS PROD 13-11-2024'!D:D,1,0)</f>
        <v>Allarme comunicazione dispositivo</v>
      </c>
      <c r="G105" s="37" t="s">
        <v>16</v>
      </c>
      <c r="H105" s="38" t="s">
        <v>253</v>
      </c>
      <c r="I105" s="38" t="s">
        <v>251</v>
      </c>
      <c r="J105" s="39" t="s">
        <v>19</v>
      </c>
      <c r="K105" s="39" t="s">
        <v>259</v>
      </c>
      <c r="L105" s="40" t="s">
        <v>21</v>
      </c>
      <c r="M105" s="41" t="s">
        <v>22</v>
      </c>
      <c r="N105" s="42" t="s">
        <v>23</v>
      </c>
      <c r="O105" s="43" t="s">
        <v>24</v>
      </c>
      <c r="P105" s="42" t="s">
        <v>25</v>
      </c>
      <c r="Q105" s="42" t="s">
        <v>21</v>
      </c>
      <c r="R105" s="44"/>
    </row>
    <row r="106" spans="1:18" customFormat="1" ht="15" customHeight="1" x14ac:dyDescent="0.25">
      <c r="A106" t="str">
        <f t="shared" si="2"/>
        <v>Impianto SOS_Colonnina Sos_ALR_COMUNICAZIONE_2_IMP-Allarme comunicazione dispositivo</v>
      </c>
      <c r="B106" t="str">
        <f t="shared" si="3"/>
        <v>ALR_COMUNICAZIONE_2_IMP-Allarme comunicazione dispositivo</v>
      </c>
      <c r="C106" t="str">
        <f>VLOOKUP(B106,'[2]Classi allarmi RMT-STIG_rev4'!$C:$C,1,0)</f>
        <v>ALR_COMUNICAZIONE_2_IMP-Allarme comunicazione dispositivo</v>
      </c>
      <c r="D106" t="str">
        <f>VLOOKUP(B106,'EXPORT IRIS PROD 13-11-2024'!A:A,1,0)</f>
        <v>ALR_COMUNICAZIONE_2_IMP-Allarme comunicazione dispositivo</v>
      </c>
      <c r="E106" t="str">
        <f>VLOOKUP(H106,'EXPORT IRIS PROD 13-11-2024'!F:F,1,0)</f>
        <v>ALR_COMUNICAZIONE_2_IMP</v>
      </c>
      <c r="F106" t="str">
        <f>VLOOKUP(I106,'EXPORT IRIS PROD 13-11-2024'!D:D,1,0)</f>
        <v>Allarme comunicazione dispositivo</v>
      </c>
      <c r="G106" s="37" t="s">
        <v>89</v>
      </c>
      <c r="H106" s="38" t="s">
        <v>253</v>
      </c>
      <c r="I106" s="38" t="s">
        <v>251</v>
      </c>
      <c r="J106" s="39" t="s">
        <v>29</v>
      </c>
      <c r="K106" s="39" t="s">
        <v>30</v>
      </c>
      <c r="L106" s="40" t="s">
        <v>21</v>
      </c>
      <c r="M106" s="41" t="s">
        <v>22</v>
      </c>
      <c r="N106" s="42" t="s">
        <v>23</v>
      </c>
      <c r="O106" s="43" t="s">
        <v>24</v>
      </c>
      <c r="P106" s="42" t="s">
        <v>25</v>
      </c>
      <c r="Q106" s="42" t="s">
        <v>21</v>
      </c>
      <c r="R106" s="44"/>
    </row>
    <row r="107" spans="1:18" customFormat="1" ht="15" customHeight="1" x14ac:dyDescent="0.25">
      <c r="A107" t="str">
        <f t="shared" si="2"/>
        <v>Impianto Videosorveglianza_Analizzatore video AID_ALR_COMUNICAZIONE_2_IMP-Allarme comunicazione dispositivo</v>
      </c>
      <c r="B107" t="str">
        <f t="shared" si="3"/>
        <v>ALR_COMUNICAZIONE_2_IMP-Allarme comunicazione dispositivo</v>
      </c>
      <c r="C107" t="str">
        <f>VLOOKUP(B107,'[2]Classi allarmi RMT-STIG_rev4'!$C:$C,1,0)</f>
        <v>ALR_COMUNICAZIONE_2_IMP-Allarme comunicazione dispositivo</v>
      </c>
      <c r="D107" t="str">
        <f>VLOOKUP(B107,'EXPORT IRIS PROD 13-11-2024'!A:A,1,0)</f>
        <v>ALR_COMUNICAZIONE_2_IMP-Allarme comunicazione dispositivo</v>
      </c>
      <c r="E107" t="str">
        <f>VLOOKUP(H107,'EXPORT IRIS PROD 13-11-2024'!F:F,1,0)</f>
        <v>ALR_COMUNICAZIONE_2_IMP</v>
      </c>
      <c r="F107" t="str">
        <f>VLOOKUP(I107,'EXPORT IRIS PROD 13-11-2024'!D:D,1,0)</f>
        <v>Allarme comunicazione dispositivo</v>
      </c>
      <c r="G107" s="37" t="s">
        <v>198</v>
      </c>
      <c r="H107" s="38" t="s">
        <v>253</v>
      </c>
      <c r="I107" s="38" t="s">
        <v>251</v>
      </c>
      <c r="J107" s="39" t="s">
        <v>201</v>
      </c>
      <c r="K107" s="39" t="s">
        <v>260</v>
      </c>
      <c r="L107" s="40" t="s">
        <v>21</v>
      </c>
      <c r="M107" s="41" t="s">
        <v>22</v>
      </c>
      <c r="N107" s="42" t="s">
        <v>23</v>
      </c>
      <c r="O107" s="43" t="s">
        <v>24</v>
      </c>
      <c r="P107" s="42" t="s">
        <v>25</v>
      </c>
      <c r="Q107" s="42" t="s">
        <v>21</v>
      </c>
      <c r="R107" s="44"/>
    </row>
    <row r="108" spans="1:18" customFormat="1" ht="15" customHeight="1" x14ac:dyDescent="0.25">
      <c r="A108" t="str">
        <f t="shared" si="2"/>
        <v>Impianto Ventilazione_Anemometro_ALR_COMUNICAZIONE_2_IMP-Allarme comunicazione dispositivo</v>
      </c>
      <c r="B108" t="str">
        <f t="shared" si="3"/>
        <v>ALR_COMUNICAZIONE_2_IMP-Allarme comunicazione dispositivo</v>
      </c>
      <c r="C108" t="str">
        <f>VLOOKUP(B108,'[2]Classi allarmi RMT-STIG_rev4'!$C:$C,1,0)</f>
        <v>ALR_COMUNICAZIONE_2_IMP-Allarme comunicazione dispositivo</v>
      </c>
      <c r="D108" t="str">
        <f>VLOOKUP(B108,'EXPORT IRIS PROD 13-11-2024'!A:A,1,0)</f>
        <v>ALR_COMUNICAZIONE_2_IMP-Allarme comunicazione dispositivo</v>
      </c>
      <c r="E108" t="str">
        <f>VLOOKUP(H108,'EXPORT IRIS PROD 13-11-2024'!F:F,1,0)</f>
        <v>ALR_COMUNICAZIONE_2_IMP</v>
      </c>
      <c r="F108" t="str">
        <f>VLOOKUP(I108,'EXPORT IRIS PROD 13-11-2024'!D:D,1,0)</f>
        <v>Allarme comunicazione dispositivo</v>
      </c>
      <c r="G108" s="37" t="s">
        <v>85</v>
      </c>
      <c r="H108" s="38" t="s">
        <v>253</v>
      </c>
      <c r="I108" s="38" t="s">
        <v>251</v>
      </c>
      <c r="J108" s="39" t="s">
        <v>50</v>
      </c>
      <c r="K108" s="39" t="s">
        <v>88</v>
      </c>
      <c r="L108" s="40" t="s">
        <v>21</v>
      </c>
      <c r="M108" s="41" t="s">
        <v>22</v>
      </c>
      <c r="N108" s="42" t="s">
        <v>23</v>
      </c>
      <c r="O108" s="43" t="s">
        <v>24</v>
      </c>
      <c r="P108" s="42" t="s">
        <v>25</v>
      </c>
      <c r="Q108" s="42" t="s">
        <v>21</v>
      </c>
      <c r="R108" s="44"/>
    </row>
    <row r="109" spans="1:18" customFormat="1" ht="15" customHeight="1" x14ac:dyDescent="0.25">
      <c r="A109" t="str">
        <f t="shared" si="2"/>
        <v>Impianto Ventilazione_CO_ALR_COMUNICAZIONE_2_IMP-Allarme comunicazione dispositivo</v>
      </c>
      <c r="B109" t="str">
        <f t="shared" si="3"/>
        <v>ALR_COMUNICAZIONE_2_IMP-Allarme comunicazione dispositivo</v>
      </c>
      <c r="C109" t="str">
        <f>VLOOKUP(B109,'[2]Classi allarmi RMT-STIG_rev4'!$C:$C,1,0)</f>
        <v>ALR_COMUNICAZIONE_2_IMP-Allarme comunicazione dispositivo</v>
      </c>
      <c r="D109" t="str">
        <f>VLOOKUP(B109,'EXPORT IRIS PROD 13-11-2024'!A:A,1,0)</f>
        <v>ALR_COMUNICAZIONE_2_IMP-Allarme comunicazione dispositivo</v>
      </c>
      <c r="E109" t="str">
        <f>VLOOKUP(H109,'EXPORT IRIS PROD 13-11-2024'!F:F,1,0)</f>
        <v>ALR_COMUNICAZIONE_2_IMP</v>
      </c>
      <c r="F109" t="str">
        <f>VLOOKUP(I109,'EXPORT IRIS PROD 13-11-2024'!D:D,1,0)</f>
        <v>Allarme comunicazione dispositivo</v>
      </c>
      <c r="G109" s="37" t="s">
        <v>85</v>
      </c>
      <c r="H109" s="38" t="s">
        <v>253</v>
      </c>
      <c r="I109" s="38" t="s">
        <v>251</v>
      </c>
      <c r="J109" s="39" t="s">
        <v>50</v>
      </c>
      <c r="K109" s="39" t="s">
        <v>51</v>
      </c>
      <c r="L109" s="40" t="s">
        <v>21</v>
      </c>
      <c r="M109" s="41" t="s">
        <v>22</v>
      </c>
      <c r="N109" s="42" t="s">
        <v>23</v>
      </c>
      <c r="O109" s="43" t="s">
        <v>24</v>
      </c>
      <c r="P109" s="42" t="s">
        <v>25</v>
      </c>
      <c r="Q109" s="42" t="s">
        <v>21</v>
      </c>
      <c r="R109" s="44"/>
    </row>
    <row r="110" spans="1:18" customFormat="1" ht="15" customHeight="1" x14ac:dyDescent="0.25">
      <c r="A110" t="str">
        <f t="shared" si="2"/>
        <v>Impianto Ventilazione_OP_ALR_COMUNICAZIONE_2_IMP-Allarme comunicazione dispositivo</v>
      </c>
      <c r="B110" t="str">
        <f t="shared" si="3"/>
        <v>ALR_COMUNICAZIONE_2_IMP-Allarme comunicazione dispositivo</v>
      </c>
      <c r="C110" t="str">
        <f>VLOOKUP(B110,'[2]Classi allarmi RMT-STIG_rev4'!$C:$C,1,0)</f>
        <v>ALR_COMUNICAZIONE_2_IMP-Allarme comunicazione dispositivo</v>
      </c>
      <c r="D110" t="str">
        <f>VLOOKUP(B110,'EXPORT IRIS PROD 13-11-2024'!A:A,1,0)</f>
        <v>ALR_COMUNICAZIONE_2_IMP-Allarme comunicazione dispositivo</v>
      </c>
      <c r="E110" t="str">
        <f>VLOOKUP(H110,'EXPORT IRIS PROD 13-11-2024'!F:F,1,0)</f>
        <v>ALR_COMUNICAZIONE_2_IMP</v>
      </c>
      <c r="F110" t="str">
        <f>VLOOKUP(I110,'EXPORT IRIS PROD 13-11-2024'!D:D,1,0)</f>
        <v>Allarme comunicazione dispositivo</v>
      </c>
      <c r="G110" s="37" t="s">
        <v>85</v>
      </c>
      <c r="H110" s="38" t="s">
        <v>253</v>
      </c>
      <c r="I110" s="38" t="s">
        <v>251</v>
      </c>
      <c r="J110" s="39" t="s">
        <v>50</v>
      </c>
      <c r="K110" s="39" t="s">
        <v>52</v>
      </c>
      <c r="L110" s="40" t="s">
        <v>21</v>
      </c>
      <c r="M110" s="41" t="s">
        <v>22</v>
      </c>
      <c r="N110" s="42" t="s">
        <v>23</v>
      </c>
      <c r="O110" s="43" t="s">
        <v>24</v>
      </c>
      <c r="P110" s="42" t="s">
        <v>25</v>
      </c>
      <c r="Q110" s="42" t="s">
        <v>21</v>
      </c>
      <c r="R110" s="44"/>
    </row>
    <row r="111" spans="1:18" customFormat="1" ht="15" customHeight="1" x14ac:dyDescent="0.25">
      <c r="A111" t="str">
        <f t="shared" si="2"/>
        <v>Impianto Videosorveglianza_Telecamera passiva_ALR_CONFIGURATA-Allarme configurazione mancante</v>
      </c>
      <c r="B111" t="str">
        <f t="shared" si="3"/>
        <v>ALR_CONFIGURATA-Allarme configurazione mancante</v>
      </c>
      <c r="C111" t="str">
        <f>VLOOKUP(B111,'[2]Classi allarmi RMT-STIG_rev4'!$C:$C,1,0)</f>
        <v>ALR_CONFIGURATA-Allarme configurazione mancante</v>
      </c>
      <c r="D111" t="str">
        <f>VLOOKUP(B111,'EXPORT IRIS PROD 13-11-2024'!A:A,1,0)</f>
        <v>ALR_CONFIGURATA-Allarme configurazione mancante</v>
      </c>
      <c r="E111" t="str">
        <f>VLOOKUP(H111,'EXPORT IRIS PROD 13-11-2024'!F:F,1,0)</f>
        <v>ALR_CONFIGURATA</v>
      </c>
      <c r="F111" t="str">
        <f>VLOOKUP(I111,'EXPORT IRIS PROD 13-11-2024'!D:D,1,0)</f>
        <v>Allarme configurazione mancante</v>
      </c>
      <c r="G111" s="37" t="s">
        <v>198</v>
      </c>
      <c r="H111" s="38" t="s">
        <v>261</v>
      </c>
      <c r="I111" s="45" t="s">
        <v>262</v>
      </c>
      <c r="J111" s="46" t="s">
        <v>201</v>
      </c>
      <c r="K111" s="46" t="s">
        <v>263</v>
      </c>
      <c r="L111" s="40" t="s">
        <v>21</v>
      </c>
      <c r="M111" s="41" t="s">
        <v>22</v>
      </c>
      <c r="N111" s="42" t="s">
        <v>23</v>
      </c>
      <c r="O111" s="43" t="s">
        <v>24</v>
      </c>
      <c r="P111" s="42" t="s">
        <v>25</v>
      </c>
      <c r="Q111" s="42" t="s">
        <v>21</v>
      </c>
      <c r="R111" s="44"/>
    </row>
    <row r="112" spans="1:18" customFormat="1" ht="15" customHeight="1" x14ac:dyDescent="0.25">
      <c r="A112" t="str">
        <f t="shared" si="2"/>
        <v>Impianto Elettrico_Congiuntore_ALR_CONGIUNTORE-Allarme congiuntore</v>
      </c>
      <c r="B112" t="str">
        <f t="shared" si="3"/>
        <v>ALR_CONGIUNTORE-Allarme congiuntore</v>
      </c>
      <c r="C112" t="str">
        <f>VLOOKUP(B112,'[2]Classi allarmi RMT-STIG_rev4'!$C:$C,1,0)</f>
        <v>ALR_CONGIUNTORE-Allarme congiuntore</v>
      </c>
      <c r="D112" t="str">
        <f>VLOOKUP(B112,'EXPORT IRIS PROD 13-11-2024'!A:A,1,0)</f>
        <v>ALR_CONGIUNTORE-Allarme congiuntore</v>
      </c>
      <c r="E112" t="str">
        <f>VLOOKUP(H112,'EXPORT IRIS PROD 13-11-2024'!F:F,1,0)</f>
        <v>ALR_CONGIUNTORE</v>
      </c>
      <c r="F112" t="str">
        <f>VLOOKUP(I112,'EXPORT IRIS PROD 13-11-2024'!D:D,1,0)</f>
        <v>Allarme congiuntore</v>
      </c>
      <c r="G112" s="37" t="s">
        <v>53</v>
      </c>
      <c r="H112" s="38" t="s">
        <v>264</v>
      </c>
      <c r="I112" s="38" t="s">
        <v>265</v>
      </c>
      <c r="J112" s="39" t="s">
        <v>56</v>
      </c>
      <c r="K112" s="39" t="s">
        <v>266</v>
      </c>
      <c r="L112" s="40" t="s">
        <v>21</v>
      </c>
      <c r="M112" s="41" t="s">
        <v>22</v>
      </c>
      <c r="N112" s="42" t="s">
        <v>23</v>
      </c>
      <c r="O112" s="43" t="s">
        <v>24</v>
      </c>
      <c r="P112" s="42" t="s">
        <v>25</v>
      </c>
      <c r="Q112" s="42" t="s">
        <v>21</v>
      </c>
      <c r="R112" s="44"/>
    </row>
    <row r="113" spans="1:18" customFormat="1" ht="15" customHeight="1" x14ac:dyDescent="0.25">
      <c r="A113" t="str">
        <f t="shared" si="2"/>
        <v>Impianto Elettrico_Gruppo elettrogeno_ALR_CORRENTE_MAX-Allarme corrente massima Gruppo Elettrogeno</v>
      </c>
      <c r="B113" t="str">
        <f t="shared" si="3"/>
        <v>ALR_CORRENTE_MAX-Allarme corrente massima Gruppo Elettrogeno</v>
      </c>
      <c r="C113" t="str">
        <f>VLOOKUP(B113,'[2]Classi allarmi RMT-STIG_rev4'!$C:$C,1,0)</f>
        <v>ALR_CORRENTE_MAX-Allarme corrente massima Gruppo Elettrogeno</v>
      </c>
      <c r="D113" t="str">
        <f>VLOOKUP(B113,'EXPORT IRIS PROD 13-11-2024'!A:A,1,0)</f>
        <v>ALR_CORRENTE_MAX-Allarme corrente massima Gruppo Elettrogeno</v>
      </c>
      <c r="E113" t="str">
        <f>VLOOKUP(H113,'EXPORT IRIS PROD 13-11-2024'!F:F,1,0)</f>
        <v>ALR_CORRENTE_MAX</v>
      </c>
      <c r="F113" t="str">
        <f>VLOOKUP(I113,'EXPORT IRIS PROD 13-11-2024'!D:D,1,0)</f>
        <v>Allarme corrente massima Gruppo Elettrogeno</v>
      </c>
      <c r="G113" s="37" t="s">
        <v>53</v>
      </c>
      <c r="H113" s="38" t="s">
        <v>267</v>
      </c>
      <c r="I113" s="38" t="s">
        <v>268</v>
      </c>
      <c r="J113" s="39" t="s">
        <v>56</v>
      </c>
      <c r="K113" s="39" t="s">
        <v>57</v>
      </c>
      <c r="L113" s="40" t="s">
        <v>21</v>
      </c>
      <c r="M113" s="41" t="s">
        <v>22</v>
      </c>
      <c r="N113" s="42" t="s">
        <v>23</v>
      </c>
      <c r="O113" s="43" t="s">
        <v>24</v>
      </c>
      <c r="P113" s="42" t="s">
        <v>25</v>
      </c>
      <c r="Q113" s="42" t="s">
        <v>21</v>
      </c>
      <c r="R113" s="44"/>
    </row>
    <row r="114" spans="1:18" customFormat="1" ht="15" customHeight="1" x14ac:dyDescent="0.25">
      <c r="A114" t="str">
        <f t="shared" si="2"/>
        <v>Impianto Ventilazione_Ventilatore_ALR_CORRENTE_MIN-Allarme corrente minima</v>
      </c>
      <c r="B114" t="str">
        <f t="shared" si="3"/>
        <v>ALR_CORRENTE_MIN-Allarme corrente minima</v>
      </c>
      <c r="C114" t="str">
        <f>VLOOKUP(B114,'[2]Classi allarmi RMT-STIG_rev4'!$C:$C,1,0)</f>
        <v>ALR_CORRENTE_MIN-Allarme corrente minima</v>
      </c>
      <c r="D114" t="str">
        <f>VLOOKUP(B114,'EXPORT IRIS PROD 13-11-2024'!A:A,1,0)</f>
        <v>ALR_CORRENTE_MIN-Allarme corrente minima</v>
      </c>
      <c r="E114" t="str">
        <f>VLOOKUP(H114,'EXPORT IRIS PROD 13-11-2024'!F:F,1,0)</f>
        <v>ALR_CORRENTE_MIN</v>
      </c>
      <c r="F114" t="str">
        <f>VLOOKUP(I114,'EXPORT IRIS PROD 13-11-2024'!D:D,1,0)</f>
        <v>Allarme corrente minima</v>
      </c>
      <c r="G114" s="37" t="s">
        <v>85</v>
      </c>
      <c r="H114" s="38" t="s">
        <v>269</v>
      </c>
      <c r="I114" s="38" t="s">
        <v>270</v>
      </c>
      <c r="J114" s="39" t="s">
        <v>50</v>
      </c>
      <c r="K114" s="39" t="s">
        <v>124</v>
      </c>
      <c r="L114" s="40" t="s">
        <v>21</v>
      </c>
      <c r="M114" s="41" t="s">
        <v>22</v>
      </c>
      <c r="N114" s="42" t="s">
        <v>23</v>
      </c>
      <c r="O114" s="43" t="s">
        <v>24</v>
      </c>
      <c r="P114" s="42" t="s">
        <v>25</v>
      </c>
      <c r="Q114" s="42" t="s">
        <v>21</v>
      </c>
      <c r="R114" s="44"/>
    </row>
    <row r="115" spans="1:18" customFormat="1" ht="15" customHeight="1" x14ac:dyDescent="0.25">
      <c r="A115" t="str">
        <f t="shared" si="2"/>
        <v>Impianto Bypass_Serranda_ALR_CUMULATIVO-Allarme cumulativo serranda</v>
      </c>
      <c r="B115" t="str">
        <f t="shared" si="3"/>
        <v>ALR_CUMULATIVO-Allarme cumulativo serranda</v>
      </c>
      <c r="C115" t="str">
        <f>VLOOKUP(B115,'[2]Classi allarmi RMT-STIG_rev4'!$C:$C,1,0)</f>
        <v>ALR_CUMULATIVO-Allarme cumulativo serranda</v>
      </c>
      <c r="D115" t="str">
        <f>VLOOKUP(B115,'EXPORT IRIS PROD 13-11-2024'!A:A,1,0)</f>
        <v>ALR_CUMULATIVO-Allarme cumulativo serranda</v>
      </c>
      <c r="E115" t="str">
        <f>VLOOKUP(H115,'EXPORT IRIS PROD 13-11-2024'!F:F,1,0)</f>
        <v>ALR_CUMULATIVO</v>
      </c>
      <c r="F115" t="str">
        <f>VLOOKUP(I115,'EXPORT IRIS PROD 13-11-2024'!D:D,1,0)</f>
        <v>Allarme cumulativo serranda</v>
      </c>
      <c r="G115" s="37" t="s">
        <v>271</v>
      </c>
      <c r="H115" s="38" t="s">
        <v>272</v>
      </c>
      <c r="I115" s="38" t="s">
        <v>273</v>
      </c>
      <c r="J115" s="39" t="s">
        <v>274</v>
      </c>
      <c r="K115" s="39" t="s">
        <v>275</v>
      </c>
      <c r="L115" s="40" t="s">
        <v>21</v>
      </c>
      <c r="M115" s="41" t="s">
        <v>22</v>
      </c>
      <c r="N115" s="42" t="s">
        <v>23</v>
      </c>
      <c r="O115" s="43" t="s">
        <v>24</v>
      </c>
      <c r="P115" s="42" t="s">
        <v>25</v>
      </c>
      <c r="Q115" s="42" t="s">
        <v>21</v>
      </c>
      <c r="R115" s="44"/>
    </row>
    <row r="116" spans="1:18" customFormat="1" ht="15" customHeight="1" x14ac:dyDescent="0.25">
      <c r="A116" t="str">
        <f t="shared" si="2"/>
        <v>Impianto Elettrico_Gruppo elettrogeno_ALR_CUMULATIVO_GE-Allarme cumulativo GE</v>
      </c>
      <c r="B116" t="str">
        <f t="shared" si="3"/>
        <v>ALR_CUMULATIVO_GE-Allarme cumulativo GE</v>
      </c>
      <c r="C116" t="str">
        <f>VLOOKUP(B116,'[2]Classi allarmi RMT-STIG_rev4'!$C:$C,1,0)</f>
        <v>ALR_CUMULATIVO_GE-Allarme cumulativo GE</v>
      </c>
      <c r="D116" t="str">
        <f>VLOOKUP(B116,'EXPORT IRIS PROD 13-11-2024'!A:A,1,0)</f>
        <v>ALR_CUMULATIVO_GE-Allarme cumulativo GE</v>
      </c>
      <c r="E116" t="str">
        <f>VLOOKUP(H116,'EXPORT IRIS PROD 13-11-2024'!F:F,1,0)</f>
        <v>ALR_CUMULATIVO_GE</v>
      </c>
      <c r="F116" t="str">
        <f>VLOOKUP(I116,'EXPORT IRIS PROD 13-11-2024'!D:D,1,0)</f>
        <v>Allarme cumulativo GE</v>
      </c>
      <c r="G116" s="37" t="s">
        <v>53</v>
      </c>
      <c r="H116" s="38" t="s">
        <v>276</v>
      </c>
      <c r="I116" s="38" t="s">
        <v>277</v>
      </c>
      <c r="J116" s="39" t="s">
        <v>56</v>
      </c>
      <c r="K116" s="39" t="s">
        <v>57</v>
      </c>
      <c r="L116" s="40" t="s">
        <v>21</v>
      </c>
      <c r="M116" s="41" t="s">
        <v>22</v>
      </c>
      <c r="N116" s="42" t="s">
        <v>23</v>
      </c>
      <c r="O116" s="43" t="s">
        <v>24</v>
      </c>
      <c r="P116" s="42" t="s">
        <v>25</v>
      </c>
      <c r="Q116" s="42" t="s">
        <v>21</v>
      </c>
      <c r="R116" s="44"/>
    </row>
    <row r="117" spans="1:18" customFormat="1" ht="15" customHeight="1" x14ac:dyDescent="0.25">
      <c r="A117" t="str">
        <f t="shared" si="2"/>
        <v>Impianto Ventilazione_Ventilatore_ALR_CUMULATIVO_SOFT_START-Allarme cumulativo soft star</v>
      </c>
      <c r="B117" t="str">
        <f t="shared" si="3"/>
        <v>ALR_CUMULATIVO_SOFT_START-Allarme cumulativo soft star</v>
      </c>
      <c r="C117" t="str">
        <f>VLOOKUP(B117,'[2]Classi allarmi RMT-STIG_rev4'!$C:$C,1,0)</f>
        <v>ALR_CUMULATIVO_SOFT_START-Allarme cumulativo soft star</v>
      </c>
      <c r="D117" t="str">
        <f>VLOOKUP(B117,'EXPORT IRIS PROD 13-11-2024'!A:A,1,0)</f>
        <v>ALR_CUMULATIVO_SOFT_START-Allarme cumulativo soft star</v>
      </c>
      <c r="E117" t="str">
        <f>VLOOKUP(H117,'EXPORT IRIS PROD 13-11-2024'!F:F,1,0)</f>
        <v>ALR_CUMULATIVO_SOFT_START</v>
      </c>
      <c r="F117" t="str">
        <f>VLOOKUP(I117,'EXPORT IRIS PROD 13-11-2024'!D:D,1,0)</f>
        <v>Allarme cumulativo soft star</v>
      </c>
      <c r="G117" s="37" t="s">
        <v>85</v>
      </c>
      <c r="H117" s="38" t="s">
        <v>278</v>
      </c>
      <c r="I117" s="38" t="s">
        <v>279</v>
      </c>
      <c r="J117" s="39" t="s">
        <v>50</v>
      </c>
      <c r="K117" s="39" t="s">
        <v>124</v>
      </c>
      <c r="L117" s="40" t="s">
        <v>21</v>
      </c>
      <c r="M117" s="41" t="s">
        <v>22</v>
      </c>
      <c r="N117" s="42" t="s">
        <v>23</v>
      </c>
      <c r="O117" s="43" t="s">
        <v>24</v>
      </c>
      <c r="P117" s="42" t="s">
        <v>25</v>
      </c>
      <c r="Q117" s="42" t="s">
        <v>21</v>
      </c>
      <c r="R117" s="44"/>
    </row>
    <row r="118" spans="1:18" customFormat="1" ht="15" customHeight="1" x14ac:dyDescent="0.25">
      <c r="A118" t="str">
        <f t="shared" si="2"/>
        <v>Impianto Ventilazione_Ventilatore_ALR_CUMULATIVO_VENTILATORE-Allarme cumulativo ventilatore</v>
      </c>
      <c r="B118" t="str">
        <f t="shared" si="3"/>
        <v>ALR_CUMULATIVO_VENTILATORE-Allarme cumulativo ventilatore</v>
      </c>
      <c r="C118" t="str">
        <f>VLOOKUP(B118,'[2]Classi allarmi RMT-STIG_rev4'!$C:$C,1,0)</f>
        <v>ALR_CUMULATIVO_VENTILATORE-Allarme cumulativo ventilatore</v>
      </c>
      <c r="D118" t="str">
        <f>VLOOKUP(B118,'EXPORT IRIS PROD 13-11-2024'!A:A,1,0)</f>
        <v>ALR_CUMULATIVO_VENTILATORE-Allarme cumulativo ventilatore</v>
      </c>
      <c r="E118" t="str">
        <f>VLOOKUP(H118,'EXPORT IRIS PROD 13-11-2024'!F:F,1,0)</f>
        <v>ALR_CUMULATIVO_VENTILATORE</v>
      </c>
      <c r="F118" t="str">
        <f>VLOOKUP(I118,'EXPORT IRIS PROD 13-11-2024'!D:D,1,0)</f>
        <v>Allarme cumulativo ventilatore</v>
      </c>
      <c r="G118" s="37" t="s">
        <v>280</v>
      </c>
      <c r="H118" s="38" t="s">
        <v>281</v>
      </c>
      <c r="I118" s="38" t="s">
        <v>282</v>
      </c>
      <c r="J118" s="39" t="s">
        <v>50</v>
      </c>
      <c r="K118" s="39" t="s">
        <v>124</v>
      </c>
      <c r="L118" s="40" t="s">
        <v>21</v>
      </c>
      <c r="M118" s="41" t="s">
        <v>22</v>
      </c>
      <c r="N118" s="42" t="s">
        <v>23</v>
      </c>
      <c r="O118" s="43" t="s">
        <v>24</v>
      </c>
      <c r="P118" s="42" t="s">
        <v>25</v>
      </c>
      <c r="Q118" s="42" t="s">
        <v>21</v>
      </c>
      <c r="R118" s="44"/>
    </row>
    <row r="119" spans="1:18" customFormat="1" ht="15" customHeight="1" x14ac:dyDescent="0.25">
      <c r="A119" t="str">
        <f t="shared" si="2"/>
        <v>Impianto Ventilazione_Ventilatore_ALR_CUSCINETTO-Allarme cuscinetto</v>
      </c>
      <c r="B119" t="str">
        <f t="shared" si="3"/>
        <v>ALR_CUSCINETTO-Allarme cuscinetto</v>
      </c>
      <c r="C119" t="str">
        <f>VLOOKUP(B119,'[2]Classi allarmi RMT-STIG_rev4'!$C:$C,1,0)</f>
        <v>ALR_CUSCINETTO-Allarme cuscinetto</v>
      </c>
      <c r="D119" t="str">
        <f>VLOOKUP(B119,'EXPORT IRIS PROD 13-11-2024'!A:A,1,0)</f>
        <v>ALR_CUSCINETTO-Allarme cuscinetto</v>
      </c>
      <c r="E119" t="str">
        <f>VLOOKUP(H119,'EXPORT IRIS PROD 13-11-2024'!F:F,1,0)</f>
        <v>ALR_CUSCINETTO</v>
      </c>
      <c r="F119" t="str">
        <f>VLOOKUP(I119,'EXPORT IRIS PROD 13-11-2024'!D:D,1,0)</f>
        <v>Allarme cuscinetto</v>
      </c>
      <c r="G119" s="37" t="s">
        <v>85</v>
      </c>
      <c r="H119" s="38" t="s">
        <v>283</v>
      </c>
      <c r="I119" s="38" t="s">
        <v>284</v>
      </c>
      <c r="J119" s="39" t="s">
        <v>50</v>
      </c>
      <c r="K119" s="39" t="s">
        <v>124</v>
      </c>
      <c r="L119" s="40" t="s">
        <v>21</v>
      </c>
      <c r="M119" s="41" t="s">
        <v>22</v>
      </c>
      <c r="N119" s="42" t="s">
        <v>23</v>
      </c>
      <c r="O119" s="43" t="s">
        <v>24</v>
      </c>
      <c r="P119" s="42" t="s">
        <v>25</v>
      </c>
      <c r="Q119" s="42" t="s">
        <v>21</v>
      </c>
      <c r="R119" s="44"/>
    </row>
    <row r="120" spans="1:18" customFormat="1" ht="15" customHeight="1" x14ac:dyDescent="0.25">
      <c r="A120" t="str">
        <f t="shared" si="2"/>
        <v>Impianto Ventilazione_Ventilatore_ALR_CUSCINETTO_2-Allarme cuscinetto 2</v>
      </c>
      <c r="B120" t="str">
        <f t="shared" si="3"/>
        <v>ALR_CUSCINETTO_2-Allarme cuscinetto 2</v>
      </c>
      <c r="C120" t="str">
        <f>VLOOKUP(B120,'[2]Classi allarmi RMT-STIG_rev4'!$C:$C,1,0)</f>
        <v>ALR_CUSCINETTO_2-Allarme cuscinetto 2</v>
      </c>
      <c r="D120" t="str">
        <f>VLOOKUP(B120,'EXPORT IRIS PROD 13-11-2024'!A:A,1,0)</f>
        <v>ALR_CUSCINETTO_2-Allarme cuscinetto 2</v>
      </c>
      <c r="E120" t="str">
        <f>VLOOKUP(H120,'EXPORT IRIS PROD 13-11-2024'!F:F,1,0)</f>
        <v>ALR_CUSCINETTO_2</v>
      </c>
      <c r="F120" t="str">
        <f>VLOOKUP(I120,'EXPORT IRIS PROD 13-11-2024'!D:D,1,0)</f>
        <v>Allarme cuscinetto 2</v>
      </c>
      <c r="G120" s="37" t="s">
        <v>85</v>
      </c>
      <c r="H120" s="38" t="s">
        <v>285</v>
      </c>
      <c r="I120" s="38" t="s">
        <v>286</v>
      </c>
      <c r="J120" s="39" t="s">
        <v>50</v>
      </c>
      <c r="K120" s="39" t="s">
        <v>124</v>
      </c>
      <c r="L120" s="40" t="s">
        <v>21</v>
      </c>
      <c r="M120" s="41" t="s">
        <v>22</v>
      </c>
      <c r="N120" s="42" t="s">
        <v>23</v>
      </c>
      <c r="O120" s="43" t="s">
        <v>24</v>
      </c>
      <c r="P120" s="42" t="s">
        <v>25</v>
      </c>
      <c r="Q120" s="42" t="s">
        <v>21</v>
      </c>
      <c r="R120" s="44"/>
    </row>
    <row r="121" spans="1:18" ht="15" customHeight="1" x14ac:dyDescent="0.25">
      <c r="A121" t="str">
        <f t="shared" si="2"/>
        <v>Impianto Rete dati_PLC Rio_ALR_DIAGNOSTICA_IN_ERR-Allarme diagnostica in errore</v>
      </c>
      <c r="B121" t="str">
        <f t="shared" si="3"/>
        <v>ALR_DIAGNOSTICA_IN_ERR-Allarme diagnostica in errore</v>
      </c>
      <c r="C121" t="str">
        <f>VLOOKUP(B121,'[2]Classi allarmi RMT-STIG_rev4'!$C:$C,1,0)</f>
        <v>ALR_DIAGNOSTICA_IN_ERR-Allarme diagnostica in errore</v>
      </c>
      <c r="D121" t="str">
        <f>VLOOKUP(B121,'EXPORT IRIS PROD 13-11-2024'!A:A,1,0)</f>
        <v>ALR_DIAGNOSTICA_IN_ERR-Allarme diagnostica in errore</v>
      </c>
      <c r="E121" t="str">
        <f>VLOOKUP(H121,'EXPORT IRIS PROD 13-11-2024'!F:F,1,0)</f>
        <v>ALR_DIAGNOSTICA_IN_ERR</v>
      </c>
      <c r="F121" t="str">
        <f>VLOOKUP(I121,'EXPORT IRIS PROD 13-11-2024'!D:D,1,0)</f>
        <v>Allarme diagnostica in errore</v>
      </c>
      <c r="G121" s="37" t="s">
        <v>16</v>
      </c>
      <c r="H121" s="38" t="s">
        <v>287</v>
      </c>
      <c r="I121" s="38" t="s">
        <v>288</v>
      </c>
      <c r="J121" s="39" t="s">
        <v>19</v>
      </c>
      <c r="K121" s="39" t="s">
        <v>258</v>
      </c>
      <c r="L121" s="40" t="s">
        <v>21</v>
      </c>
      <c r="M121" s="41" t="s">
        <v>22</v>
      </c>
      <c r="N121" s="42" t="s">
        <v>23</v>
      </c>
      <c r="O121" s="43" t="s">
        <v>24</v>
      </c>
      <c r="P121" s="42" t="s">
        <v>25</v>
      </c>
      <c r="Q121" s="42" t="s">
        <v>21</v>
      </c>
      <c r="R121" s="44"/>
    </row>
    <row r="122" spans="1:18" ht="15" customHeight="1" x14ac:dyDescent="0.25">
      <c r="A122" t="str">
        <f t="shared" si="2"/>
        <v>Impianto Elettrico_Interruttore differenziale_ALR_DIFFERENZIALE-Allarme differenziale</v>
      </c>
      <c r="B122" t="str">
        <f t="shared" si="3"/>
        <v>ALR_DIFFERENZIALE-Allarme differenziale</v>
      </c>
      <c r="C122" t="str">
        <f>VLOOKUP(B122,'[2]Classi allarmi RMT-STIG_rev4'!$C:$C,1,0)</f>
        <v>ALR_DIFFERENZIALE-Allarme differenziale</v>
      </c>
      <c r="D122" t="str">
        <f>VLOOKUP(B122,'EXPORT IRIS PROD 13-11-2024'!A:A,1,0)</f>
        <v>ALR_DIFFERENZIALE-Allarme differenziale</v>
      </c>
      <c r="E122" t="str">
        <f>VLOOKUP(H122,'EXPORT IRIS PROD 13-11-2024'!F:F,1,0)</f>
        <v>ALR_DIFFERENZIALE</v>
      </c>
      <c r="F122" t="str">
        <f>VLOOKUP(I122,'EXPORT IRIS PROD 13-11-2024'!D:D,1,0)</f>
        <v>Allarme differenziale</v>
      </c>
      <c r="G122" s="37" t="s">
        <v>53</v>
      </c>
      <c r="H122" s="38" t="s">
        <v>289</v>
      </c>
      <c r="I122" s="38" t="s">
        <v>290</v>
      </c>
      <c r="J122" s="39" t="s">
        <v>56</v>
      </c>
      <c r="K122" s="39" t="s">
        <v>291</v>
      </c>
      <c r="L122" s="40" t="s">
        <v>21</v>
      </c>
      <c r="M122" s="41" t="s">
        <v>22</v>
      </c>
      <c r="N122" s="42" t="s">
        <v>23</v>
      </c>
      <c r="O122" s="43" t="s">
        <v>24</v>
      </c>
      <c r="P122" s="42" t="s">
        <v>25</v>
      </c>
      <c r="Q122" s="42" t="s">
        <v>21</v>
      </c>
      <c r="R122" s="44"/>
    </row>
    <row r="123" spans="1:18" customFormat="1" ht="15" customHeight="1" x14ac:dyDescent="0.25">
      <c r="A123" t="str">
        <f t="shared" si="2"/>
        <v>Impianto Antincendio_Centralina antincendio_ALR_DIRETTI-Allarmi diretti: Sala pompe</v>
      </c>
      <c r="B123" t="str">
        <f t="shared" si="3"/>
        <v>ALR_DIRETTI-Allarmi diretti: Sala pompe</v>
      </c>
      <c r="C123" t="str">
        <f>VLOOKUP(B123,'[2]Classi allarmi RMT-STIG_rev4'!$C:$C,1,0)</f>
        <v>ALR_DIRETTI-Allarmi diretti: Sala pompe</v>
      </c>
      <c r="D123" t="str">
        <f>VLOOKUP(B123,'EXPORT IRIS PROD 13-11-2024'!A:A,1,0)</f>
        <v>ALR_DIRETTI-Allarmi diretti: Sala pompe</v>
      </c>
      <c r="E123" t="str">
        <f>VLOOKUP(H123,'EXPORT IRIS PROD 13-11-2024'!F:F,1,0)</f>
        <v>ALR_DIRETTI</v>
      </c>
      <c r="F123" t="str">
        <f>VLOOKUP(I123,'EXPORT IRIS PROD 13-11-2024'!D:D,1,0)</f>
        <v>Allarmi diretti: Sala pompe</v>
      </c>
      <c r="G123" s="37" t="s">
        <v>35</v>
      </c>
      <c r="H123" s="38" t="s">
        <v>292</v>
      </c>
      <c r="I123" s="38" t="s">
        <v>293</v>
      </c>
      <c r="J123" s="39" t="s">
        <v>38</v>
      </c>
      <c r="K123" s="39" t="s">
        <v>130</v>
      </c>
      <c r="L123" s="40" t="s">
        <v>21</v>
      </c>
      <c r="M123" s="41" t="s">
        <v>22</v>
      </c>
      <c r="N123" s="42" t="s">
        <v>23</v>
      </c>
      <c r="O123" s="43" t="s">
        <v>157</v>
      </c>
      <c r="P123" s="42" t="s">
        <v>158</v>
      </c>
      <c r="Q123" s="42" t="s">
        <v>21</v>
      </c>
      <c r="R123" s="51"/>
    </row>
    <row r="124" spans="1:18" customFormat="1" ht="15" customHeight="1" x14ac:dyDescent="0.25">
      <c r="A124" t="str">
        <f t="shared" si="2"/>
        <v>Impianto Ventilazione_Anemometro_ALR_DISCONNESSO-Allarme sensore disconnesso</v>
      </c>
      <c r="B124" t="str">
        <f t="shared" si="3"/>
        <v>ALR_DISCONNESSO-Allarme sensore disconnesso</v>
      </c>
      <c r="C124" t="str">
        <f>VLOOKUP(B124,'[2]Classi allarmi RMT-STIG_rev4'!$C:$C,1,0)</f>
        <v>ALR_DISCONNESSO-Allarme sensore disconnesso</v>
      </c>
      <c r="D124" t="str">
        <f>VLOOKUP(B124,'EXPORT IRIS PROD 13-11-2024'!A:A,1,0)</f>
        <v>ALR_DISCONNESSO-Allarme sensore disconnesso</v>
      </c>
      <c r="E124" t="str">
        <f>VLOOKUP(H124,'EXPORT IRIS PROD 13-11-2024'!F:F,1,0)</f>
        <v>ALR_DISCONNESSO</v>
      </c>
      <c r="F124" t="str">
        <f>VLOOKUP(I124,'EXPORT IRIS PROD 13-11-2024'!D:D,1,0)</f>
        <v>Allarme sensore disconnesso</v>
      </c>
      <c r="G124" s="37" t="s">
        <v>85</v>
      </c>
      <c r="H124" s="38" t="s">
        <v>294</v>
      </c>
      <c r="I124" s="38" t="s">
        <v>295</v>
      </c>
      <c r="J124" s="39" t="s">
        <v>50</v>
      </c>
      <c r="K124" s="39" t="s">
        <v>88</v>
      </c>
      <c r="L124" s="40" t="s">
        <v>21</v>
      </c>
      <c r="M124" s="41" t="s">
        <v>22</v>
      </c>
      <c r="N124" s="42" t="s">
        <v>23</v>
      </c>
      <c r="O124" s="43" t="s">
        <v>24</v>
      </c>
      <c r="P124" s="42" t="s">
        <v>25</v>
      </c>
      <c r="Q124" s="42" t="s">
        <v>21</v>
      </c>
      <c r="R124" s="44"/>
    </row>
    <row r="125" spans="1:18" customFormat="1" ht="15" customHeight="1" x14ac:dyDescent="0.25">
      <c r="A125" t="str">
        <f t="shared" si="2"/>
        <v>Impianto Ventilazione_CO_ALR_DISCONNESSO-Allarme sensore disconnesso</v>
      </c>
      <c r="B125" t="str">
        <f t="shared" si="3"/>
        <v>ALR_DISCONNESSO-Allarme sensore disconnesso</v>
      </c>
      <c r="C125" t="str">
        <f>VLOOKUP(B125,'[2]Classi allarmi RMT-STIG_rev4'!$C:$C,1,0)</f>
        <v>ALR_DISCONNESSO-Allarme sensore disconnesso</v>
      </c>
      <c r="D125" t="str">
        <f>VLOOKUP(B125,'EXPORT IRIS PROD 13-11-2024'!A:A,1,0)</f>
        <v>ALR_DISCONNESSO-Allarme sensore disconnesso</v>
      </c>
      <c r="E125" t="str">
        <f>VLOOKUP(H125,'EXPORT IRIS PROD 13-11-2024'!F:F,1,0)</f>
        <v>ALR_DISCONNESSO</v>
      </c>
      <c r="F125" t="str">
        <f>VLOOKUP(I125,'EXPORT IRIS PROD 13-11-2024'!D:D,1,0)</f>
        <v>Allarme sensore disconnesso</v>
      </c>
      <c r="G125" s="37" t="s">
        <v>85</v>
      </c>
      <c r="H125" s="38" t="s">
        <v>294</v>
      </c>
      <c r="I125" s="38" t="s">
        <v>295</v>
      </c>
      <c r="J125" s="39" t="s">
        <v>50</v>
      </c>
      <c r="K125" s="39" t="s">
        <v>51</v>
      </c>
      <c r="L125" s="40" t="s">
        <v>21</v>
      </c>
      <c r="M125" s="41" t="s">
        <v>22</v>
      </c>
      <c r="N125" s="42" t="s">
        <v>23</v>
      </c>
      <c r="O125" s="43" t="s">
        <v>24</v>
      </c>
      <c r="P125" s="42" t="s">
        <v>25</v>
      </c>
      <c r="Q125" s="42" t="s">
        <v>21</v>
      </c>
      <c r="R125" s="44"/>
    </row>
    <row r="126" spans="1:18" customFormat="1" ht="15" customHeight="1" x14ac:dyDescent="0.25">
      <c r="A126" t="str">
        <f t="shared" si="2"/>
        <v>Impianto Ventilazione_OP_ALR_DISCONNESSO-Allarme sensore disconnesso</v>
      </c>
      <c r="B126" t="str">
        <f t="shared" si="3"/>
        <v>ALR_DISCONNESSO-Allarme sensore disconnesso</v>
      </c>
      <c r="C126" t="str">
        <f>VLOOKUP(B126,'[2]Classi allarmi RMT-STIG_rev4'!$C:$C,1,0)</f>
        <v>ALR_DISCONNESSO-Allarme sensore disconnesso</v>
      </c>
      <c r="D126" t="str">
        <f>VLOOKUP(B126,'EXPORT IRIS PROD 13-11-2024'!A:A,1,0)</f>
        <v>ALR_DISCONNESSO-Allarme sensore disconnesso</v>
      </c>
      <c r="E126" t="str">
        <f>VLOOKUP(H126,'EXPORT IRIS PROD 13-11-2024'!F:F,1,0)</f>
        <v>ALR_DISCONNESSO</v>
      </c>
      <c r="F126" t="str">
        <f>VLOOKUP(I126,'EXPORT IRIS PROD 13-11-2024'!D:D,1,0)</f>
        <v>Allarme sensore disconnesso</v>
      </c>
      <c r="G126" s="37" t="s">
        <v>85</v>
      </c>
      <c r="H126" s="38" t="s">
        <v>294</v>
      </c>
      <c r="I126" s="38" t="s">
        <v>295</v>
      </c>
      <c r="J126" s="39" t="s">
        <v>50</v>
      </c>
      <c r="K126" s="39" t="s">
        <v>52</v>
      </c>
      <c r="L126" s="40" t="s">
        <v>21</v>
      </c>
      <c r="M126" s="41" t="s">
        <v>22</v>
      </c>
      <c r="N126" s="42" t="s">
        <v>23</v>
      </c>
      <c r="O126" s="43" t="s">
        <v>24</v>
      </c>
      <c r="P126" s="42" t="s">
        <v>25</v>
      </c>
      <c r="Q126" s="42" t="s">
        <v>21</v>
      </c>
      <c r="R126" s="44"/>
    </row>
    <row r="127" spans="1:18" customFormat="1" ht="15" customHeight="1" x14ac:dyDescent="0.25">
      <c r="A127" t="str">
        <f t="shared" si="2"/>
        <v>Impianto Elettrico_Trasformatore_ALR_DISTACCO_TRAFO-Allarme distacco trafo</v>
      </c>
      <c r="B127" t="str">
        <f t="shared" si="3"/>
        <v>ALR_DISTACCO_TRAFO-Allarme distacco trafo</v>
      </c>
      <c r="C127" t="str">
        <f>VLOOKUP(B127,'[2]Classi allarmi RMT-STIG_rev4'!$C:$C,1,0)</f>
        <v>ALR_DISTACCO_TRAFO-Allarme distacco trafo</v>
      </c>
      <c r="D127" t="str">
        <f>VLOOKUP(B127,'EXPORT IRIS PROD 13-11-2024'!A:A,1,0)</f>
        <v>ALR_DISTACCO_TRAFO-Allarme distacco trafo</v>
      </c>
      <c r="E127" t="str">
        <f>VLOOKUP(H127,'EXPORT IRIS PROD 13-11-2024'!F:F,1,0)</f>
        <v>ALR_DISTACCO_TRAFO</v>
      </c>
      <c r="F127" t="str">
        <f>VLOOKUP(I127,'EXPORT IRIS PROD 13-11-2024'!D:D,1,0)</f>
        <v>Allarme distacco trafo</v>
      </c>
      <c r="G127" s="37" t="s">
        <v>53</v>
      </c>
      <c r="H127" s="38" t="s">
        <v>296</v>
      </c>
      <c r="I127" s="38" t="s">
        <v>297</v>
      </c>
      <c r="J127" s="39" t="s">
        <v>56</v>
      </c>
      <c r="K127" s="39" t="s">
        <v>208</v>
      </c>
      <c r="L127" s="40" t="s">
        <v>21</v>
      </c>
      <c r="M127" s="41" t="s">
        <v>22</v>
      </c>
      <c r="N127" s="42" t="s">
        <v>23</v>
      </c>
      <c r="O127" s="43" t="s">
        <v>24</v>
      </c>
      <c r="P127" s="42" t="s">
        <v>25</v>
      </c>
      <c r="Q127" s="42" t="s">
        <v>21</v>
      </c>
      <c r="R127" s="44"/>
    </row>
    <row r="128" spans="1:18" customFormat="1" ht="15" customHeight="1" x14ac:dyDescent="0.25">
      <c r="A128" t="str">
        <f t="shared" si="2"/>
        <v>Impianto Antincendio_Elettropompa_ALR_ELETTROPOMPA_AVVIATA-Allarme elettropompa avviata</v>
      </c>
      <c r="B128" t="str">
        <f t="shared" si="3"/>
        <v>ALR_ELETTROPOMPA_AVVIATA-Allarme elettropompa avviata</v>
      </c>
      <c r="C128" t="str">
        <f>VLOOKUP(B128,'[2]Classi allarmi RMT-STIG_rev4'!$C:$C,1,0)</f>
        <v>ALR_ELETTROPOMPA_AVVIATA-Allarme elettropompa avviata</v>
      </c>
      <c r="D128" t="str">
        <f>VLOOKUP(B128,'EXPORT IRIS PROD 13-11-2024'!A:A,1,0)</f>
        <v>ALR_ELETTROPOMPA_AVVIATA-Allarme elettropompa avviata</v>
      </c>
      <c r="E128" t="str">
        <f>VLOOKUP(H128,'EXPORT IRIS PROD 13-11-2024'!F:F,1,0)</f>
        <v>ALR_ELETTROPOMPA_AVVIATA</v>
      </c>
      <c r="F128" t="str">
        <f>VLOOKUP(I128,'EXPORT IRIS PROD 13-11-2024'!D:D,1,0)</f>
        <v>Allarme elettropompa avviata</v>
      </c>
      <c r="G128" s="37" t="s">
        <v>298</v>
      </c>
      <c r="H128" s="38" t="s">
        <v>299</v>
      </c>
      <c r="I128" s="38" t="s">
        <v>300</v>
      </c>
      <c r="J128" s="39" t="s">
        <v>38</v>
      </c>
      <c r="K128" s="39" t="s">
        <v>301</v>
      </c>
      <c r="L128" s="40" t="s">
        <v>31</v>
      </c>
      <c r="M128" s="41" t="s">
        <v>32</v>
      </c>
      <c r="N128" s="43">
        <v>2</v>
      </c>
      <c r="O128" s="43" t="s">
        <v>33</v>
      </c>
      <c r="P128" s="42" t="s">
        <v>34</v>
      </c>
      <c r="Q128" s="42" t="s">
        <v>31</v>
      </c>
      <c r="R128" s="44"/>
    </row>
    <row r="129" spans="1:18" customFormat="1" ht="15" customHeight="1" x14ac:dyDescent="0.25">
      <c r="A129" t="str">
        <f t="shared" si="2"/>
        <v>Impianto Antincendio_Elettrovalvola_ALR_ELETTROVALVOLA_APERTA-Allarme elettrovalvola antincendio aperta</v>
      </c>
      <c r="B129" t="str">
        <f t="shared" si="3"/>
        <v>ALR_ELETTROVALVOLA_APERTA-Allarme elettrovalvola antincendio aperta</v>
      </c>
      <c r="C129" t="str">
        <f>VLOOKUP(B129,'[2]Classi allarmi RMT-STIG_rev4'!$C:$C,1,0)</f>
        <v>ALR_ELETTROVALVOLA_APERTA-Allarme elettrovalvola antincendio aperta</v>
      </c>
      <c r="D129" t="str">
        <f>VLOOKUP(B129,'EXPORT IRIS PROD 13-11-2024'!A:A,1,0)</f>
        <v>ALR_ELETTROVALVOLA_APERTA-Allarme elettrovalvola antincendio aperta</v>
      </c>
      <c r="E129" t="str">
        <f>VLOOKUP(H129,'EXPORT IRIS PROD 13-11-2024'!F:F,1,0)</f>
        <v>ALR_ELETTROVALVOLA_APERTA</v>
      </c>
      <c r="F129" t="str">
        <f>VLOOKUP(I129,'EXPORT IRIS PROD 13-11-2024'!D:D,1,0)</f>
        <v>Allarme elettrovalvola antincendio aperta</v>
      </c>
      <c r="G129" s="37" t="s">
        <v>298</v>
      </c>
      <c r="H129" s="38" t="s">
        <v>302</v>
      </c>
      <c r="I129" s="38" t="s">
        <v>303</v>
      </c>
      <c r="J129" s="39" t="s">
        <v>38</v>
      </c>
      <c r="K129" s="39" t="s">
        <v>304</v>
      </c>
      <c r="L129" s="40" t="s">
        <v>21</v>
      </c>
      <c r="M129" s="41" t="s">
        <v>22</v>
      </c>
      <c r="N129" s="42" t="s">
        <v>23</v>
      </c>
      <c r="O129" s="43" t="s">
        <v>24</v>
      </c>
      <c r="P129" s="42" t="s">
        <v>25</v>
      </c>
      <c r="Q129" s="42" t="s">
        <v>21</v>
      </c>
      <c r="R129" s="52"/>
    </row>
    <row r="130" spans="1:18" customFormat="1" ht="15" customHeight="1" x14ac:dyDescent="0.25">
      <c r="A130" t="str">
        <f t="shared" ref="A130:A193" si="4">CONCATENATE(J130,"_",K130,"_",B130)</f>
        <v>Impianto Elettrico_Gruppo elettrogeno_ALR_ERRORE_COMUNICAZIONE-Allarme errore comunicazione dispositivo</v>
      </c>
      <c r="B130" t="str">
        <f t="shared" si="3"/>
        <v>ALR_ERRORE_COMUNICAZIONE-Allarme errore comunicazione dispositivo</v>
      </c>
      <c r="C130" t="str">
        <f>VLOOKUP(B130,'[2]Classi allarmi RMT-STIG_rev4'!$C:$C,1,0)</f>
        <v>ALR_ERRORE_COMUNICAZIONE-Allarme errore comunicazione dispositivo</v>
      </c>
      <c r="D130" t="str">
        <f>VLOOKUP(B130,'EXPORT IRIS PROD 13-11-2024'!A:A,1,0)</f>
        <v>ALR_ERRORE_COMUNICAZIONE-Allarme errore comunicazione dispositivo</v>
      </c>
      <c r="E130" t="str">
        <f>VLOOKUP(H130,'EXPORT IRIS PROD 13-11-2024'!F:F,1,0)</f>
        <v>ALR_ERRORE_COMUNICAZIONE</v>
      </c>
      <c r="F130" t="str">
        <f>VLOOKUP(I130,'EXPORT IRIS PROD 13-11-2024'!D:D,1,0)</f>
        <v>Allarme errore comunicazione dispositivo</v>
      </c>
      <c r="G130" s="37" t="s">
        <v>53</v>
      </c>
      <c r="H130" s="38" t="s">
        <v>305</v>
      </c>
      <c r="I130" s="38" t="s">
        <v>306</v>
      </c>
      <c r="J130" s="39" t="s">
        <v>56</v>
      </c>
      <c r="K130" s="39" t="s">
        <v>57</v>
      </c>
      <c r="L130" s="40" t="s">
        <v>21</v>
      </c>
      <c r="M130" s="41" t="s">
        <v>22</v>
      </c>
      <c r="N130" s="42" t="s">
        <v>23</v>
      </c>
      <c r="O130" s="43" t="s">
        <v>24</v>
      </c>
      <c r="P130" s="42" t="s">
        <v>25</v>
      </c>
      <c r="Q130" s="42" t="s">
        <v>21</v>
      </c>
      <c r="R130" s="44"/>
    </row>
    <row r="131" spans="1:18" customFormat="1" ht="15" customHeight="1" x14ac:dyDescent="0.25">
      <c r="A131" t="str">
        <f t="shared" si="4"/>
        <v>Impianto Canalizzazione_PMV/Frecciacroce_ALR_ERRORE_ESECUZIONE_CMD-Allarme esecuzione comandi</v>
      </c>
      <c r="B131" t="str">
        <f t="shared" ref="B131:B194" si="5">CONCATENATE(H131,"-",I131)</f>
        <v>ALR_ERRORE_ESECUZIONE_CMD-Allarme esecuzione comandi</v>
      </c>
      <c r="C131" t="str">
        <f>VLOOKUP(B131,'[2]Classi allarmi RMT-STIG_rev4'!$C:$C,1,0)</f>
        <v>ALR_ERRORE_ESECUZIONE_CMD-Allarme esecuzione comandi</v>
      </c>
      <c r="D131" t="str">
        <f>VLOOKUP(B131,'EXPORT IRIS PROD 13-11-2024'!A:A,1,0)</f>
        <v>ALR_ERRORE_ESECUZIONE_CMD-Allarme esecuzione comandi</v>
      </c>
      <c r="E131" t="str">
        <f>VLOOKUP(H131,'EXPORT IRIS PROD 13-11-2024'!F:F,1,0)</f>
        <v>ALR_ERRORE_ESECUZIONE_CMD</v>
      </c>
      <c r="F131" t="str">
        <f>VLOOKUP(I131,'EXPORT IRIS PROD 13-11-2024'!D:D,1,0)</f>
        <v>Allarme esecuzione comandi</v>
      </c>
      <c r="G131" s="37" t="s">
        <v>109</v>
      </c>
      <c r="H131" s="38" t="s">
        <v>307</v>
      </c>
      <c r="I131" s="38" t="s">
        <v>308</v>
      </c>
      <c r="J131" s="39" t="s">
        <v>111</v>
      </c>
      <c r="K131" s="39" t="s">
        <v>127</v>
      </c>
      <c r="L131" s="40" t="s">
        <v>21</v>
      </c>
      <c r="M131" s="41" t="s">
        <v>22</v>
      </c>
      <c r="N131" s="42" t="s">
        <v>23</v>
      </c>
      <c r="O131" s="43" t="s">
        <v>24</v>
      </c>
      <c r="P131" s="42" t="s">
        <v>25</v>
      </c>
      <c r="Q131" s="42" t="s">
        <v>21</v>
      </c>
      <c r="R131" s="44"/>
    </row>
    <row r="132" spans="1:18" customFormat="1" ht="15" customHeight="1" x14ac:dyDescent="0.25">
      <c r="A132" t="str">
        <f t="shared" si="4"/>
        <v>Impianto Ventilazione_OP_ALR_ESCLUSIONE-Allarme esclusione</v>
      </c>
      <c r="B132" t="str">
        <f t="shared" si="5"/>
        <v>ALR_ESCLUSIONE-Allarme esclusione</v>
      </c>
      <c r="C132" t="str">
        <f>VLOOKUP(B132,'[2]Classi allarmi RMT-STIG_rev4'!$C:$C,1,0)</f>
        <v>ALR_ESCLUSIONE-Allarme esclusione</v>
      </c>
      <c r="D132" t="str">
        <f>VLOOKUP(B132,'EXPORT IRIS PROD 13-11-2024'!A:A,1,0)</f>
        <v>ALR_ESCLUSIONE-Allarme esclusione</v>
      </c>
      <c r="E132" t="str">
        <f>VLOOKUP(H132,'EXPORT IRIS PROD 13-11-2024'!F:F,1,0)</f>
        <v>ALR_ESCLUSIONE</v>
      </c>
      <c r="F132" t="str">
        <f>VLOOKUP(I132,'EXPORT IRIS PROD 13-11-2024'!D:D,1,0)</f>
        <v>Allarme esclusione</v>
      </c>
      <c r="G132" s="37" t="s">
        <v>85</v>
      </c>
      <c r="H132" s="38" t="s">
        <v>309</v>
      </c>
      <c r="I132" s="38" t="s">
        <v>310</v>
      </c>
      <c r="J132" s="39" t="s">
        <v>50</v>
      </c>
      <c r="K132" s="39" t="s">
        <v>52</v>
      </c>
      <c r="L132" s="40" t="s">
        <v>21</v>
      </c>
      <c r="M132" s="41" t="s">
        <v>22</v>
      </c>
      <c r="N132" s="42" t="s">
        <v>23</v>
      </c>
      <c r="O132" s="43" t="s">
        <v>24</v>
      </c>
      <c r="P132" s="42" t="s">
        <v>25</v>
      </c>
      <c r="Q132" s="42" t="s">
        <v>21</v>
      </c>
      <c r="R132" s="44"/>
    </row>
    <row r="133" spans="1:18" customFormat="1" ht="15" customHeight="1" x14ac:dyDescent="0.25">
      <c r="A133" t="str">
        <f t="shared" si="4"/>
        <v>Impianto Antincendio_Motopompa_ALR_ESCLUSO_AUTO_MOTOPOMPA-Allarme esclusione Motopompa</v>
      </c>
      <c r="B133" t="str">
        <f t="shared" si="5"/>
        <v>ALR_ESCLUSO_AUTO_MOTOPOMPA-Allarme esclusione Motopompa</v>
      </c>
      <c r="C133" t="str">
        <f>VLOOKUP(B133,'[2]Classi allarmi RMT-STIG_rev4'!$C:$C,1,0)</f>
        <v>ALR_ESCLUSO_AUTO_MOTOPOMPA-Allarme esclusione Motopompa</v>
      </c>
      <c r="D133" t="str">
        <f>VLOOKUP(B133,'EXPORT IRIS PROD 13-11-2024'!A:A,1,0)</f>
        <v>ALR_ESCLUSO_AUTO_MOTOPOMPA-Allarme esclusione Motopompa</v>
      </c>
      <c r="E133" t="str">
        <f>VLOOKUP(H133,'EXPORT IRIS PROD 13-11-2024'!F:F,1,0)</f>
        <v>ALR_ESCLUSO_AUTO_MOTOPOMPA</v>
      </c>
      <c r="F133" t="str">
        <f>VLOOKUP(I133,'EXPORT IRIS PROD 13-11-2024'!D:D,1,0)</f>
        <v>Allarme esclusione Motopompa</v>
      </c>
      <c r="G133" s="37" t="s">
        <v>35</v>
      </c>
      <c r="H133" s="38" t="s">
        <v>311</v>
      </c>
      <c r="I133" s="38" t="s">
        <v>312</v>
      </c>
      <c r="J133" s="39" t="s">
        <v>38</v>
      </c>
      <c r="K133" s="39" t="s">
        <v>172</v>
      </c>
      <c r="L133" s="40" t="s">
        <v>21</v>
      </c>
      <c r="M133" s="41" t="s">
        <v>22</v>
      </c>
      <c r="N133" s="42" t="s">
        <v>23</v>
      </c>
      <c r="O133" s="43" t="s">
        <v>24</v>
      </c>
      <c r="P133" s="42" t="s">
        <v>25</v>
      </c>
      <c r="Q133" s="42" t="s">
        <v>21</v>
      </c>
      <c r="R133" s="44"/>
    </row>
    <row r="134" spans="1:18" customFormat="1" ht="15" customHeight="1" x14ac:dyDescent="0.25">
      <c r="A134" t="str">
        <f t="shared" si="4"/>
        <v>Impianto SOS_Colonnina Sos_ALR_ESTRAZIONE_ESTINTORE-Allarme SOS estintore estratto</v>
      </c>
      <c r="B134" t="str">
        <f t="shared" si="5"/>
        <v>ALR_ESTRAZIONE_ESTINTORE-Allarme SOS estintore estratto</v>
      </c>
      <c r="C134" t="str">
        <f>VLOOKUP(B134,'[2]Classi allarmi RMT-STIG_rev4'!$C:$C,1,0)</f>
        <v>ALR_ESTRAZIONE_ESTINTORE-Allarme SOS estintore estratto</v>
      </c>
      <c r="D134" t="str">
        <f>VLOOKUP(B134,'EXPORT IRIS PROD 13-11-2024'!A:A,1,0)</f>
        <v>ALR_ESTRAZIONE_ESTINTORE-Allarme SOS estintore estratto</v>
      </c>
      <c r="E134" t="str">
        <f>VLOOKUP(H134,'EXPORT IRIS PROD 13-11-2024'!F:F,1,0)</f>
        <v>ALR_ESTRAZIONE_ESTINTORE</v>
      </c>
      <c r="F134" t="str">
        <f>VLOOKUP(I134,'EXPORT IRIS PROD 13-11-2024'!D:D,1,0)</f>
        <v>Allarme SOS estintore estratto</v>
      </c>
      <c r="G134" s="37" t="s">
        <v>26</v>
      </c>
      <c r="H134" s="38" t="s">
        <v>313</v>
      </c>
      <c r="I134" s="45" t="s">
        <v>314</v>
      </c>
      <c r="J134" s="46" t="s">
        <v>29</v>
      </c>
      <c r="K134" s="46" t="s">
        <v>30</v>
      </c>
      <c r="L134" s="47" t="s">
        <v>31</v>
      </c>
      <c r="M134" s="48" t="s">
        <v>32</v>
      </c>
      <c r="N134" s="43">
        <v>1</v>
      </c>
      <c r="O134" s="43" t="s">
        <v>24</v>
      </c>
      <c r="P134" s="43" t="s">
        <v>25</v>
      </c>
      <c r="Q134" s="42" t="s">
        <v>21</v>
      </c>
      <c r="R134" s="49"/>
    </row>
    <row r="135" spans="1:18" customFormat="1" ht="15" customHeight="1" x14ac:dyDescent="0.25">
      <c r="A135" t="str">
        <f t="shared" si="4"/>
        <v>Impianto SOS_Colonnina Sos_ALR_ESTRAZIONE_ESTINTORE_2-Allarme SOS estintore 2 estratto</v>
      </c>
      <c r="B135" t="str">
        <f t="shared" si="5"/>
        <v>ALR_ESTRAZIONE_ESTINTORE_2-Allarme SOS estintore 2 estratto</v>
      </c>
      <c r="C135" t="str">
        <f>VLOOKUP(B135,'[2]Classi allarmi RMT-STIG_rev4'!$C:$C,1,0)</f>
        <v>ALR_ESTRAZIONE_ESTINTORE_2-Allarme SOS estintore 2 estratto</v>
      </c>
      <c r="D135" t="str">
        <f>VLOOKUP(B135,'EXPORT IRIS PROD 13-11-2024'!A:A,1,0)</f>
        <v>ALR_ESTRAZIONE_ESTINTORE_2-Allarme SOS estintore 2 estratto</v>
      </c>
      <c r="E135" t="str">
        <f>VLOOKUP(H135,'EXPORT IRIS PROD 13-11-2024'!F:F,1,0)</f>
        <v>ALR_ESTRAZIONE_ESTINTORE_2</v>
      </c>
      <c r="F135" t="str">
        <f>VLOOKUP(I135,'EXPORT IRIS PROD 13-11-2024'!D:D,1,0)</f>
        <v>Allarme SOS estintore 2 estratto</v>
      </c>
      <c r="G135" s="37" t="s">
        <v>26</v>
      </c>
      <c r="H135" s="38" t="s">
        <v>315</v>
      </c>
      <c r="I135" s="45" t="s">
        <v>316</v>
      </c>
      <c r="J135" s="46" t="s">
        <v>29</v>
      </c>
      <c r="K135" s="46" t="s">
        <v>30</v>
      </c>
      <c r="L135" s="47" t="s">
        <v>31</v>
      </c>
      <c r="M135" s="48" t="s">
        <v>32</v>
      </c>
      <c r="N135" s="43">
        <v>1</v>
      </c>
      <c r="O135" s="43" t="s">
        <v>24</v>
      </c>
      <c r="P135" s="43" t="s">
        <v>25</v>
      </c>
      <c r="Q135" s="42" t="s">
        <v>21</v>
      </c>
      <c r="R135" s="49"/>
    </row>
    <row r="136" spans="1:18" customFormat="1" ht="15" customHeight="1" x14ac:dyDescent="0.25">
      <c r="A136" t="str">
        <f t="shared" si="4"/>
        <v>Impianto Elettrico_Gruppo elettrogeno_ALR_FILO_ISOLATO-Allarme filo D+ isolato</v>
      </c>
      <c r="B136" t="str">
        <f t="shared" si="5"/>
        <v>ALR_FILO_ISOLATO-Allarme filo D+ isolato</v>
      </c>
      <c r="C136" t="str">
        <f>VLOOKUP(B136,'[2]Classi allarmi RMT-STIG_rev4'!$C:$C,1,0)</f>
        <v>ALR_FILO_ISOLATO-Allarme filo D+ isolato</v>
      </c>
      <c r="D136" t="str">
        <f>VLOOKUP(B136,'EXPORT IRIS PROD 13-11-2024'!A:A,1,0)</f>
        <v>ALR_FILO_ISOLATO-Allarme filo D+ isolato</v>
      </c>
      <c r="E136" t="str">
        <f>VLOOKUP(H136,'EXPORT IRIS PROD 13-11-2024'!F:F,1,0)</f>
        <v>ALR_FILO_ISOLATO</v>
      </c>
      <c r="F136" t="str">
        <f>VLOOKUP(I136,'EXPORT IRIS PROD 13-11-2024'!D:D,1,0)</f>
        <v>Allarme filo D+ isolato</v>
      </c>
      <c r="G136" s="37" t="s">
        <v>53</v>
      </c>
      <c r="H136" s="38" t="s">
        <v>317</v>
      </c>
      <c r="I136" s="38" t="s">
        <v>318</v>
      </c>
      <c r="J136" s="39" t="s">
        <v>56</v>
      </c>
      <c r="K136" s="39" t="s">
        <v>57</v>
      </c>
      <c r="L136" s="40" t="s">
        <v>21</v>
      </c>
      <c r="M136" s="41" t="s">
        <v>22</v>
      </c>
      <c r="N136" s="42" t="s">
        <v>23</v>
      </c>
      <c r="O136" s="43" t="s">
        <v>24</v>
      </c>
      <c r="P136" s="42" t="s">
        <v>25</v>
      </c>
      <c r="Q136" s="42" t="s">
        <v>21</v>
      </c>
      <c r="R136" s="44"/>
    </row>
    <row r="137" spans="1:18" customFormat="1" ht="15" customHeight="1" x14ac:dyDescent="0.25">
      <c r="A137" t="str">
        <f t="shared" si="4"/>
        <v>Impianto Elettrico_Gruppo elettrogeno_ALR_FILO_PRESSIONE_OLIO-Allarme filo pressione olio</v>
      </c>
      <c r="B137" t="str">
        <f t="shared" si="5"/>
        <v>ALR_FILO_PRESSIONE_OLIO-Allarme filo pressione olio</v>
      </c>
      <c r="C137" t="str">
        <f>VLOOKUP(B137,'[2]Classi allarmi RMT-STIG_rev4'!$C:$C,1,0)</f>
        <v>ALR_FILO_PRESSIONE_OLIO-Allarme filo pressione olio</v>
      </c>
      <c r="D137" t="str">
        <f>VLOOKUP(B137,'EXPORT IRIS PROD 13-11-2024'!A:A,1,0)</f>
        <v>ALR_FILO_PRESSIONE_OLIO-Allarme filo pressione olio</v>
      </c>
      <c r="E137" t="str">
        <f>VLOOKUP(H137,'EXPORT IRIS PROD 13-11-2024'!F:F,1,0)</f>
        <v>ALR_FILO_PRESSIONE_OLIO</v>
      </c>
      <c r="F137" t="str">
        <f>VLOOKUP(I137,'EXPORT IRIS PROD 13-11-2024'!D:D,1,0)</f>
        <v>Allarme filo pressione olio</v>
      </c>
      <c r="G137" s="37" t="s">
        <v>53</v>
      </c>
      <c r="H137" s="38" t="s">
        <v>319</v>
      </c>
      <c r="I137" s="38" t="s">
        <v>320</v>
      </c>
      <c r="J137" s="39" t="s">
        <v>56</v>
      </c>
      <c r="K137" s="39" t="s">
        <v>57</v>
      </c>
      <c r="L137" s="40" t="s">
        <v>21</v>
      </c>
      <c r="M137" s="41" t="s">
        <v>22</v>
      </c>
      <c r="N137" s="42" t="s">
        <v>23</v>
      </c>
      <c r="O137" s="43" t="s">
        <v>24</v>
      </c>
      <c r="P137" s="42" t="s">
        <v>25</v>
      </c>
      <c r="Q137" s="42" t="s">
        <v>21</v>
      </c>
      <c r="R137" s="44"/>
    </row>
    <row r="138" spans="1:18" customFormat="1" ht="15" customHeight="1" x14ac:dyDescent="0.25">
      <c r="A138" t="str">
        <f t="shared" si="4"/>
        <v>Impianto Rete dati_PLC_ALR_FORZA_REMOTO-Allarme forzatura remoto</v>
      </c>
      <c r="B138" t="str">
        <f t="shared" si="5"/>
        <v>ALR_FORZA_REMOTO-Allarme forzatura remoto</v>
      </c>
      <c r="C138" t="str">
        <f>VLOOKUP(B138,'[2]Classi allarmi RMT-STIG_rev4'!$C:$C,1,0)</f>
        <v>ALR_FORZA_REMOTO-Allarme forzatura remoto</v>
      </c>
      <c r="D138" t="str">
        <f>VLOOKUP(B138,'EXPORT IRIS PROD 13-11-2024'!A:A,1,0)</f>
        <v>ALR_FORZA_REMOTO-Allarme forzatura remoto</v>
      </c>
      <c r="E138" t="str">
        <f>VLOOKUP(H138,'EXPORT IRIS PROD 13-11-2024'!F:F,1,0)</f>
        <v>ALR_FORZA_REMOTO</v>
      </c>
      <c r="F138" t="str">
        <f>VLOOKUP(I138,'EXPORT IRIS PROD 13-11-2024'!D:D,1,0)</f>
        <v>Allarme forzatura remoto</v>
      </c>
      <c r="G138" s="37" t="s">
        <v>16</v>
      </c>
      <c r="H138" s="38" t="s">
        <v>321</v>
      </c>
      <c r="I138" s="38" t="s">
        <v>322</v>
      </c>
      <c r="J138" s="39" t="s">
        <v>19</v>
      </c>
      <c r="K138" s="39" t="s">
        <v>167</v>
      </c>
      <c r="L138" s="40" t="s">
        <v>21</v>
      </c>
      <c r="M138" s="41" t="s">
        <v>22</v>
      </c>
      <c r="N138" s="42" t="s">
        <v>23</v>
      </c>
      <c r="O138" s="43" t="s">
        <v>24</v>
      </c>
      <c r="P138" s="42" t="s">
        <v>25</v>
      </c>
      <c r="Q138" s="42" t="s">
        <v>21</v>
      </c>
      <c r="R138" s="44"/>
    </row>
    <row r="139" spans="1:18" customFormat="1" ht="15" customHeight="1" x14ac:dyDescent="0.25">
      <c r="A139" t="str">
        <f t="shared" si="4"/>
        <v>Impianto Elettrico_Gruppo elettrogeno_ALR_FREQUENZA_FUORI_SOGLIA-Allarme frequenza fuori soglia</v>
      </c>
      <c r="B139" t="str">
        <f t="shared" si="5"/>
        <v>ALR_FREQUENZA_FUORI_SOGLIA-Allarme frequenza fuori soglia</v>
      </c>
      <c r="C139" t="str">
        <f>VLOOKUP(B139,'[2]Classi allarmi RMT-STIG_rev4'!$C:$C,1,0)</f>
        <v>ALR_FREQUENZA_FUORI_SOGLIA-Allarme frequenza fuori soglia</v>
      </c>
      <c r="D139" t="str">
        <f>VLOOKUP(B139,'EXPORT IRIS PROD 13-11-2024'!A:A,1,0)</f>
        <v>ALR_FREQUENZA_FUORI_SOGLIA-Allarme frequenza fuori soglia</v>
      </c>
      <c r="E139" t="str">
        <f>VLOOKUP(H139,'EXPORT IRIS PROD 13-11-2024'!F:F,1,0)</f>
        <v>ALR_FREQUENZA_FUORI_SOGLIA</v>
      </c>
      <c r="F139" t="str">
        <f>VLOOKUP(I139,'EXPORT IRIS PROD 13-11-2024'!D:D,1,0)</f>
        <v>Allarme frequenza fuori soglia</v>
      </c>
      <c r="G139" s="37" t="s">
        <v>53</v>
      </c>
      <c r="H139" s="38" t="s">
        <v>323</v>
      </c>
      <c r="I139" s="38" t="s">
        <v>324</v>
      </c>
      <c r="J139" s="39" t="s">
        <v>56</v>
      </c>
      <c r="K139" s="39" t="s">
        <v>57</v>
      </c>
      <c r="L139" s="40" t="s">
        <v>21</v>
      </c>
      <c r="M139" s="41" t="s">
        <v>22</v>
      </c>
      <c r="N139" s="42" t="s">
        <v>23</v>
      </c>
      <c r="O139" s="43" t="s">
        <v>24</v>
      </c>
      <c r="P139" s="42" t="s">
        <v>25</v>
      </c>
      <c r="Q139" s="42" t="s">
        <v>21</v>
      </c>
      <c r="R139" s="44"/>
    </row>
    <row r="140" spans="1:18" customFormat="1" ht="15" customHeight="1" x14ac:dyDescent="0.25">
      <c r="A140" t="str">
        <f t="shared" si="4"/>
        <v xml:space="preserve">Impianto Elettrico_Fusibile_ALR_FUSIBILE_ALIM_GATEWAY-Allarme fusibile alim. gateway </v>
      </c>
      <c r="B140" t="str">
        <f t="shared" si="5"/>
        <v xml:space="preserve">ALR_FUSIBILE_ALIM_GATEWAY-Allarme fusibile alim. gateway </v>
      </c>
      <c r="C140" t="str">
        <f>VLOOKUP(B140,'[2]Classi allarmi RMT-STIG_rev4'!$C:$C,1,0)</f>
        <v xml:space="preserve">ALR_FUSIBILE_ALIM_GATEWAY-Allarme fusibile alim. gateway </v>
      </c>
      <c r="D140" t="str">
        <f>VLOOKUP(B140,'EXPORT IRIS PROD 13-11-2024'!A:A,1,0)</f>
        <v xml:space="preserve">ALR_FUSIBILE_ALIM_GATEWAY-Allarme fusibile alim. gateway </v>
      </c>
      <c r="E140" t="str">
        <f>VLOOKUP(H140,'EXPORT IRIS PROD 13-11-2024'!F:F,1,0)</f>
        <v>ALR_FUSIBILE_ALIM_GATEWAY</v>
      </c>
      <c r="F140" t="str">
        <f>VLOOKUP(I140,'EXPORT IRIS PROD 13-11-2024'!D:D,1,0)</f>
        <v xml:space="preserve">Allarme fusibile alim. gateway </v>
      </c>
      <c r="G140" s="37" t="s">
        <v>53</v>
      </c>
      <c r="H140" s="38" t="s">
        <v>325</v>
      </c>
      <c r="I140" s="38" t="s">
        <v>326</v>
      </c>
      <c r="J140" s="39" t="s">
        <v>56</v>
      </c>
      <c r="K140" s="39" t="s">
        <v>327</v>
      </c>
      <c r="L140" s="40" t="s">
        <v>21</v>
      </c>
      <c r="M140" s="41" t="s">
        <v>22</v>
      </c>
      <c r="N140" s="42" t="s">
        <v>23</v>
      </c>
      <c r="O140" s="43" t="s">
        <v>24</v>
      </c>
      <c r="P140" s="42" t="s">
        <v>25</v>
      </c>
      <c r="Q140" s="42" t="s">
        <v>21</v>
      </c>
      <c r="R140" s="44"/>
    </row>
    <row r="141" spans="1:18" customFormat="1" ht="15" customHeight="1" x14ac:dyDescent="0.25">
      <c r="A141" t="str">
        <f t="shared" si="4"/>
        <v>Impianto Elettrico_Fusibile_ALR_FUSIBILE_CONVERTITORE_DC-Allarme fusibile convertitore DC</v>
      </c>
      <c r="B141" t="str">
        <f t="shared" si="5"/>
        <v>ALR_FUSIBILE_CONVERTITORE_DC-Allarme fusibile convertitore DC</v>
      </c>
      <c r="C141" t="str">
        <f>VLOOKUP(B141,'[2]Classi allarmi RMT-STIG_rev4'!$C:$C,1,0)</f>
        <v>ALR_FUSIBILE_CONVERTITORE_DC-Allarme fusibile convertitore DC</v>
      </c>
      <c r="D141" t="str">
        <f>VLOOKUP(B141,'EXPORT IRIS PROD 13-11-2024'!A:A,1,0)</f>
        <v>ALR_FUSIBILE_CONVERTITORE_DC-Allarme fusibile convertitore DC</v>
      </c>
      <c r="E141" t="str">
        <f>VLOOKUP(H141,'EXPORT IRIS PROD 13-11-2024'!F:F,1,0)</f>
        <v>ALR_FUSIBILE_CONVERTITORE_DC</v>
      </c>
      <c r="F141" t="str">
        <f>VLOOKUP(I141,'EXPORT IRIS PROD 13-11-2024'!D:D,1,0)</f>
        <v>Allarme fusibile convertitore DC</v>
      </c>
      <c r="G141" s="37" t="s">
        <v>53</v>
      </c>
      <c r="H141" s="38" t="s">
        <v>328</v>
      </c>
      <c r="I141" s="38" t="s">
        <v>329</v>
      </c>
      <c r="J141" s="39" t="s">
        <v>56</v>
      </c>
      <c r="K141" s="39" t="s">
        <v>327</v>
      </c>
      <c r="L141" s="40" t="s">
        <v>21</v>
      </c>
      <c r="M141" s="41" t="s">
        <v>22</v>
      </c>
      <c r="N141" s="42" t="s">
        <v>23</v>
      </c>
      <c r="O141" s="43" t="s">
        <v>24</v>
      </c>
      <c r="P141" s="42" t="s">
        <v>25</v>
      </c>
      <c r="Q141" s="42" t="s">
        <v>21</v>
      </c>
      <c r="R141" s="44"/>
    </row>
    <row r="142" spans="1:18" customFormat="1" ht="15" customHeight="1" x14ac:dyDescent="0.25">
      <c r="A142" t="str">
        <f t="shared" si="4"/>
        <v>Impianto Elettrico_Fusibile_ALR_FUSIBILE_CORONA_LED_PALO-Allarme fusibile corona LED palo</v>
      </c>
      <c r="B142" t="str">
        <f t="shared" si="5"/>
        <v>ALR_FUSIBILE_CORONA_LED_PALO-Allarme fusibile corona LED palo</v>
      </c>
      <c r="C142" t="str">
        <f>VLOOKUP(B142,'[2]Classi allarmi RMT-STIG_rev4'!$C:$C,1,0)</f>
        <v>ALR_FUSIBILE_CORONA_LED_PALO-Allarme fusibile corona LED palo</v>
      </c>
      <c r="D142" t="str">
        <f>VLOOKUP(B142,'EXPORT IRIS PROD 13-11-2024'!A:A,1,0)</f>
        <v>ALR_FUSIBILE_CORONA_LED_PALO-Allarme fusibile corona LED palo</v>
      </c>
      <c r="E142" t="str">
        <f>VLOOKUP(H142,'EXPORT IRIS PROD 13-11-2024'!F:F,1,0)</f>
        <v>ALR_FUSIBILE_CORONA_LED_PALO</v>
      </c>
      <c r="F142" t="str">
        <f>VLOOKUP(I142,'EXPORT IRIS PROD 13-11-2024'!D:D,1,0)</f>
        <v>Allarme fusibile corona LED palo</v>
      </c>
      <c r="G142" s="37" t="s">
        <v>53</v>
      </c>
      <c r="H142" s="38" t="s">
        <v>330</v>
      </c>
      <c r="I142" s="38" t="s">
        <v>331</v>
      </c>
      <c r="J142" s="39" t="s">
        <v>56</v>
      </c>
      <c r="K142" s="39" t="s">
        <v>327</v>
      </c>
      <c r="L142" s="40" t="s">
        <v>21</v>
      </c>
      <c r="M142" s="41" t="s">
        <v>22</v>
      </c>
      <c r="N142" s="42" t="s">
        <v>23</v>
      </c>
      <c r="O142" s="43" t="s">
        <v>24</v>
      </c>
      <c r="P142" s="42" t="s">
        <v>25</v>
      </c>
      <c r="Q142" s="42" t="s">
        <v>21</v>
      </c>
      <c r="R142" s="44"/>
    </row>
    <row r="143" spans="1:18" customFormat="1" ht="15" customHeight="1" x14ac:dyDescent="0.25">
      <c r="A143" t="str">
        <f t="shared" si="4"/>
        <v>Impianto Elettrico_Fusibile_ALR_FUSIBILE_PACCO_BATTERIE-Allarme fusibile pacco batterie</v>
      </c>
      <c r="B143" t="str">
        <f t="shared" si="5"/>
        <v>ALR_FUSIBILE_PACCO_BATTERIE-Allarme fusibile pacco batterie</v>
      </c>
      <c r="C143" t="str">
        <f>VLOOKUP(B143,'[2]Classi allarmi RMT-STIG_rev4'!$C:$C,1,0)</f>
        <v>ALR_FUSIBILE_PACCO_BATTERIE-Allarme fusibile pacco batterie</v>
      </c>
      <c r="D143" t="str">
        <f>VLOOKUP(B143,'EXPORT IRIS PROD 13-11-2024'!A:A,1,0)</f>
        <v>ALR_FUSIBILE_PACCO_BATTERIE-Allarme fusibile pacco batterie</v>
      </c>
      <c r="E143" t="str">
        <f>VLOOKUP(H143,'EXPORT IRIS PROD 13-11-2024'!F:F,1,0)</f>
        <v>ALR_FUSIBILE_PACCO_BATTERIE</v>
      </c>
      <c r="F143" t="str">
        <f>VLOOKUP(I143,'EXPORT IRIS PROD 13-11-2024'!D:D,1,0)</f>
        <v>Allarme fusibile pacco batterie</v>
      </c>
      <c r="G143" s="37" t="s">
        <v>53</v>
      </c>
      <c r="H143" s="38" t="s">
        <v>332</v>
      </c>
      <c r="I143" s="38" t="s">
        <v>333</v>
      </c>
      <c r="J143" s="39" t="s">
        <v>56</v>
      </c>
      <c r="K143" s="39" t="s">
        <v>327</v>
      </c>
      <c r="L143" s="40" t="s">
        <v>21</v>
      </c>
      <c r="M143" s="41" t="s">
        <v>22</v>
      </c>
      <c r="N143" s="42" t="s">
        <v>23</v>
      </c>
      <c r="O143" s="43" t="s">
        <v>24</v>
      </c>
      <c r="P143" s="42" t="s">
        <v>25</v>
      </c>
      <c r="Q143" s="42" t="s">
        <v>21</v>
      </c>
      <c r="R143" s="44"/>
    </row>
    <row r="144" spans="1:18" customFormat="1" ht="15" customHeight="1" x14ac:dyDescent="0.25">
      <c r="A144" t="str">
        <f t="shared" si="4"/>
        <v>Impianto Elettrico_Fusibile_ALR_FUSIBILE_REMOTA_IO-Allarme fusibile base remota I/O</v>
      </c>
      <c r="B144" t="str">
        <f t="shared" si="5"/>
        <v>ALR_FUSIBILE_REMOTA_IO-Allarme fusibile base remota I/O</v>
      </c>
      <c r="C144" t="str">
        <f>VLOOKUP(B144,'[2]Classi allarmi RMT-STIG_rev4'!$C:$C,1,0)</f>
        <v>ALR_FUSIBILE_REMOTA_IO-Allarme fusibile base remota I/O</v>
      </c>
      <c r="D144" t="str">
        <f>VLOOKUP(B144,'EXPORT IRIS PROD 13-11-2024'!A:A,1,0)</f>
        <v>ALR_FUSIBILE_REMOTA_IO-Allarme fusibile base remota I/O</v>
      </c>
      <c r="E144" t="str">
        <f>VLOOKUP(H144,'EXPORT IRIS PROD 13-11-2024'!F:F,1,0)</f>
        <v>ALR_FUSIBILE_REMOTA_IO</v>
      </c>
      <c r="F144" t="str">
        <f>VLOOKUP(I144,'EXPORT IRIS PROD 13-11-2024'!D:D,1,0)</f>
        <v>Allarme fusibile base remota I/O</v>
      </c>
      <c r="G144" s="37" t="s">
        <v>53</v>
      </c>
      <c r="H144" s="38" t="s">
        <v>334</v>
      </c>
      <c r="I144" s="38" t="s">
        <v>335</v>
      </c>
      <c r="J144" s="39" t="s">
        <v>56</v>
      </c>
      <c r="K144" s="39" t="s">
        <v>327</v>
      </c>
      <c r="L144" s="40" t="s">
        <v>21</v>
      </c>
      <c r="M144" s="41" t="s">
        <v>22</v>
      </c>
      <c r="N144" s="42" t="s">
        <v>23</v>
      </c>
      <c r="O144" s="43" t="s">
        <v>24</v>
      </c>
      <c r="P144" s="42" t="s">
        <v>25</v>
      </c>
      <c r="Q144" s="42" t="s">
        <v>21</v>
      </c>
      <c r="R144" s="44"/>
    </row>
    <row r="145" spans="1:18" customFormat="1" ht="15" customHeight="1" x14ac:dyDescent="0.25">
      <c r="A145" t="str">
        <f t="shared" si="4"/>
        <v>Impianto Elettrico_Fusibile_ALR_FUSIBILE_RESISTENZA_ANTICONDENSA-Allarme fusibile resistenza anticondensa</v>
      </c>
      <c r="B145" t="str">
        <f t="shared" si="5"/>
        <v>ALR_FUSIBILE_RESISTENZA_ANTICONDENSA-Allarme fusibile resistenza anticondensa</v>
      </c>
      <c r="C145" t="str">
        <f>VLOOKUP(B145,'[2]Classi allarmi RMT-STIG_rev4'!$C:$C,1,0)</f>
        <v>ALR_FUSIBILE_RESISTENZA_ANTICONDENSA-Allarme fusibile resistenza anticondensa</v>
      </c>
      <c r="D145" t="str">
        <f>VLOOKUP(B145,'EXPORT IRIS PROD 13-11-2024'!A:A,1,0)</f>
        <v>ALR_FUSIBILE_RESISTENZA_ANTICONDENSA-Allarme fusibile resistenza anticondensa</v>
      </c>
      <c r="E145" t="str">
        <f>VLOOKUP(H145,'EXPORT IRIS PROD 13-11-2024'!F:F,1,0)</f>
        <v>ALR_FUSIBILE_RESISTENZA_ANTICONDENSA</v>
      </c>
      <c r="F145" t="str">
        <f>VLOOKUP(I145,'EXPORT IRIS PROD 13-11-2024'!D:D,1,0)</f>
        <v>Allarme fusibile resistenza anticondensa</v>
      </c>
      <c r="G145" s="37" t="s">
        <v>53</v>
      </c>
      <c r="H145" s="38" t="s">
        <v>336</v>
      </c>
      <c r="I145" s="38" t="s">
        <v>337</v>
      </c>
      <c r="J145" s="39" t="s">
        <v>56</v>
      </c>
      <c r="K145" s="39" t="s">
        <v>327</v>
      </c>
      <c r="L145" s="40" t="s">
        <v>21</v>
      </c>
      <c r="M145" s="41" t="s">
        <v>22</v>
      </c>
      <c r="N145" s="42" t="s">
        <v>23</v>
      </c>
      <c r="O145" s="43" t="s">
        <v>24</v>
      </c>
      <c r="P145" s="42" t="s">
        <v>25</v>
      </c>
      <c r="Q145" s="42" t="s">
        <v>21</v>
      </c>
      <c r="R145" s="44"/>
    </row>
    <row r="146" spans="1:18" customFormat="1" ht="15" customHeight="1" x14ac:dyDescent="0.25">
      <c r="A146" t="str">
        <f t="shared" si="4"/>
        <v>Impianto Elettrico_Fusibile_ALR_FUSIBILE_SWITCH-Allarme fusibile switch</v>
      </c>
      <c r="B146" t="str">
        <f t="shared" si="5"/>
        <v>ALR_FUSIBILE_SWITCH-Allarme fusibile switch</v>
      </c>
      <c r="C146" t="str">
        <f>VLOOKUP(B146,'[2]Classi allarmi RMT-STIG_rev4'!$C:$C,1,0)</f>
        <v>ALR_FUSIBILE_SWITCH-Allarme fusibile switch</v>
      </c>
      <c r="D146" t="str">
        <f>VLOOKUP(B146,'EXPORT IRIS PROD 13-11-2024'!A:A,1,0)</f>
        <v>ALR_FUSIBILE_SWITCH-Allarme fusibile switch</v>
      </c>
      <c r="E146" t="str">
        <f>VLOOKUP(H146,'EXPORT IRIS PROD 13-11-2024'!F:F,1,0)</f>
        <v>ALR_FUSIBILE_SWITCH</v>
      </c>
      <c r="F146" t="str">
        <f>VLOOKUP(I146,'EXPORT IRIS PROD 13-11-2024'!D:D,1,0)</f>
        <v>Allarme fusibile switch</v>
      </c>
      <c r="G146" s="37" t="s">
        <v>53</v>
      </c>
      <c r="H146" s="38" t="s">
        <v>338</v>
      </c>
      <c r="I146" s="38" t="s">
        <v>339</v>
      </c>
      <c r="J146" s="39" t="s">
        <v>56</v>
      </c>
      <c r="K146" s="39" t="s">
        <v>327</v>
      </c>
      <c r="L146" s="40" t="s">
        <v>21</v>
      </c>
      <c r="M146" s="41" t="s">
        <v>22</v>
      </c>
      <c r="N146" s="42" t="s">
        <v>23</v>
      </c>
      <c r="O146" s="43" t="s">
        <v>24</v>
      </c>
      <c r="P146" s="42" t="s">
        <v>25</v>
      </c>
      <c r="Q146" s="42" t="s">
        <v>21</v>
      </c>
      <c r="R146" s="44"/>
    </row>
    <row r="147" spans="1:18" customFormat="1" ht="15" customHeight="1" x14ac:dyDescent="0.25">
      <c r="A147" t="str">
        <f t="shared" si="4"/>
        <v>Impianto Elettrico_Fusibile_ALR_FUSIBILE_TELECAMERA_SMART-Allarme fusibile telecamere smart</v>
      </c>
      <c r="B147" t="str">
        <f t="shared" si="5"/>
        <v>ALR_FUSIBILE_TELECAMERA_SMART-Allarme fusibile telecamere smart</v>
      </c>
      <c r="C147" t="str">
        <f>VLOOKUP(B147,'[2]Classi allarmi RMT-STIG_rev4'!$C:$C,1,0)</f>
        <v>ALR_FUSIBILE_TELECAMERA_SMART-Allarme fusibile telecamere smart</v>
      </c>
      <c r="D147" t="str">
        <f>VLOOKUP(B147,'EXPORT IRIS PROD 13-11-2024'!A:A,1,0)</f>
        <v>ALR_FUSIBILE_TELECAMERA_SMART-Allarme fusibile telecamere smart</v>
      </c>
      <c r="E147" t="str">
        <f>VLOOKUP(H147,'EXPORT IRIS PROD 13-11-2024'!F:F,1,0)</f>
        <v>ALR_FUSIBILE_TELECAMERA_SMART</v>
      </c>
      <c r="F147" t="str">
        <f>VLOOKUP(I147,'EXPORT IRIS PROD 13-11-2024'!D:D,1,0)</f>
        <v>Allarme fusibile telecamere smart</v>
      </c>
      <c r="G147" s="37" t="s">
        <v>53</v>
      </c>
      <c r="H147" s="38" t="s">
        <v>340</v>
      </c>
      <c r="I147" s="38" t="s">
        <v>341</v>
      </c>
      <c r="J147" s="39" t="s">
        <v>56</v>
      </c>
      <c r="K147" s="39" t="s">
        <v>327</v>
      </c>
      <c r="L147" s="40" t="s">
        <v>21</v>
      </c>
      <c r="M147" s="41" t="s">
        <v>22</v>
      </c>
      <c r="N147" s="42" t="s">
        <v>23</v>
      </c>
      <c r="O147" s="43" t="s">
        <v>24</v>
      </c>
      <c r="P147" s="42" t="s">
        <v>25</v>
      </c>
      <c r="Q147" s="42" t="s">
        <v>21</v>
      </c>
      <c r="R147" s="44"/>
    </row>
    <row r="148" spans="1:18" customFormat="1" ht="15" customHeight="1" x14ac:dyDescent="0.25">
      <c r="A148" t="str">
        <f t="shared" si="4"/>
        <v>Impianto Elettrico_Fusibile_ALR_FUSIBILE_VENTOLA-Allarme fusibile ventola</v>
      </c>
      <c r="B148" t="str">
        <f t="shared" si="5"/>
        <v>ALR_FUSIBILE_VENTOLA-Allarme fusibile ventola</v>
      </c>
      <c r="C148" t="str">
        <f>VLOOKUP(B148,'[2]Classi allarmi RMT-STIG_rev4'!$C:$C,1,0)</f>
        <v>ALR_FUSIBILE_VENTOLA-Allarme fusibile ventola</v>
      </c>
      <c r="D148" t="str">
        <f>VLOOKUP(B148,'EXPORT IRIS PROD 13-11-2024'!A:A,1,0)</f>
        <v>ALR_FUSIBILE_VENTOLA-Allarme fusibile ventola</v>
      </c>
      <c r="E148" t="str">
        <f>VLOOKUP(H148,'EXPORT IRIS PROD 13-11-2024'!F:F,1,0)</f>
        <v>ALR_FUSIBILE_VENTOLA</v>
      </c>
      <c r="F148" t="str">
        <f>VLOOKUP(I148,'EXPORT IRIS PROD 13-11-2024'!D:D,1,0)</f>
        <v>Allarme fusibile ventola</v>
      </c>
      <c r="G148" s="37" t="s">
        <v>53</v>
      </c>
      <c r="H148" s="38" t="s">
        <v>342</v>
      </c>
      <c r="I148" s="38" t="s">
        <v>343</v>
      </c>
      <c r="J148" s="39" t="s">
        <v>56</v>
      </c>
      <c r="K148" s="39" t="s">
        <v>327</v>
      </c>
      <c r="L148" s="40" t="s">
        <v>21</v>
      </c>
      <c r="M148" s="41" t="s">
        <v>22</v>
      </c>
      <c r="N148" s="42" t="s">
        <v>23</v>
      </c>
      <c r="O148" s="43" t="s">
        <v>24</v>
      </c>
      <c r="P148" s="42" t="s">
        <v>25</v>
      </c>
      <c r="Q148" s="42" t="s">
        <v>21</v>
      </c>
      <c r="R148" s="44"/>
    </row>
    <row r="149" spans="1:18" customFormat="1" ht="15" customHeight="1" x14ac:dyDescent="0.25">
      <c r="A149" t="str">
        <f t="shared" si="4"/>
        <v>Impianto Elettrico_Gruppo elettrogeno (serbatoio)_ALR_GASOLIO_FINITO-Allarme gasolio esaurito</v>
      </c>
      <c r="B149" t="str">
        <f t="shared" si="5"/>
        <v>ALR_GASOLIO_FINITO-Allarme gasolio esaurito</v>
      </c>
      <c r="C149" t="str">
        <f>VLOOKUP(B149,'[2]Classi allarmi RMT-STIG_rev4'!$C:$C,1,0)</f>
        <v>ALR_GASOLIO_FINITO-Allarme gasolio esaurito</v>
      </c>
      <c r="D149" t="str">
        <f>VLOOKUP(B149,'EXPORT IRIS PROD 13-11-2024'!A:A,1,0)</f>
        <v>ALR_GASOLIO_FINITO-Allarme gasolio esaurito</v>
      </c>
      <c r="E149" t="str">
        <f>VLOOKUP(H149,'EXPORT IRIS PROD 13-11-2024'!F:F,1,0)</f>
        <v>ALR_GASOLIO_FINITO</v>
      </c>
      <c r="F149" t="str">
        <f>VLOOKUP(I149,'EXPORT IRIS PROD 13-11-2024'!D:D,1,0)</f>
        <v>Allarme gasolio esaurito</v>
      </c>
      <c r="G149" s="37" t="s">
        <v>53</v>
      </c>
      <c r="H149" s="38" t="s">
        <v>344</v>
      </c>
      <c r="I149" s="38" t="s">
        <v>345</v>
      </c>
      <c r="J149" s="39" t="s">
        <v>56</v>
      </c>
      <c r="K149" s="39" t="s">
        <v>137</v>
      </c>
      <c r="L149" s="40" t="s">
        <v>21</v>
      </c>
      <c r="M149" s="41" t="s">
        <v>22</v>
      </c>
      <c r="N149" s="42" t="s">
        <v>23</v>
      </c>
      <c r="O149" s="43" t="s">
        <v>24</v>
      </c>
      <c r="P149" s="42" t="s">
        <v>25</v>
      </c>
      <c r="Q149" s="42" t="s">
        <v>21</v>
      </c>
      <c r="R149" s="44"/>
    </row>
    <row r="150" spans="1:18" customFormat="1" ht="15" customHeight="1" x14ac:dyDescent="0.25">
      <c r="A150" t="str">
        <f t="shared" si="4"/>
        <v>Impianto Antincendio_Elettropompa_ALR_GENERALE_1_IMP-Allarme generale dispositivo</v>
      </c>
      <c r="B150" t="str">
        <f t="shared" si="5"/>
        <v>ALR_GENERALE_1_IMP-Allarme generale dispositivo</v>
      </c>
      <c r="C150" t="str">
        <f>VLOOKUP(B150,'[2]Classi allarmi RMT-STIG_rev4'!$C:$C,1,0)</f>
        <v>ALR_GENERALE_1_IMP-Allarme generale dispositivo</v>
      </c>
      <c r="D150" t="str">
        <f>VLOOKUP(B150,'EXPORT IRIS PROD 13-11-2024'!A:A,1,0)</f>
        <v>ALR_GENERALE_1_IMP-Allarme generale dispositivo</v>
      </c>
      <c r="E150" t="str">
        <f>VLOOKUP(H150,'EXPORT IRIS PROD 13-11-2024'!F:F,1,0)</f>
        <v>ALR_GENERALE_1_IMP</v>
      </c>
      <c r="F150" t="str">
        <f>VLOOKUP(I150,'EXPORT IRIS PROD 13-11-2024'!D:D,1,0)</f>
        <v>Allarme generale dispositivo</v>
      </c>
      <c r="G150" s="37" t="s">
        <v>35</v>
      </c>
      <c r="H150" s="38" t="s">
        <v>346</v>
      </c>
      <c r="I150" s="38" t="s">
        <v>347</v>
      </c>
      <c r="J150" s="39" t="s">
        <v>38</v>
      </c>
      <c r="K150" s="39" t="s">
        <v>301</v>
      </c>
      <c r="L150" s="40" t="s">
        <v>21</v>
      </c>
      <c r="M150" s="41" t="s">
        <v>22</v>
      </c>
      <c r="N150" s="42" t="s">
        <v>23</v>
      </c>
      <c r="O150" s="43" t="s">
        <v>157</v>
      </c>
      <c r="P150" s="42" t="s">
        <v>158</v>
      </c>
      <c r="Q150" s="42" t="s">
        <v>21</v>
      </c>
      <c r="R150" s="44"/>
    </row>
    <row r="151" spans="1:18" customFormat="1" ht="15" customHeight="1" x14ac:dyDescent="0.25">
      <c r="A151" t="str">
        <f t="shared" si="4"/>
        <v>Impianto Antincendio_Motopompa_ALR_GENERALE_1_IMP-Allarme generale dispositivo</v>
      </c>
      <c r="B151" t="str">
        <f t="shared" si="5"/>
        <v>ALR_GENERALE_1_IMP-Allarme generale dispositivo</v>
      </c>
      <c r="C151" t="str">
        <f>VLOOKUP(B151,'[2]Classi allarmi RMT-STIG_rev4'!$C:$C,1,0)</f>
        <v>ALR_GENERALE_1_IMP-Allarme generale dispositivo</v>
      </c>
      <c r="D151" t="str">
        <f>VLOOKUP(B151,'EXPORT IRIS PROD 13-11-2024'!A:A,1,0)</f>
        <v>ALR_GENERALE_1_IMP-Allarme generale dispositivo</v>
      </c>
      <c r="E151" t="str">
        <f>VLOOKUP(H151,'EXPORT IRIS PROD 13-11-2024'!F:F,1,0)</f>
        <v>ALR_GENERALE_1_IMP</v>
      </c>
      <c r="F151" t="str">
        <f>VLOOKUP(I151,'EXPORT IRIS PROD 13-11-2024'!D:D,1,0)</f>
        <v>Allarme generale dispositivo</v>
      </c>
      <c r="G151" s="37" t="s">
        <v>35</v>
      </c>
      <c r="H151" s="38" t="s">
        <v>346</v>
      </c>
      <c r="I151" s="38" t="s">
        <v>347</v>
      </c>
      <c r="J151" s="39" t="s">
        <v>38</v>
      </c>
      <c r="K151" s="39" t="s">
        <v>172</v>
      </c>
      <c r="L151" s="40" t="s">
        <v>21</v>
      </c>
      <c r="M151" s="41" t="s">
        <v>22</v>
      </c>
      <c r="N151" s="42" t="s">
        <v>23</v>
      </c>
      <c r="O151" s="43" t="s">
        <v>157</v>
      </c>
      <c r="P151" s="42" t="s">
        <v>158</v>
      </c>
      <c r="Q151" s="42" t="s">
        <v>21</v>
      </c>
      <c r="R151" s="44"/>
    </row>
    <row r="152" spans="1:18" customFormat="1" ht="15" customHeight="1" x14ac:dyDescent="0.25">
      <c r="A152" t="str">
        <f t="shared" si="4"/>
        <v>Impianto Elettrico_UPS_ALR_GENERALE_1_IMP-Allarme generale dispositivo</v>
      </c>
      <c r="B152" t="str">
        <f t="shared" si="5"/>
        <v>ALR_GENERALE_1_IMP-Allarme generale dispositivo</v>
      </c>
      <c r="C152" t="str">
        <f>VLOOKUP(B152,'[2]Classi allarmi RMT-STIG_rev4'!$C:$C,1,0)</f>
        <v>ALR_GENERALE_1_IMP-Allarme generale dispositivo</v>
      </c>
      <c r="D152" t="str">
        <f>VLOOKUP(B152,'EXPORT IRIS PROD 13-11-2024'!A:A,1,0)</f>
        <v>ALR_GENERALE_1_IMP-Allarme generale dispositivo</v>
      </c>
      <c r="E152" t="str">
        <f>VLOOKUP(H152,'EXPORT IRIS PROD 13-11-2024'!F:F,1,0)</f>
        <v>ALR_GENERALE_1_IMP</v>
      </c>
      <c r="F152" t="str">
        <f>VLOOKUP(I152,'EXPORT IRIS PROD 13-11-2024'!D:D,1,0)</f>
        <v>Allarme generale dispositivo</v>
      </c>
      <c r="G152" s="37" t="s">
        <v>53</v>
      </c>
      <c r="H152" s="38" t="s">
        <v>346</v>
      </c>
      <c r="I152" s="38" t="s">
        <v>347</v>
      </c>
      <c r="J152" s="39" t="s">
        <v>56</v>
      </c>
      <c r="K152" s="39" t="s">
        <v>104</v>
      </c>
      <c r="L152" s="40" t="s">
        <v>21</v>
      </c>
      <c r="M152" s="41" t="s">
        <v>22</v>
      </c>
      <c r="N152" s="42" t="s">
        <v>23</v>
      </c>
      <c r="O152" s="43" t="s">
        <v>157</v>
      </c>
      <c r="P152" s="42" t="s">
        <v>158</v>
      </c>
      <c r="Q152" s="42" t="s">
        <v>21</v>
      </c>
      <c r="R152" s="44"/>
    </row>
    <row r="153" spans="1:18" ht="15" customHeight="1" x14ac:dyDescent="0.25">
      <c r="A153" t="str">
        <f t="shared" si="4"/>
        <v>Impianto Elettrico_Gruppo elettrogeno_ALR_GENERALE_2_IMP-Allarme generale dispositivo</v>
      </c>
      <c r="B153" t="str">
        <f t="shared" si="5"/>
        <v>ALR_GENERALE_2_IMP-Allarme generale dispositivo</v>
      </c>
      <c r="C153" t="str">
        <f>VLOOKUP(B153,'[2]Classi allarmi RMT-STIG_rev4'!$C:$C,1,0)</f>
        <v>ALR_GENERALE_2_IMP-Allarme generale dispositivo</v>
      </c>
      <c r="D153" t="str">
        <f>VLOOKUP(B153,'EXPORT IRIS PROD 13-11-2024'!A:A,1,0)</f>
        <v>ALR_GENERALE_2_IMP-Allarme generale dispositivo</v>
      </c>
      <c r="E153" t="str">
        <f>VLOOKUP(H153,'EXPORT IRIS PROD 13-11-2024'!F:F,1,0)</f>
        <v>ALR_GENERALE_2_IMP</v>
      </c>
      <c r="F153" t="str">
        <f>VLOOKUP(I153,'EXPORT IRIS PROD 13-11-2024'!D:D,1,0)</f>
        <v>Allarme generale dispositivo</v>
      </c>
      <c r="G153" s="37" t="s">
        <v>53</v>
      </c>
      <c r="H153" s="38" t="s">
        <v>348</v>
      </c>
      <c r="I153" s="38" t="s">
        <v>347</v>
      </c>
      <c r="J153" s="39" t="s">
        <v>56</v>
      </c>
      <c r="K153" s="39" t="s">
        <v>57</v>
      </c>
      <c r="L153" s="40" t="s">
        <v>21</v>
      </c>
      <c r="M153" s="41" t="s">
        <v>22</v>
      </c>
      <c r="N153" s="42" t="s">
        <v>23</v>
      </c>
      <c r="O153" s="43" t="s">
        <v>24</v>
      </c>
      <c r="P153" s="42" t="s">
        <v>25</v>
      </c>
      <c r="Q153" s="42" t="s">
        <v>21</v>
      </c>
      <c r="R153" s="44"/>
    </row>
    <row r="154" spans="1:18" customFormat="1" ht="15" customHeight="1" x14ac:dyDescent="0.25">
      <c r="A154" t="str">
        <f t="shared" si="4"/>
        <v>Impianto Elettrico_Quadro elettrico_ALR_GENERALE_2_IMP-Allarme generale dispositivo</v>
      </c>
      <c r="B154" t="str">
        <f t="shared" si="5"/>
        <v>ALR_GENERALE_2_IMP-Allarme generale dispositivo</v>
      </c>
      <c r="C154" t="str">
        <f>VLOOKUP(B154,'[2]Classi allarmi RMT-STIG_rev4'!$C:$C,1,0)</f>
        <v>ALR_GENERALE_2_IMP-Allarme generale dispositivo</v>
      </c>
      <c r="D154" t="str">
        <f>VLOOKUP(B154,'EXPORT IRIS PROD 13-11-2024'!A:A,1,0)</f>
        <v>ALR_GENERALE_2_IMP-Allarme generale dispositivo</v>
      </c>
      <c r="E154" t="str">
        <f>VLOOKUP(H154,'EXPORT IRIS PROD 13-11-2024'!F:F,1,0)</f>
        <v>ALR_GENERALE_2_IMP</v>
      </c>
      <c r="F154" t="str">
        <f>VLOOKUP(I154,'EXPORT IRIS PROD 13-11-2024'!D:D,1,0)</f>
        <v>Allarme generale dispositivo</v>
      </c>
      <c r="G154" s="37" t="s">
        <v>53</v>
      </c>
      <c r="H154" s="38" t="s">
        <v>348</v>
      </c>
      <c r="I154" s="38" t="s">
        <v>347</v>
      </c>
      <c r="J154" s="39" t="s">
        <v>56</v>
      </c>
      <c r="K154" s="39" t="s">
        <v>114</v>
      </c>
      <c r="L154" s="40" t="s">
        <v>21</v>
      </c>
      <c r="M154" s="41" t="s">
        <v>22</v>
      </c>
      <c r="N154" s="42" t="s">
        <v>23</v>
      </c>
      <c r="O154" s="43" t="s">
        <v>24</v>
      </c>
      <c r="P154" s="42" t="s">
        <v>25</v>
      </c>
      <c r="Q154" s="42" t="s">
        <v>21</v>
      </c>
      <c r="R154" s="44"/>
    </row>
    <row r="155" spans="1:18" customFormat="1" ht="15" customHeight="1" x14ac:dyDescent="0.25">
      <c r="A155" t="str">
        <f t="shared" si="4"/>
        <v>Impianto Elettrico_Trasformatore_ALR_GENERALE_2_IMP-Allarme generale dispositivo</v>
      </c>
      <c r="B155" t="str">
        <f t="shared" si="5"/>
        <v>ALR_GENERALE_2_IMP-Allarme generale dispositivo</v>
      </c>
      <c r="C155" t="str">
        <f>VLOOKUP(B155,'[2]Classi allarmi RMT-STIG_rev4'!$C:$C,1,0)</f>
        <v>ALR_GENERALE_2_IMP-Allarme generale dispositivo</v>
      </c>
      <c r="D155" t="str">
        <f>VLOOKUP(B155,'EXPORT IRIS PROD 13-11-2024'!A:A,1,0)</f>
        <v>ALR_GENERALE_2_IMP-Allarme generale dispositivo</v>
      </c>
      <c r="E155" t="str">
        <f>VLOOKUP(H155,'EXPORT IRIS PROD 13-11-2024'!F:F,1,0)</f>
        <v>ALR_GENERALE_2_IMP</v>
      </c>
      <c r="F155" t="str">
        <f>VLOOKUP(I155,'EXPORT IRIS PROD 13-11-2024'!D:D,1,0)</f>
        <v>Allarme generale dispositivo</v>
      </c>
      <c r="G155" s="37" t="s">
        <v>53</v>
      </c>
      <c r="H155" s="38" t="s">
        <v>348</v>
      </c>
      <c r="I155" s="38" t="s">
        <v>347</v>
      </c>
      <c r="J155" s="39" t="s">
        <v>56</v>
      </c>
      <c r="K155" s="39" t="s">
        <v>208</v>
      </c>
      <c r="L155" s="40" t="s">
        <v>21</v>
      </c>
      <c r="M155" s="41" t="s">
        <v>22</v>
      </c>
      <c r="N155" s="42" t="s">
        <v>23</v>
      </c>
      <c r="O155" s="43" t="s">
        <v>24</v>
      </c>
      <c r="P155" s="42" t="s">
        <v>25</v>
      </c>
      <c r="Q155" s="42" t="s">
        <v>21</v>
      </c>
      <c r="R155" s="44"/>
    </row>
    <row r="156" spans="1:18" customFormat="1" ht="15" customHeight="1" x14ac:dyDescent="0.25">
      <c r="A156" t="str">
        <f t="shared" si="4"/>
        <v>Impianto Antincendio_Pompa_ALR_GENERALE_POMPA-Allarme generale pompa</v>
      </c>
      <c r="B156" t="str">
        <f t="shared" si="5"/>
        <v>ALR_GENERALE_POMPA-Allarme generale pompa</v>
      </c>
      <c r="C156" t="str">
        <f>VLOOKUP(B156,'[2]Classi allarmi RMT-STIG_rev4'!$C:$C,1,0)</f>
        <v>ALR_GENERALE_POMPA-Allarme generale pompa</v>
      </c>
      <c r="D156" t="str">
        <f>VLOOKUP(B156,'EXPORT IRIS PROD 13-11-2024'!A:A,1,0)</f>
        <v>ALR_GENERALE_POMPA-Allarme generale pompa</v>
      </c>
      <c r="E156" t="str">
        <f>VLOOKUP(H156,'EXPORT IRIS PROD 13-11-2024'!F:F,1,0)</f>
        <v>ALR_GENERALE_POMPA</v>
      </c>
      <c r="F156" t="str">
        <f>VLOOKUP(I156,'EXPORT IRIS PROD 13-11-2024'!D:D,1,0)</f>
        <v>Allarme generale pompa</v>
      </c>
      <c r="G156" s="37" t="s">
        <v>35</v>
      </c>
      <c r="H156" s="38" t="s">
        <v>349</v>
      </c>
      <c r="I156" s="38" t="s">
        <v>350</v>
      </c>
      <c r="J156" s="39" t="s">
        <v>38</v>
      </c>
      <c r="K156" s="39" t="s">
        <v>39</v>
      </c>
      <c r="L156" s="40" t="s">
        <v>21</v>
      </c>
      <c r="M156" s="41" t="s">
        <v>22</v>
      </c>
      <c r="N156" s="42" t="s">
        <v>23</v>
      </c>
      <c r="O156" s="43" t="s">
        <v>24</v>
      </c>
      <c r="P156" s="42" t="s">
        <v>25</v>
      </c>
      <c r="Q156" s="42" t="s">
        <v>21</v>
      </c>
      <c r="R156" s="44"/>
    </row>
    <row r="157" spans="1:18" customFormat="1" ht="15" customHeight="1" x14ac:dyDescent="0.25">
      <c r="A157" t="str">
        <f t="shared" si="4"/>
        <v>Impianto Elettrico_Gruppo elettrogeno_ALR_GENERATORE-Allarme gruppo elettrogeno</v>
      </c>
      <c r="B157" t="str">
        <f t="shared" si="5"/>
        <v>ALR_GENERATORE-Allarme gruppo elettrogeno</v>
      </c>
      <c r="C157" t="str">
        <f>VLOOKUP(B157,'[2]Classi allarmi RMT-STIG_rev4'!$C:$C,1,0)</f>
        <v>ALR_GENERATORE-Allarme gruppo elettrogeno</v>
      </c>
      <c r="D157" t="str">
        <f>VLOOKUP(B157,'EXPORT IRIS PROD 13-11-2024'!A:A,1,0)</f>
        <v>ALR_GENERATORE-Allarme gruppo elettrogeno</v>
      </c>
      <c r="E157" t="str">
        <f>VLOOKUP(H157,'EXPORT IRIS PROD 13-11-2024'!F:F,1,0)</f>
        <v>ALR_GENERATORE</v>
      </c>
      <c r="F157" t="str">
        <f>VLOOKUP(I157,'EXPORT IRIS PROD 13-11-2024'!D:D,1,0)</f>
        <v>Allarme gruppo elettrogeno</v>
      </c>
      <c r="G157" s="37" t="s">
        <v>53</v>
      </c>
      <c r="H157" s="38" t="s">
        <v>351</v>
      </c>
      <c r="I157" s="38" t="s">
        <v>352</v>
      </c>
      <c r="J157" s="39" t="s">
        <v>56</v>
      </c>
      <c r="K157" s="39" t="s">
        <v>57</v>
      </c>
      <c r="L157" s="40" t="s">
        <v>21</v>
      </c>
      <c r="M157" s="41" t="s">
        <v>22</v>
      </c>
      <c r="N157" s="42" t="s">
        <v>23</v>
      </c>
      <c r="O157" s="43" t="s">
        <v>24</v>
      </c>
      <c r="P157" s="42" t="s">
        <v>25</v>
      </c>
      <c r="Q157" s="42" t="s">
        <v>21</v>
      </c>
      <c r="R157" s="44"/>
    </row>
    <row r="158" spans="1:18" customFormat="1" ht="15" customHeight="1" x14ac:dyDescent="0.25">
      <c r="A158" t="str">
        <f t="shared" si="4"/>
        <v>Impianto Rilevazione Incendio_Centralina rilevazione incendio_ALR_GENERICO-Allarme dispositivo</v>
      </c>
      <c r="B158" t="str">
        <f t="shared" si="5"/>
        <v>ALR_GENERICO-Allarme dispositivo</v>
      </c>
      <c r="C158" t="str">
        <f>VLOOKUP(B158,'[2]Classi allarmi RMT-STIG_rev4'!$C:$C,1,0)</f>
        <v>ALR_GENERICO-Allarme dispositivo</v>
      </c>
      <c r="D158" t="str">
        <f>VLOOKUP(B158,'EXPORT IRIS PROD 13-11-2024'!A:A,1,0)</f>
        <v>ALR_GENERICO-Allarme dispositivo</v>
      </c>
      <c r="E158" t="str">
        <f>VLOOKUP(H158,'EXPORT IRIS PROD 13-11-2024'!F:F,1,0)</f>
        <v>ALR_GENERICO</v>
      </c>
      <c r="F158" t="str">
        <f>VLOOKUP(I158,'EXPORT IRIS PROD 13-11-2024'!D:D,1,0)</f>
        <v>Allarme dispositivo</v>
      </c>
      <c r="G158" s="37" t="s">
        <v>105</v>
      </c>
      <c r="H158" s="38" t="s">
        <v>353</v>
      </c>
      <c r="I158" s="38" t="s">
        <v>354</v>
      </c>
      <c r="J158" s="39" t="s">
        <v>43</v>
      </c>
      <c r="K158" s="39" t="s">
        <v>108</v>
      </c>
      <c r="L158" s="40" t="s">
        <v>21</v>
      </c>
      <c r="M158" s="41" t="s">
        <v>22</v>
      </c>
      <c r="N158" s="42" t="s">
        <v>23</v>
      </c>
      <c r="O158" s="43" t="s">
        <v>24</v>
      </c>
      <c r="P158" s="42" t="s">
        <v>25</v>
      </c>
      <c r="Q158" s="42" t="s">
        <v>21</v>
      </c>
      <c r="R158" s="44"/>
    </row>
    <row r="159" spans="1:18" customFormat="1" ht="15" customHeight="1" x14ac:dyDescent="0.25">
      <c r="A159" t="str">
        <f t="shared" si="4"/>
        <v>Impianto Antincendio_Pompa_ALR_GENERICO-Allarme dispositivo</v>
      </c>
      <c r="B159" t="str">
        <f t="shared" si="5"/>
        <v>ALR_GENERICO-Allarme dispositivo</v>
      </c>
      <c r="C159" t="str">
        <f>VLOOKUP(B159,'[2]Classi allarmi RMT-STIG_rev4'!$C:$C,1,0)</f>
        <v>ALR_GENERICO-Allarme dispositivo</v>
      </c>
      <c r="D159" t="str">
        <f>VLOOKUP(B159,'EXPORT IRIS PROD 13-11-2024'!A:A,1,0)</f>
        <v>ALR_GENERICO-Allarme dispositivo</v>
      </c>
      <c r="E159" t="str">
        <f>VLOOKUP(H159,'EXPORT IRIS PROD 13-11-2024'!F:F,1,0)</f>
        <v>ALR_GENERICO</v>
      </c>
      <c r="F159" t="str">
        <f>VLOOKUP(I159,'EXPORT IRIS PROD 13-11-2024'!D:D,1,0)</f>
        <v>Allarme dispositivo</v>
      </c>
      <c r="G159" s="37" t="s">
        <v>35</v>
      </c>
      <c r="H159" s="38" t="s">
        <v>353</v>
      </c>
      <c r="I159" s="38" t="s">
        <v>354</v>
      </c>
      <c r="J159" s="39" t="s">
        <v>38</v>
      </c>
      <c r="K159" s="39" t="s">
        <v>39</v>
      </c>
      <c r="L159" s="40" t="s">
        <v>21</v>
      </c>
      <c r="M159" s="41" t="s">
        <v>22</v>
      </c>
      <c r="N159" s="42" t="s">
        <v>23</v>
      </c>
      <c r="O159" s="43" t="s">
        <v>24</v>
      </c>
      <c r="P159" s="42" t="s">
        <v>25</v>
      </c>
      <c r="Q159" s="42" t="s">
        <v>21</v>
      </c>
      <c r="R159" s="44"/>
    </row>
    <row r="160" spans="1:18" customFormat="1" ht="15" customHeight="1" x14ac:dyDescent="0.25">
      <c r="A160" t="str">
        <f t="shared" si="4"/>
        <v>Impianto Elettrico_Interruttore_ALR_GENERICO-Allarme dispositivo</v>
      </c>
      <c r="B160" t="str">
        <f t="shared" si="5"/>
        <v>ALR_GENERICO-Allarme dispositivo</v>
      </c>
      <c r="C160" t="str">
        <f>VLOOKUP(B160,'[2]Classi allarmi RMT-STIG_rev4'!$C:$C,1,0)</f>
        <v>ALR_GENERICO-Allarme dispositivo</v>
      </c>
      <c r="D160" t="str">
        <f>VLOOKUP(B160,'EXPORT IRIS PROD 13-11-2024'!A:A,1,0)</f>
        <v>ALR_GENERICO-Allarme dispositivo</v>
      </c>
      <c r="E160" t="str">
        <f>VLOOKUP(H160,'EXPORT IRIS PROD 13-11-2024'!F:F,1,0)</f>
        <v>ALR_GENERICO</v>
      </c>
      <c r="F160" t="str">
        <f>VLOOKUP(I160,'EXPORT IRIS PROD 13-11-2024'!D:D,1,0)</f>
        <v>Allarme dispositivo</v>
      </c>
      <c r="G160" s="37" t="s">
        <v>53</v>
      </c>
      <c r="H160" s="38" t="s">
        <v>353</v>
      </c>
      <c r="I160" s="38" t="s">
        <v>354</v>
      </c>
      <c r="J160" s="39" t="s">
        <v>56</v>
      </c>
      <c r="K160" s="39" t="s">
        <v>355</v>
      </c>
      <c r="L160" s="40" t="s">
        <v>21</v>
      </c>
      <c r="M160" s="41" t="s">
        <v>22</v>
      </c>
      <c r="N160" s="42" t="s">
        <v>23</v>
      </c>
      <c r="O160" s="43" t="s">
        <v>24</v>
      </c>
      <c r="P160" s="42" t="s">
        <v>25</v>
      </c>
      <c r="Q160" s="42" t="s">
        <v>21</v>
      </c>
      <c r="R160" s="44"/>
    </row>
    <row r="161" spans="1:18" ht="15" customHeight="1" x14ac:dyDescent="0.25">
      <c r="A161" t="str">
        <f t="shared" si="4"/>
        <v>Impianto Elettrico_Gruppo elettrogeno_ALR_GENERICO-Allarme dispositivo</v>
      </c>
      <c r="B161" t="str">
        <f t="shared" si="5"/>
        <v>ALR_GENERICO-Allarme dispositivo</v>
      </c>
      <c r="C161" t="str">
        <f>VLOOKUP(B161,'[2]Classi allarmi RMT-STIG_rev4'!$C:$C,1,0)</f>
        <v>ALR_GENERICO-Allarme dispositivo</v>
      </c>
      <c r="D161" t="str">
        <f>VLOOKUP(B161,'EXPORT IRIS PROD 13-11-2024'!A:A,1,0)</f>
        <v>ALR_GENERICO-Allarme dispositivo</v>
      </c>
      <c r="E161" t="str">
        <f>VLOOKUP(H161,'EXPORT IRIS PROD 13-11-2024'!F:F,1,0)</f>
        <v>ALR_GENERICO</v>
      </c>
      <c r="F161" t="str">
        <f>VLOOKUP(I161,'EXPORT IRIS PROD 13-11-2024'!D:D,1,0)</f>
        <v>Allarme dispositivo</v>
      </c>
      <c r="G161" s="37" t="s">
        <v>53</v>
      </c>
      <c r="H161" s="38" t="s">
        <v>353</v>
      </c>
      <c r="I161" s="38" t="s">
        <v>354</v>
      </c>
      <c r="J161" s="39" t="s">
        <v>56</v>
      </c>
      <c r="K161" s="53" t="s">
        <v>57</v>
      </c>
      <c r="L161" s="40" t="s">
        <v>21</v>
      </c>
      <c r="M161" s="41" t="s">
        <v>22</v>
      </c>
      <c r="N161" s="42" t="s">
        <v>23</v>
      </c>
      <c r="O161" s="43" t="s">
        <v>24</v>
      </c>
      <c r="P161" s="42" t="s">
        <v>25</v>
      </c>
      <c r="Q161" s="42" t="s">
        <v>21</v>
      </c>
      <c r="R161" s="44"/>
    </row>
    <row r="162" spans="1:18" customFormat="1" ht="15" customHeight="1" x14ac:dyDescent="0.25">
      <c r="A162" t="str">
        <f t="shared" si="4"/>
        <v>Impianto Elettrico_Quadro elettrico_ALR_GENERICO-Allarme dispositivo</v>
      </c>
      <c r="B162" t="str">
        <f t="shared" si="5"/>
        <v>ALR_GENERICO-Allarme dispositivo</v>
      </c>
      <c r="C162" t="str">
        <f>VLOOKUP(B162,'[2]Classi allarmi RMT-STIG_rev4'!$C:$C,1,0)</f>
        <v>ALR_GENERICO-Allarme dispositivo</v>
      </c>
      <c r="D162" t="str">
        <f>VLOOKUP(B162,'EXPORT IRIS PROD 13-11-2024'!A:A,1,0)</f>
        <v>ALR_GENERICO-Allarme dispositivo</v>
      </c>
      <c r="E162" t="str">
        <f>VLOOKUP(H162,'EXPORT IRIS PROD 13-11-2024'!F:F,1,0)</f>
        <v>ALR_GENERICO</v>
      </c>
      <c r="F162" t="str">
        <f>VLOOKUP(I162,'EXPORT IRIS PROD 13-11-2024'!D:D,1,0)</f>
        <v>Allarme dispositivo</v>
      </c>
      <c r="G162" s="37" t="s">
        <v>53</v>
      </c>
      <c r="H162" s="38" t="s">
        <v>353</v>
      </c>
      <c r="I162" s="38" t="s">
        <v>354</v>
      </c>
      <c r="J162" s="39" t="s">
        <v>56</v>
      </c>
      <c r="K162" s="53" t="s">
        <v>114</v>
      </c>
      <c r="L162" s="40" t="s">
        <v>21</v>
      </c>
      <c r="M162" s="41" t="s">
        <v>22</v>
      </c>
      <c r="N162" s="42" t="s">
        <v>23</v>
      </c>
      <c r="O162" s="43" t="s">
        <v>24</v>
      </c>
      <c r="P162" s="42" t="s">
        <v>25</v>
      </c>
      <c r="Q162" s="42" t="s">
        <v>21</v>
      </c>
      <c r="R162" s="44"/>
    </row>
    <row r="163" spans="1:18" customFormat="1" ht="15" customHeight="1" x14ac:dyDescent="0.25">
      <c r="A163" t="str">
        <f t="shared" si="4"/>
        <v>Impianto Elettrico_UPS_ALR_GENERICO-Allarme dispositivo</v>
      </c>
      <c r="B163" t="str">
        <f t="shared" si="5"/>
        <v>ALR_GENERICO-Allarme dispositivo</v>
      </c>
      <c r="C163" t="str">
        <f>VLOOKUP(B163,'[2]Classi allarmi RMT-STIG_rev4'!$C:$C,1,0)</f>
        <v>ALR_GENERICO-Allarme dispositivo</v>
      </c>
      <c r="D163" t="str">
        <f>VLOOKUP(B163,'EXPORT IRIS PROD 13-11-2024'!A:A,1,0)</f>
        <v>ALR_GENERICO-Allarme dispositivo</v>
      </c>
      <c r="E163" t="str">
        <f>VLOOKUP(H163,'EXPORT IRIS PROD 13-11-2024'!F:F,1,0)</f>
        <v>ALR_GENERICO</v>
      </c>
      <c r="F163" t="str">
        <f>VLOOKUP(I163,'EXPORT IRIS PROD 13-11-2024'!D:D,1,0)</f>
        <v>Allarme dispositivo</v>
      </c>
      <c r="G163" s="37" t="s">
        <v>53</v>
      </c>
      <c r="H163" s="38" t="s">
        <v>353</v>
      </c>
      <c r="I163" s="38" t="s">
        <v>354</v>
      </c>
      <c r="J163" s="39" t="s">
        <v>56</v>
      </c>
      <c r="K163" s="53" t="s">
        <v>104</v>
      </c>
      <c r="L163" s="40" t="s">
        <v>21</v>
      </c>
      <c r="M163" s="41" t="s">
        <v>22</v>
      </c>
      <c r="N163" s="42" t="s">
        <v>23</v>
      </c>
      <c r="O163" s="43" t="s">
        <v>24</v>
      </c>
      <c r="P163" s="42" t="s">
        <v>25</v>
      </c>
      <c r="Q163" s="42" t="s">
        <v>21</v>
      </c>
      <c r="R163" s="44"/>
    </row>
    <row r="164" spans="1:18" customFormat="1" ht="15" customHeight="1" x14ac:dyDescent="0.25">
      <c r="A164" t="str">
        <f t="shared" si="4"/>
        <v>Impianto Rilevazione Incendio_Centralina antincendio_ALR_GENERICO-Allarme dispositivo</v>
      </c>
      <c r="B164" t="str">
        <f t="shared" si="5"/>
        <v>ALR_GENERICO-Allarme dispositivo</v>
      </c>
      <c r="C164" t="str">
        <f>VLOOKUP(B164,'[2]Classi allarmi RMT-STIG_rev4'!$C:$C,1,0)</f>
        <v>ALR_GENERICO-Allarme dispositivo</v>
      </c>
      <c r="D164" t="str">
        <f>VLOOKUP(B164,'EXPORT IRIS PROD 13-11-2024'!A:A,1,0)</f>
        <v>ALR_GENERICO-Allarme dispositivo</v>
      </c>
      <c r="E164" t="str">
        <f>VLOOKUP(H164,'EXPORT IRIS PROD 13-11-2024'!F:F,1,0)</f>
        <v>ALR_GENERICO</v>
      </c>
      <c r="F164" t="str">
        <f>VLOOKUP(I164,'EXPORT IRIS PROD 13-11-2024'!D:D,1,0)</f>
        <v>Allarme dispositivo</v>
      </c>
      <c r="G164" s="37" t="s">
        <v>105</v>
      </c>
      <c r="H164" s="38" t="s">
        <v>353</v>
      </c>
      <c r="I164" s="38" t="s">
        <v>354</v>
      </c>
      <c r="J164" s="39" t="s">
        <v>43</v>
      </c>
      <c r="K164" s="39" t="s">
        <v>130</v>
      </c>
      <c r="L164" s="40" t="s">
        <v>21</v>
      </c>
      <c r="M164" s="41" t="s">
        <v>22</v>
      </c>
      <c r="N164" s="42" t="s">
        <v>23</v>
      </c>
      <c r="O164" s="43" t="s">
        <v>24</v>
      </c>
      <c r="P164" s="42" t="s">
        <v>25</v>
      </c>
      <c r="Q164" s="42" t="s">
        <v>21</v>
      </c>
      <c r="R164" s="44"/>
    </row>
    <row r="165" spans="1:18" customFormat="1" ht="15" customHeight="1" x14ac:dyDescent="0.25">
      <c r="A165" t="str">
        <f t="shared" si="4"/>
        <v>Impianto Elettrico_Gruppo elettrogeno_ALR_GIRI_MOTORE_BASSI-Allarme giri motori bassi</v>
      </c>
      <c r="B165" t="str">
        <f t="shared" si="5"/>
        <v>ALR_GIRI_MOTORE_BASSI-Allarme giri motori bassi</v>
      </c>
      <c r="C165" t="str">
        <f>VLOOKUP(B165,'[2]Classi allarmi RMT-STIG_rev4'!$C:$C,1,0)</f>
        <v>ALR_GIRI_MOTORE_BASSI-Allarme giri motori bassi</v>
      </c>
      <c r="D165" t="str">
        <f>VLOOKUP(B165,'EXPORT IRIS PROD 13-11-2024'!A:A,1,0)</f>
        <v>ALR_GIRI_MOTORE_BASSI-Allarme giri motori bassi</v>
      </c>
      <c r="E165" t="str">
        <f>VLOOKUP(H165,'EXPORT IRIS PROD 13-11-2024'!F:F,1,0)</f>
        <v>ALR_GIRI_MOTORE_BASSI</v>
      </c>
      <c r="F165" t="str">
        <f>VLOOKUP(I165,'EXPORT IRIS PROD 13-11-2024'!D:D,1,0)</f>
        <v>Allarme giri motori bassi</v>
      </c>
      <c r="G165" s="37" t="s">
        <v>53</v>
      </c>
      <c r="H165" s="38" t="s">
        <v>356</v>
      </c>
      <c r="I165" s="38" t="s">
        <v>357</v>
      </c>
      <c r="J165" s="39" t="s">
        <v>56</v>
      </c>
      <c r="K165" s="39" t="s">
        <v>57</v>
      </c>
      <c r="L165" s="40" t="s">
        <v>21</v>
      </c>
      <c r="M165" s="41" t="s">
        <v>22</v>
      </c>
      <c r="N165" s="42" t="s">
        <v>23</v>
      </c>
      <c r="O165" s="43" t="s">
        <v>24</v>
      </c>
      <c r="P165" s="42" t="s">
        <v>25</v>
      </c>
      <c r="Q165" s="42" t="s">
        <v>21</v>
      </c>
      <c r="R165" s="44"/>
    </row>
    <row r="166" spans="1:18" customFormat="1" ht="15" customHeight="1" x14ac:dyDescent="0.25">
      <c r="A166" t="str">
        <f t="shared" si="4"/>
        <v>Impianto SOS_Colonnina SOS_ALR_GIROFARO_ATTIVO-Allarme girofaro attivo</v>
      </c>
      <c r="B166" t="str">
        <f t="shared" si="5"/>
        <v>ALR_GIROFARO_ATTIVO-Allarme girofaro attivo</v>
      </c>
      <c r="C166" t="str">
        <f>VLOOKUP(B166,'[2]Classi allarmi RMT-STIG_rev4'!$C:$C,1,0)</f>
        <v>ALR_GIROFARO_ATTIVO-Allarme girofaro attivo</v>
      </c>
      <c r="D166" t="str">
        <f>VLOOKUP(B166,'EXPORT IRIS PROD 13-11-2024'!A:A,1,0)</f>
        <v>ALR_GIROFARO_ATTIVO-Allarme girofaro attivo</v>
      </c>
      <c r="E166" t="str">
        <f>VLOOKUP(H166,'EXPORT IRIS PROD 13-11-2024'!F:F,1,0)</f>
        <v>ALR_GIROFARO_ATTIVO</v>
      </c>
      <c r="F166" t="str">
        <f>VLOOKUP(I166,'EXPORT IRIS PROD 13-11-2024'!D:D,1,0)</f>
        <v>Allarme girofaro attivo</v>
      </c>
      <c r="G166" s="37" t="s">
        <v>26</v>
      </c>
      <c r="H166" s="38" t="s">
        <v>358</v>
      </c>
      <c r="I166" s="45" t="s">
        <v>359</v>
      </c>
      <c r="J166" s="46" t="s">
        <v>29</v>
      </c>
      <c r="K166" s="46" t="s">
        <v>360</v>
      </c>
      <c r="L166" s="47" t="s">
        <v>31</v>
      </c>
      <c r="M166" s="48" t="s">
        <v>32</v>
      </c>
      <c r="N166" s="43">
        <v>1</v>
      </c>
      <c r="O166" s="43" t="s">
        <v>157</v>
      </c>
      <c r="P166" s="43" t="s">
        <v>158</v>
      </c>
      <c r="Q166" s="42" t="s">
        <v>21</v>
      </c>
      <c r="R166" s="49"/>
    </row>
    <row r="167" spans="1:18" customFormat="1" ht="15" customHeight="1" x14ac:dyDescent="0.25">
      <c r="A167" t="str">
        <f t="shared" si="4"/>
        <v>Impianto SOS_Colonnina SOS_ALR_GIROFARO_SIRENA-Allarme girofaro e sirena attivi</v>
      </c>
      <c r="B167" t="str">
        <f t="shared" si="5"/>
        <v>ALR_GIROFARO_SIRENA-Allarme girofaro e sirena attivi</v>
      </c>
      <c r="C167" t="str">
        <f>VLOOKUP(B167,'[2]Classi allarmi RMT-STIG_rev4'!$C:$C,1,0)</f>
        <v>ALR_GIROFARO_SIRENA-Allarme girofaro e sirena attivi</v>
      </c>
      <c r="D167" t="str">
        <f>VLOOKUP(B167,'EXPORT IRIS PROD 13-11-2024'!A:A,1,0)</f>
        <v>ALR_GIROFARO_SIRENA-Allarme girofaro e sirena attivi</v>
      </c>
      <c r="E167" t="str">
        <f>VLOOKUP(H167,'EXPORT IRIS PROD 13-11-2024'!F:F,1,0)</f>
        <v>ALR_GIROFARO_SIRENA</v>
      </c>
      <c r="F167" t="str">
        <f>VLOOKUP(I167,'EXPORT IRIS PROD 13-11-2024'!D:D,1,0)</f>
        <v>Allarme girofaro e sirena attivi</v>
      </c>
      <c r="G167" s="37" t="s">
        <v>26</v>
      </c>
      <c r="H167" s="38" t="s">
        <v>361</v>
      </c>
      <c r="I167" s="38" t="s">
        <v>362</v>
      </c>
      <c r="J167" s="39" t="s">
        <v>29</v>
      </c>
      <c r="K167" s="39" t="s">
        <v>360</v>
      </c>
      <c r="L167" s="40" t="s">
        <v>31</v>
      </c>
      <c r="M167" s="41" t="s">
        <v>32</v>
      </c>
      <c r="N167" s="43">
        <v>1</v>
      </c>
      <c r="O167" s="43" t="s">
        <v>157</v>
      </c>
      <c r="P167" s="42" t="s">
        <v>158</v>
      </c>
      <c r="Q167" s="42" t="s">
        <v>21</v>
      </c>
      <c r="R167" s="44"/>
    </row>
    <row r="168" spans="1:18" customFormat="1" ht="16.350000000000001" customHeight="1" x14ac:dyDescent="0.25">
      <c r="A168" t="str">
        <f t="shared" si="4"/>
        <v>Impianto Ventilazione_Anemometro_ALR_GRADIENTE-Allarme gradiente sensore</v>
      </c>
      <c r="B168" t="str">
        <f t="shared" si="5"/>
        <v>ALR_GRADIENTE-Allarme gradiente sensore</v>
      </c>
      <c r="C168" t="str">
        <f>VLOOKUP(B168,'[2]Classi allarmi RMT-STIG_rev4'!$C:$C,1,0)</f>
        <v>ALR_GRADIENTE-Allarme gradiente sensore</v>
      </c>
      <c r="D168" t="str">
        <f>VLOOKUP(B168,'EXPORT IRIS PROD 13-11-2024'!A:A,1,0)</f>
        <v>ALR_GRADIENTE-Allarme gradiente sensore</v>
      </c>
      <c r="E168" t="str">
        <f>VLOOKUP(H168,'EXPORT IRIS PROD 13-11-2024'!F:F,1,0)</f>
        <v>ALR_GRADIENTE</v>
      </c>
      <c r="F168" t="str">
        <f>VLOOKUP(I168,'EXPORT IRIS PROD 13-11-2024'!D:D,1,0)</f>
        <v>Allarme gradiente sensore</v>
      </c>
      <c r="G168" s="37" t="s">
        <v>213</v>
      </c>
      <c r="H168" s="38" t="s">
        <v>363</v>
      </c>
      <c r="I168" s="38" t="s">
        <v>364</v>
      </c>
      <c r="J168" s="39" t="s">
        <v>50</v>
      </c>
      <c r="K168" s="39" t="s">
        <v>88</v>
      </c>
      <c r="L168" s="40" t="s">
        <v>21</v>
      </c>
      <c r="M168" s="41" t="s">
        <v>22</v>
      </c>
      <c r="N168" s="42" t="s">
        <v>23</v>
      </c>
      <c r="O168" s="43" t="s">
        <v>157</v>
      </c>
      <c r="P168" s="42" t="s">
        <v>158</v>
      </c>
      <c r="Q168" s="42" t="s">
        <v>21</v>
      </c>
      <c r="R168" s="44"/>
    </row>
    <row r="169" spans="1:18" customFormat="1" ht="15" customHeight="1" x14ac:dyDescent="0.25">
      <c r="A169" t="str">
        <f t="shared" si="4"/>
        <v>Impianto Ventilazione_CO_ALR_GRADIENTE-Allarme gradiente sensore</v>
      </c>
      <c r="B169" t="str">
        <f t="shared" si="5"/>
        <v>ALR_GRADIENTE-Allarme gradiente sensore</v>
      </c>
      <c r="C169" t="str">
        <f>VLOOKUP(B169,'[2]Classi allarmi RMT-STIG_rev4'!$C:$C,1,0)</f>
        <v>ALR_GRADIENTE-Allarme gradiente sensore</v>
      </c>
      <c r="D169" t="str">
        <f>VLOOKUP(B169,'EXPORT IRIS PROD 13-11-2024'!A:A,1,0)</f>
        <v>ALR_GRADIENTE-Allarme gradiente sensore</v>
      </c>
      <c r="E169" t="str">
        <f>VLOOKUP(H169,'EXPORT IRIS PROD 13-11-2024'!F:F,1,0)</f>
        <v>ALR_GRADIENTE</v>
      </c>
      <c r="F169" t="str">
        <f>VLOOKUP(I169,'EXPORT IRIS PROD 13-11-2024'!D:D,1,0)</f>
        <v>Allarme gradiente sensore</v>
      </c>
      <c r="G169" s="37" t="s">
        <v>213</v>
      </c>
      <c r="H169" s="38" t="s">
        <v>363</v>
      </c>
      <c r="I169" s="38" t="s">
        <v>364</v>
      </c>
      <c r="J169" s="39" t="s">
        <v>50</v>
      </c>
      <c r="K169" s="39" t="s">
        <v>51</v>
      </c>
      <c r="L169" s="40" t="s">
        <v>21</v>
      </c>
      <c r="M169" s="41" t="s">
        <v>22</v>
      </c>
      <c r="N169" s="42" t="s">
        <v>23</v>
      </c>
      <c r="O169" s="43" t="s">
        <v>157</v>
      </c>
      <c r="P169" s="42" t="s">
        <v>158</v>
      </c>
      <c r="Q169" s="42" t="s">
        <v>21</v>
      </c>
      <c r="R169" s="44"/>
    </row>
    <row r="170" spans="1:18" customFormat="1" ht="15" customHeight="1" x14ac:dyDescent="0.25">
      <c r="A170" t="str">
        <f t="shared" si="4"/>
        <v>Impianto Ventilazione_NO_ALR_GRADIENTE-Allarme gradiente sensore</v>
      </c>
      <c r="B170" t="str">
        <f t="shared" si="5"/>
        <v>ALR_GRADIENTE-Allarme gradiente sensore</v>
      </c>
      <c r="C170" t="str">
        <f>VLOOKUP(B170,'[2]Classi allarmi RMT-STIG_rev4'!$C:$C,1,0)</f>
        <v>ALR_GRADIENTE-Allarme gradiente sensore</v>
      </c>
      <c r="D170" t="str">
        <f>VLOOKUP(B170,'EXPORT IRIS PROD 13-11-2024'!A:A,1,0)</f>
        <v>ALR_GRADIENTE-Allarme gradiente sensore</v>
      </c>
      <c r="E170" t="str">
        <f>VLOOKUP(H170,'EXPORT IRIS PROD 13-11-2024'!F:F,1,0)</f>
        <v>ALR_GRADIENTE</v>
      </c>
      <c r="F170" t="str">
        <f>VLOOKUP(I170,'EXPORT IRIS PROD 13-11-2024'!D:D,1,0)</f>
        <v>Allarme gradiente sensore</v>
      </c>
      <c r="G170" s="37" t="s">
        <v>213</v>
      </c>
      <c r="H170" s="38" t="s">
        <v>363</v>
      </c>
      <c r="I170" s="38" t="s">
        <v>364</v>
      </c>
      <c r="J170" s="39" t="s">
        <v>50</v>
      </c>
      <c r="K170" s="39" t="s">
        <v>21</v>
      </c>
      <c r="L170" s="40" t="s">
        <v>21</v>
      </c>
      <c r="M170" s="41" t="s">
        <v>22</v>
      </c>
      <c r="N170" s="42" t="s">
        <v>23</v>
      </c>
      <c r="O170" s="43" t="s">
        <v>157</v>
      </c>
      <c r="P170" s="42" t="s">
        <v>158</v>
      </c>
      <c r="Q170" s="42" t="s">
        <v>21</v>
      </c>
      <c r="R170" s="44"/>
    </row>
    <row r="171" spans="1:18" customFormat="1" ht="15" customHeight="1" x14ac:dyDescent="0.25">
      <c r="A171" t="str">
        <f t="shared" si="4"/>
        <v>Impianto Ventilazione_OP_ALR_GRADIENTE-Allarme gradiente sensore</v>
      </c>
      <c r="B171" t="str">
        <f t="shared" si="5"/>
        <v>ALR_GRADIENTE-Allarme gradiente sensore</v>
      </c>
      <c r="C171" t="str">
        <f>VLOOKUP(B171,'[2]Classi allarmi RMT-STIG_rev4'!$C:$C,1,0)</f>
        <v>ALR_GRADIENTE-Allarme gradiente sensore</v>
      </c>
      <c r="D171" t="str">
        <f>VLOOKUP(B171,'EXPORT IRIS PROD 13-11-2024'!A:A,1,0)</f>
        <v>ALR_GRADIENTE-Allarme gradiente sensore</v>
      </c>
      <c r="E171" t="str">
        <f>VLOOKUP(H171,'EXPORT IRIS PROD 13-11-2024'!F:F,1,0)</f>
        <v>ALR_GRADIENTE</v>
      </c>
      <c r="F171" t="str">
        <f>VLOOKUP(I171,'EXPORT IRIS PROD 13-11-2024'!D:D,1,0)</f>
        <v>Allarme gradiente sensore</v>
      </c>
      <c r="G171" s="37" t="s">
        <v>213</v>
      </c>
      <c r="H171" s="38" t="s">
        <v>363</v>
      </c>
      <c r="I171" s="38" t="s">
        <v>364</v>
      </c>
      <c r="J171" s="39" t="s">
        <v>50</v>
      </c>
      <c r="K171" s="39" t="s">
        <v>52</v>
      </c>
      <c r="L171" s="40" t="s">
        <v>21</v>
      </c>
      <c r="M171" s="41" t="s">
        <v>22</v>
      </c>
      <c r="N171" s="42" t="s">
        <v>23</v>
      </c>
      <c r="O171" s="43" t="s">
        <v>157</v>
      </c>
      <c r="P171" s="42" t="s">
        <v>158</v>
      </c>
      <c r="Q171" s="42" t="s">
        <v>21</v>
      </c>
      <c r="R171" s="44"/>
    </row>
    <row r="172" spans="1:18" customFormat="1" ht="15" customHeight="1" x14ac:dyDescent="0.25">
      <c r="A172" t="str">
        <f t="shared" si="4"/>
        <v>Impianto Elettrico_Gruppo elettrogeno_ALR_GRUPPO-Allarme gruppo</v>
      </c>
      <c r="B172" t="str">
        <f t="shared" si="5"/>
        <v>ALR_GRUPPO-Allarme gruppo</v>
      </c>
      <c r="C172" t="str">
        <f>VLOOKUP(B172,'[2]Classi allarmi RMT-STIG_rev4'!$C:$C,1,0)</f>
        <v>ALR_GRUPPO-Allarme gruppo</v>
      </c>
      <c r="D172" t="str">
        <f>VLOOKUP(B172,'EXPORT IRIS PROD 13-11-2024'!A:A,1,0)</f>
        <v>ALR_GRUPPO-Allarme gruppo</v>
      </c>
      <c r="E172" t="str">
        <f>VLOOKUP(H172,'EXPORT IRIS PROD 13-11-2024'!F:F,1,0)</f>
        <v>ALR_GRUPPO</v>
      </c>
      <c r="F172" t="str">
        <f>VLOOKUP(I172,'EXPORT IRIS PROD 13-11-2024'!D:D,1,0)</f>
        <v>Allarme gruppo</v>
      </c>
      <c r="G172" s="37" t="s">
        <v>53</v>
      </c>
      <c r="H172" s="38" t="s">
        <v>365</v>
      </c>
      <c r="I172" s="38" t="s">
        <v>366</v>
      </c>
      <c r="J172" s="39" t="s">
        <v>56</v>
      </c>
      <c r="K172" s="39" t="s">
        <v>57</v>
      </c>
      <c r="L172" s="40" t="s">
        <v>21</v>
      </c>
      <c r="M172" s="41" t="s">
        <v>22</v>
      </c>
      <c r="N172" s="42" t="s">
        <v>23</v>
      </c>
      <c r="O172" s="43" t="s">
        <v>24</v>
      </c>
      <c r="P172" s="42" t="s">
        <v>25</v>
      </c>
      <c r="Q172" s="42" t="s">
        <v>21</v>
      </c>
      <c r="R172" s="44"/>
    </row>
    <row r="173" spans="1:18" customFormat="1" ht="15" customHeight="1" x14ac:dyDescent="0.25">
      <c r="A173" t="str">
        <f t="shared" si="4"/>
        <v>Impianto Elettrico_Gruppo elettrogeno_ALR_GRUPPO_EL_AVARIA-Allarme avaria Gruppo Elettrogeno</v>
      </c>
      <c r="B173" t="str">
        <f t="shared" si="5"/>
        <v>ALR_GRUPPO_EL_AVARIA-Allarme avaria Gruppo Elettrogeno</v>
      </c>
      <c r="C173" t="str">
        <f>VLOOKUP(B173,'[2]Classi allarmi RMT-STIG_rev4'!$C:$C,1,0)</f>
        <v>ALR_GRUPPO_EL_AVARIA-Allarme avaria Gruppo Elettrogeno</v>
      </c>
      <c r="D173" t="str">
        <f>VLOOKUP(B173,'EXPORT IRIS PROD 13-11-2024'!A:A,1,0)</f>
        <v>ALR_GRUPPO_EL_AVARIA-Allarme avaria Gruppo Elettrogeno</v>
      </c>
      <c r="E173" t="str">
        <f>VLOOKUP(H173,'EXPORT IRIS PROD 13-11-2024'!F:F,1,0)</f>
        <v>ALR_GRUPPO_EL_AVARIA</v>
      </c>
      <c r="F173" t="str">
        <f>VLOOKUP(I173,'EXPORT IRIS PROD 13-11-2024'!D:D,1,0)</f>
        <v>Allarme avaria Gruppo Elettrogeno</v>
      </c>
      <c r="G173" s="37" t="s">
        <v>53</v>
      </c>
      <c r="H173" s="38" t="s">
        <v>367</v>
      </c>
      <c r="I173" s="38" t="s">
        <v>368</v>
      </c>
      <c r="J173" s="39" t="s">
        <v>56</v>
      </c>
      <c r="K173" s="39" t="s">
        <v>57</v>
      </c>
      <c r="L173" s="40" t="s">
        <v>21</v>
      </c>
      <c r="M173" s="41" t="s">
        <v>22</v>
      </c>
      <c r="N173" s="42" t="s">
        <v>23</v>
      </c>
      <c r="O173" s="43" t="s">
        <v>33</v>
      </c>
      <c r="P173" s="42" t="s">
        <v>34</v>
      </c>
      <c r="Q173" s="54" t="s">
        <v>31</v>
      </c>
      <c r="R173" s="52"/>
    </row>
    <row r="174" spans="1:18" customFormat="1" ht="15" customHeight="1" x14ac:dyDescent="0.25">
      <c r="A174" t="str">
        <f t="shared" si="4"/>
        <v>Impianto Elettrico_Gruppo elettrogeno_ALR_GRUPPO_ELETTROGENO_AVVIATO-Allarme Gruppo Elettrogeno avviato</v>
      </c>
      <c r="B174" t="str">
        <f t="shared" si="5"/>
        <v>ALR_GRUPPO_ELETTROGENO_AVVIATO-Allarme Gruppo Elettrogeno avviato</v>
      </c>
      <c r="C174" t="str">
        <f>VLOOKUP(B174,'[2]Classi allarmi RMT-STIG_rev4'!$C:$C,1,0)</f>
        <v>ALR_GRUPPO_ELETTROGENO_AVVIATO-Allarme Gruppo Elettrogeno avviato</v>
      </c>
      <c r="D174" t="str">
        <f>VLOOKUP(B174,'EXPORT IRIS PROD 13-11-2024'!A:A,1,0)</f>
        <v>ALR_GRUPPO_ELETTROGENO_AVVIATO-Allarme Gruppo Elettrogeno avviato</v>
      </c>
      <c r="E174" t="str">
        <f>VLOOKUP(H174,'EXPORT IRIS PROD 13-11-2024'!F:F,1,0)</f>
        <v>ALR_GRUPPO_ELETTROGENO_AVVIATO</v>
      </c>
      <c r="F174" t="str">
        <f>VLOOKUP(I174,'EXPORT IRIS PROD 13-11-2024'!D:D,1,0)</f>
        <v>Allarme Gruppo Elettrogeno avviato</v>
      </c>
      <c r="G174" s="37" t="s">
        <v>369</v>
      </c>
      <c r="H174" s="38" t="s">
        <v>370</v>
      </c>
      <c r="I174" s="45" t="s">
        <v>371</v>
      </c>
      <c r="J174" s="46" t="s">
        <v>56</v>
      </c>
      <c r="K174" s="46" t="s">
        <v>57</v>
      </c>
      <c r="L174" s="47" t="s">
        <v>31</v>
      </c>
      <c r="M174" s="48" t="s">
        <v>32</v>
      </c>
      <c r="N174" s="43">
        <v>2</v>
      </c>
      <c r="O174" s="43" t="s">
        <v>33</v>
      </c>
      <c r="P174" s="43" t="s">
        <v>34</v>
      </c>
      <c r="Q174" s="43" t="s">
        <v>31</v>
      </c>
      <c r="R174" s="49"/>
    </row>
    <row r="175" spans="1:18" customFormat="1" ht="15" customHeight="1" x14ac:dyDescent="0.25">
      <c r="A175" t="str">
        <f t="shared" si="4"/>
        <v>Impianto Elettrico_Gruppo elettrogeno_ALR_GRUPPO_NON_PRONTO-Allarme Gruppo Elettrogeno non pronto</v>
      </c>
      <c r="B175" t="str">
        <f t="shared" si="5"/>
        <v>ALR_GRUPPO_NON_PRONTO-Allarme Gruppo Elettrogeno non pronto</v>
      </c>
      <c r="C175" t="str">
        <f>VLOOKUP(B175,'[2]Classi allarmi RMT-STIG_rev4'!$C:$C,1,0)</f>
        <v>ALR_GRUPPO_NON_PRONTO-Allarme Gruppo Elettrogeno non pronto</v>
      </c>
      <c r="D175" t="str">
        <f>VLOOKUP(B175,'EXPORT IRIS PROD 13-11-2024'!A:A,1,0)</f>
        <v>ALR_GRUPPO_NON_PRONTO-Allarme Gruppo Elettrogeno non pronto</v>
      </c>
      <c r="E175" t="str">
        <f>VLOOKUP(H175,'EXPORT IRIS PROD 13-11-2024'!F:F,1,0)</f>
        <v>ALR_GRUPPO_NON_PRONTO</v>
      </c>
      <c r="F175" t="str">
        <f>VLOOKUP(I175,'EXPORT IRIS PROD 13-11-2024'!D:D,1,0)</f>
        <v>Allarme Gruppo Elettrogeno non pronto</v>
      </c>
      <c r="G175" s="37" t="s">
        <v>53</v>
      </c>
      <c r="H175" s="38" t="s">
        <v>372</v>
      </c>
      <c r="I175" s="38" t="s">
        <v>373</v>
      </c>
      <c r="J175" s="39" t="s">
        <v>56</v>
      </c>
      <c r="K175" s="39" t="s">
        <v>57</v>
      </c>
      <c r="L175" s="40" t="s">
        <v>21</v>
      </c>
      <c r="M175" s="41" t="s">
        <v>22</v>
      </c>
      <c r="N175" s="42" t="s">
        <v>23</v>
      </c>
      <c r="O175" s="43" t="s">
        <v>24</v>
      </c>
      <c r="P175" s="42" t="s">
        <v>25</v>
      </c>
      <c r="Q175" s="42" t="s">
        <v>21</v>
      </c>
      <c r="R175" s="44"/>
    </row>
    <row r="176" spans="1:18" customFormat="1" ht="15" customHeight="1" x14ac:dyDescent="0.25">
      <c r="A176" t="str">
        <f t="shared" si="4"/>
        <v>Impianto Canalizzazione_Semaforo_ALR_GUASTO_1_IMP-Allarme guasto dispositivo</v>
      </c>
      <c r="B176" t="str">
        <f t="shared" si="5"/>
        <v>ALR_GUASTO_1_IMP-Allarme guasto dispositivo</v>
      </c>
      <c r="C176" t="str">
        <f>VLOOKUP(B176,'[2]Classi allarmi RMT-STIG_rev4'!$C:$C,1,0)</f>
        <v>ALR_GUASTO_1_IMP-Allarme guasto dispositivo</v>
      </c>
      <c r="D176" t="str">
        <f>VLOOKUP(B176,'EXPORT IRIS PROD 13-11-2024'!A:A,1,0)</f>
        <v>ALR_GUASTO_1_IMP-Allarme guasto dispositivo</v>
      </c>
      <c r="E176" t="str">
        <f>VLOOKUP(H176,'EXPORT IRIS PROD 13-11-2024'!F:F,1,0)</f>
        <v>ALR_GUASTO_1_IMP</v>
      </c>
      <c r="F176" t="str">
        <f>VLOOKUP(I176,'EXPORT IRIS PROD 13-11-2024'!D:D,1,0)</f>
        <v>Allarme guasto dispositivo</v>
      </c>
      <c r="G176" s="37" t="s">
        <v>109</v>
      </c>
      <c r="H176" s="38" t="s">
        <v>374</v>
      </c>
      <c r="I176" s="38" t="s">
        <v>375</v>
      </c>
      <c r="J176" s="39" t="s">
        <v>111</v>
      </c>
      <c r="K176" s="39" t="s">
        <v>376</v>
      </c>
      <c r="L176" s="40" t="s">
        <v>21</v>
      </c>
      <c r="M176" s="41" t="s">
        <v>22</v>
      </c>
      <c r="N176" s="42" t="s">
        <v>23</v>
      </c>
      <c r="O176" s="43" t="s">
        <v>157</v>
      </c>
      <c r="P176" s="42" t="s">
        <v>158</v>
      </c>
      <c r="Q176" s="42" t="s">
        <v>21</v>
      </c>
      <c r="R176" s="44"/>
    </row>
    <row r="177" spans="1:18" customFormat="1" ht="15" customHeight="1" x14ac:dyDescent="0.25">
      <c r="A177" t="str">
        <f t="shared" si="4"/>
        <v>Impianto Canalizzazione_PMV/Frecciacroce_ALR_GUASTO_2_IMP-Allarme guasto dispositivo</v>
      </c>
      <c r="B177" t="str">
        <f t="shared" si="5"/>
        <v>ALR_GUASTO_2_IMP-Allarme guasto dispositivo</v>
      </c>
      <c r="C177" t="str">
        <f>VLOOKUP(B177,'[2]Classi allarmi RMT-STIG_rev4'!$C:$C,1,0)</f>
        <v>ALR_GUASTO_2_IMP-Allarme guasto dispositivo</v>
      </c>
      <c r="D177" t="str">
        <f>VLOOKUP(B177,'EXPORT IRIS PROD 13-11-2024'!A:A,1,0)</f>
        <v>ALR_GUASTO_2_IMP-Allarme guasto dispositivo</v>
      </c>
      <c r="E177" t="str">
        <f>VLOOKUP(H177,'EXPORT IRIS PROD 13-11-2024'!F:F,1,0)</f>
        <v>ALR_GUASTO_2_IMP</v>
      </c>
      <c r="F177" t="str">
        <f>VLOOKUP(I177,'EXPORT IRIS PROD 13-11-2024'!D:D,1,0)</f>
        <v>Allarme guasto dispositivo</v>
      </c>
      <c r="G177" s="37" t="s">
        <v>109</v>
      </c>
      <c r="H177" s="38" t="s">
        <v>377</v>
      </c>
      <c r="I177" s="38" t="s">
        <v>375</v>
      </c>
      <c r="J177" s="39" t="s">
        <v>111</v>
      </c>
      <c r="K177" s="39" t="s">
        <v>127</v>
      </c>
      <c r="L177" s="40" t="s">
        <v>21</v>
      </c>
      <c r="M177" s="41" t="s">
        <v>22</v>
      </c>
      <c r="N177" s="42" t="s">
        <v>23</v>
      </c>
      <c r="O177" s="43" t="s">
        <v>24</v>
      </c>
      <c r="P177" s="42" t="s">
        <v>25</v>
      </c>
      <c r="Q177" s="42" t="s">
        <v>21</v>
      </c>
      <c r="R177" s="44"/>
    </row>
    <row r="178" spans="1:18" customFormat="1" ht="15" customHeight="1" x14ac:dyDescent="0.25">
      <c r="A178" t="str">
        <f t="shared" si="4"/>
        <v>Impianto Videosorveglianza_Telecamera passiva_ALR_GUASTO_2_IMP-Allarme guasto dispositivo</v>
      </c>
      <c r="B178" t="str">
        <f t="shared" si="5"/>
        <v>ALR_GUASTO_2_IMP-Allarme guasto dispositivo</v>
      </c>
      <c r="C178" t="str">
        <f>VLOOKUP(B178,'[2]Classi allarmi RMT-STIG_rev4'!$C:$C,1,0)</f>
        <v>ALR_GUASTO_2_IMP-Allarme guasto dispositivo</v>
      </c>
      <c r="D178" t="str">
        <f>VLOOKUP(B178,'EXPORT IRIS PROD 13-11-2024'!A:A,1,0)</f>
        <v>ALR_GUASTO_2_IMP-Allarme guasto dispositivo</v>
      </c>
      <c r="E178" t="str">
        <f>VLOOKUP(H178,'EXPORT IRIS PROD 13-11-2024'!F:F,1,0)</f>
        <v>ALR_GUASTO_2_IMP</v>
      </c>
      <c r="F178" t="str">
        <f>VLOOKUP(I178,'EXPORT IRIS PROD 13-11-2024'!D:D,1,0)</f>
        <v>Allarme guasto dispositivo</v>
      </c>
      <c r="G178" s="37" t="s">
        <v>198</v>
      </c>
      <c r="H178" s="38" t="s">
        <v>377</v>
      </c>
      <c r="I178" s="38" t="s">
        <v>375</v>
      </c>
      <c r="J178" s="39" t="s">
        <v>201</v>
      </c>
      <c r="K178" s="39" t="s">
        <v>263</v>
      </c>
      <c r="L178" s="40" t="s">
        <v>21</v>
      </c>
      <c r="M178" s="41" t="s">
        <v>22</v>
      </c>
      <c r="N178" s="42" t="s">
        <v>23</v>
      </c>
      <c r="O178" s="43" t="s">
        <v>24</v>
      </c>
      <c r="P178" s="42" t="s">
        <v>25</v>
      </c>
      <c r="Q178" s="42" t="s">
        <v>21</v>
      </c>
      <c r="R178" s="44"/>
    </row>
    <row r="179" spans="1:18" customFormat="1" ht="15" customHeight="1" x14ac:dyDescent="0.25">
      <c r="A179" t="str">
        <f t="shared" si="4"/>
        <v>Impianto canalizzazione _Telecamera attiva (semaforo)_ALR_GUASTO_2_IMP-Allarme guasto dispositivo</v>
      </c>
      <c r="B179" t="str">
        <f t="shared" si="5"/>
        <v>ALR_GUASTO_2_IMP-Allarme guasto dispositivo</v>
      </c>
      <c r="C179" t="str">
        <f>VLOOKUP(B179,'[2]Classi allarmi RMT-STIG_rev4'!$C:$C,1,0)</f>
        <v>ALR_GUASTO_2_IMP-Allarme guasto dispositivo</v>
      </c>
      <c r="D179" t="str">
        <f>VLOOKUP(B179,'EXPORT IRIS PROD 13-11-2024'!A:A,1,0)</f>
        <v>ALR_GUASTO_2_IMP-Allarme guasto dispositivo</v>
      </c>
      <c r="E179" t="str">
        <f>VLOOKUP(H179,'EXPORT IRIS PROD 13-11-2024'!F:F,1,0)</f>
        <v>ALR_GUASTO_2_IMP</v>
      </c>
      <c r="F179" t="str">
        <f>VLOOKUP(I179,'EXPORT IRIS PROD 13-11-2024'!D:D,1,0)</f>
        <v>Allarme guasto dispositivo</v>
      </c>
      <c r="G179" s="37" t="s">
        <v>109</v>
      </c>
      <c r="H179" s="38" t="s">
        <v>377</v>
      </c>
      <c r="I179" s="55" t="s">
        <v>375</v>
      </c>
      <c r="J179" s="50" t="s">
        <v>378</v>
      </c>
      <c r="K179" s="39" t="s">
        <v>379</v>
      </c>
      <c r="L179" s="40" t="s">
        <v>21</v>
      </c>
      <c r="M179" s="41" t="s">
        <v>22</v>
      </c>
      <c r="N179" s="42" t="s">
        <v>23</v>
      </c>
      <c r="O179" s="43" t="s">
        <v>24</v>
      </c>
      <c r="P179" s="42" t="s">
        <v>25</v>
      </c>
      <c r="Q179" s="42" t="s">
        <v>21</v>
      </c>
      <c r="R179" s="44"/>
    </row>
    <row r="180" spans="1:18" customFormat="1" ht="15" customHeight="1" x14ac:dyDescent="0.25">
      <c r="A180" t="str">
        <f t="shared" si="4"/>
        <v>Impianto Elettrico_Interruttore_ALR_GUASTO_2_IMP-Allarme guasto dispositivo</v>
      </c>
      <c r="B180" t="str">
        <f t="shared" si="5"/>
        <v>ALR_GUASTO_2_IMP-Allarme guasto dispositivo</v>
      </c>
      <c r="C180" t="str">
        <f>VLOOKUP(B180,'[2]Classi allarmi RMT-STIG_rev4'!$C:$C,1,0)</f>
        <v>ALR_GUASTO_2_IMP-Allarme guasto dispositivo</v>
      </c>
      <c r="D180" t="str">
        <f>VLOOKUP(B180,'EXPORT IRIS PROD 13-11-2024'!A:A,1,0)</f>
        <v>ALR_GUASTO_2_IMP-Allarme guasto dispositivo</v>
      </c>
      <c r="E180" t="str">
        <f>VLOOKUP(H180,'EXPORT IRIS PROD 13-11-2024'!F:F,1,0)</f>
        <v>ALR_GUASTO_2_IMP</v>
      </c>
      <c r="F180" t="str">
        <f>VLOOKUP(I180,'EXPORT IRIS PROD 13-11-2024'!D:D,1,0)</f>
        <v>Allarme guasto dispositivo</v>
      </c>
      <c r="G180" s="37" t="s">
        <v>53</v>
      </c>
      <c r="H180" s="38" t="s">
        <v>377</v>
      </c>
      <c r="I180" s="38" t="s">
        <v>375</v>
      </c>
      <c r="J180" s="39" t="s">
        <v>56</v>
      </c>
      <c r="K180" s="39" t="s">
        <v>355</v>
      </c>
      <c r="L180" s="40" t="s">
        <v>21</v>
      </c>
      <c r="M180" s="41" t="s">
        <v>22</v>
      </c>
      <c r="N180" s="42" t="s">
        <v>23</v>
      </c>
      <c r="O180" s="43" t="s">
        <v>24</v>
      </c>
      <c r="P180" s="42" t="s">
        <v>25</v>
      </c>
      <c r="Q180" s="42" t="s">
        <v>21</v>
      </c>
      <c r="R180" s="44"/>
    </row>
    <row r="181" spans="1:18" customFormat="1" ht="15" customHeight="1" x14ac:dyDescent="0.25">
      <c r="A181" t="str">
        <f t="shared" si="4"/>
        <v>Impianto Elettrico_UPS_ALR_GUASTO_2_IMP-Allarme guasto dispositivo</v>
      </c>
      <c r="B181" t="str">
        <f t="shared" si="5"/>
        <v>ALR_GUASTO_2_IMP-Allarme guasto dispositivo</v>
      </c>
      <c r="C181" t="str">
        <f>VLOOKUP(B181,'[2]Classi allarmi RMT-STIG_rev4'!$C:$C,1,0)</f>
        <v>ALR_GUASTO_2_IMP-Allarme guasto dispositivo</v>
      </c>
      <c r="D181" t="str">
        <f>VLOOKUP(B181,'EXPORT IRIS PROD 13-11-2024'!A:A,1,0)</f>
        <v>ALR_GUASTO_2_IMP-Allarme guasto dispositivo</v>
      </c>
      <c r="E181" t="str">
        <f>VLOOKUP(H181,'EXPORT IRIS PROD 13-11-2024'!F:F,1,0)</f>
        <v>ALR_GUASTO_2_IMP</v>
      </c>
      <c r="F181" t="str">
        <f>VLOOKUP(I181,'EXPORT IRIS PROD 13-11-2024'!D:D,1,0)</f>
        <v>Allarme guasto dispositivo</v>
      </c>
      <c r="G181" s="37" t="s">
        <v>53</v>
      </c>
      <c r="H181" s="38" t="s">
        <v>377</v>
      </c>
      <c r="I181" s="38" t="s">
        <v>375</v>
      </c>
      <c r="J181" s="39" t="s">
        <v>56</v>
      </c>
      <c r="K181" s="39" t="s">
        <v>104</v>
      </c>
      <c r="L181" s="40" t="s">
        <v>21</v>
      </c>
      <c r="M181" s="41" t="s">
        <v>22</v>
      </c>
      <c r="N181" s="42" t="s">
        <v>23</v>
      </c>
      <c r="O181" s="43" t="s">
        <v>24</v>
      </c>
      <c r="P181" s="42" t="s">
        <v>25</v>
      </c>
      <c r="Q181" s="42" t="s">
        <v>21</v>
      </c>
      <c r="R181" s="44"/>
    </row>
    <row r="182" spans="1:18" customFormat="1" ht="15" customHeight="1" x14ac:dyDescent="0.25">
      <c r="A182" t="str">
        <f t="shared" si="4"/>
        <v>Impianto Illuminazione_Sonda di luminanza_ALR_GUASTO_2_IMP-Allarme guasto dispositivo</v>
      </c>
      <c r="B182" t="str">
        <f t="shared" si="5"/>
        <v>ALR_GUASTO_2_IMP-Allarme guasto dispositivo</v>
      </c>
      <c r="C182" t="str">
        <f>VLOOKUP(B182,'[2]Classi allarmi RMT-STIG_rev4'!$C:$C,1,0)</f>
        <v>ALR_GUASTO_2_IMP-Allarme guasto dispositivo</v>
      </c>
      <c r="D182" t="str">
        <f>VLOOKUP(B182,'EXPORT IRIS PROD 13-11-2024'!A:A,1,0)</f>
        <v>ALR_GUASTO_2_IMP-Allarme guasto dispositivo</v>
      </c>
      <c r="E182" t="str">
        <f>VLOOKUP(H182,'EXPORT IRIS PROD 13-11-2024'!F:F,1,0)</f>
        <v>ALR_GUASTO_2_IMP</v>
      </c>
      <c r="F182" t="str">
        <f>VLOOKUP(I182,'EXPORT IRIS PROD 13-11-2024'!D:D,1,0)</f>
        <v>Allarme guasto dispositivo</v>
      </c>
      <c r="G182" s="37" t="s">
        <v>115</v>
      </c>
      <c r="H182" s="38" t="s">
        <v>377</v>
      </c>
      <c r="I182" s="38" t="s">
        <v>375</v>
      </c>
      <c r="J182" s="39" t="s">
        <v>116</v>
      </c>
      <c r="K182" s="39" t="s">
        <v>257</v>
      </c>
      <c r="L182" s="40" t="s">
        <v>21</v>
      </c>
      <c r="M182" s="41" t="s">
        <v>22</v>
      </c>
      <c r="N182" s="42" t="s">
        <v>23</v>
      </c>
      <c r="O182" s="43" t="s">
        <v>24</v>
      </c>
      <c r="P182" s="42" t="s">
        <v>25</v>
      </c>
      <c r="Q182" s="42" t="s">
        <v>21</v>
      </c>
      <c r="R182" s="44"/>
    </row>
    <row r="183" spans="1:18" customFormat="1" ht="15" customHeight="1" x14ac:dyDescent="0.25">
      <c r="A183" t="str">
        <f t="shared" si="4"/>
        <v>Impianto SOS_Colonnina Sos_ALR_GUASTO_2_IMP-Allarme guasto dispositivo</v>
      </c>
      <c r="B183" t="str">
        <f t="shared" si="5"/>
        <v>ALR_GUASTO_2_IMP-Allarme guasto dispositivo</v>
      </c>
      <c r="C183" t="str">
        <f>VLOOKUP(B183,'[2]Classi allarmi RMT-STIG_rev4'!$C:$C,1,0)</f>
        <v>ALR_GUASTO_2_IMP-Allarme guasto dispositivo</v>
      </c>
      <c r="D183" t="str">
        <f>VLOOKUP(B183,'EXPORT IRIS PROD 13-11-2024'!A:A,1,0)</f>
        <v>ALR_GUASTO_2_IMP-Allarme guasto dispositivo</v>
      </c>
      <c r="E183" t="str">
        <f>VLOOKUP(H183,'EXPORT IRIS PROD 13-11-2024'!F:F,1,0)</f>
        <v>ALR_GUASTO_2_IMP</v>
      </c>
      <c r="F183" t="str">
        <f>VLOOKUP(I183,'EXPORT IRIS PROD 13-11-2024'!D:D,1,0)</f>
        <v>Allarme guasto dispositivo</v>
      </c>
      <c r="G183" s="37" t="s">
        <v>89</v>
      </c>
      <c r="H183" s="38" t="s">
        <v>377</v>
      </c>
      <c r="I183" s="38" t="s">
        <v>375</v>
      </c>
      <c r="J183" s="39" t="s">
        <v>29</v>
      </c>
      <c r="K183" s="39" t="s">
        <v>30</v>
      </c>
      <c r="L183" s="40" t="s">
        <v>21</v>
      </c>
      <c r="M183" s="41" t="s">
        <v>22</v>
      </c>
      <c r="N183" s="42" t="s">
        <v>23</v>
      </c>
      <c r="O183" s="43" t="s">
        <v>24</v>
      </c>
      <c r="P183" s="42" t="s">
        <v>25</v>
      </c>
      <c r="Q183" s="42" t="s">
        <v>21</v>
      </c>
      <c r="R183" s="44"/>
    </row>
    <row r="184" spans="1:18" customFormat="1" ht="15" customHeight="1" x14ac:dyDescent="0.25">
      <c r="A184" t="str">
        <f t="shared" si="4"/>
        <v>Impianto Videosorveglianza_Telecamera attiva_ALR_GUASTO_2_IMP-Allarme guasto dispositivo</v>
      </c>
      <c r="B184" t="str">
        <f t="shared" si="5"/>
        <v>ALR_GUASTO_2_IMP-Allarme guasto dispositivo</v>
      </c>
      <c r="C184" t="str">
        <f>VLOOKUP(B184,'[2]Classi allarmi RMT-STIG_rev4'!$C:$C,1,0)</f>
        <v>ALR_GUASTO_2_IMP-Allarme guasto dispositivo</v>
      </c>
      <c r="D184" t="str">
        <f>VLOOKUP(B184,'EXPORT IRIS PROD 13-11-2024'!A:A,1,0)</f>
        <v>ALR_GUASTO_2_IMP-Allarme guasto dispositivo</v>
      </c>
      <c r="E184" t="str">
        <f>VLOOKUP(H184,'EXPORT IRIS PROD 13-11-2024'!F:F,1,0)</f>
        <v>ALR_GUASTO_2_IMP</v>
      </c>
      <c r="F184" t="str">
        <f>VLOOKUP(I184,'EXPORT IRIS PROD 13-11-2024'!D:D,1,0)</f>
        <v>Allarme guasto dispositivo</v>
      </c>
      <c r="G184" s="37" t="s">
        <v>198</v>
      </c>
      <c r="H184" s="38" t="s">
        <v>377</v>
      </c>
      <c r="I184" s="38" t="s">
        <v>375</v>
      </c>
      <c r="J184" s="39" t="s">
        <v>201</v>
      </c>
      <c r="K184" s="39" t="s">
        <v>380</v>
      </c>
      <c r="L184" s="40" t="s">
        <v>21</v>
      </c>
      <c r="M184" s="41" t="s">
        <v>22</v>
      </c>
      <c r="N184" s="42" t="s">
        <v>23</v>
      </c>
      <c r="O184" s="43" t="s">
        <v>24</v>
      </c>
      <c r="P184" s="42" t="s">
        <v>25</v>
      </c>
      <c r="Q184" s="42" t="s">
        <v>21</v>
      </c>
      <c r="R184" s="44"/>
    </row>
    <row r="185" spans="1:18" customFormat="1" ht="15" customHeight="1" x14ac:dyDescent="0.25">
      <c r="A185" t="str">
        <f t="shared" si="4"/>
        <v>Impianto Ventilazione_Centralina sensori qualità aria (Stazione di misurazione)_ALR_GUASTO_2_IMP-Allarme guasto dispositivo</v>
      </c>
      <c r="B185" t="str">
        <f t="shared" si="5"/>
        <v>ALR_GUASTO_2_IMP-Allarme guasto dispositivo</v>
      </c>
      <c r="C185" t="str">
        <f>VLOOKUP(B185,'[2]Classi allarmi RMT-STIG_rev4'!$C:$C,1,0)</f>
        <v>ALR_GUASTO_2_IMP-Allarme guasto dispositivo</v>
      </c>
      <c r="D185" t="str">
        <f>VLOOKUP(B185,'EXPORT IRIS PROD 13-11-2024'!A:A,1,0)</f>
        <v>ALR_GUASTO_2_IMP-Allarme guasto dispositivo</v>
      </c>
      <c r="E185" t="str">
        <f>VLOOKUP(H185,'EXPORT IRIS PROD 13-11-2024'!F:F,1,0)</f>
        <v>ALR_GUASTO_2_IMP</v>
      </c>
      <c r="F185" t="str">
        <f>VLOOKUP(I185,'EXPORT IRIS PROD 13-11-2024'!D:D,1,0)</f>
        <v>Allarme guasto dispositivo</v>
      </c>
      <c r="G185" s="37" t="s">
        <v>85</v>
      </c>
      <c r="H185" s="38" t="s">
        <v>377</v>
      </c>
      <c r="I185" s="38" t="s">
        <v>375</v>
      </c>
      <c r="J185" s="39" t="s">
        <v>50</v>
      </c>
      <c r="K185" s="39" t="s">
        <v>381</v>
      </c>
      <c r="L185" s="40" t="s">
        <v>21</v>
      </c>
      <c r="M185" s="41" t="s">
        <v>22</v>
      </c>
      <c r="N185" s="42" t="s">
        <v>23</v>
      </c>
      <c r="O185" s="43" t="s">
        <v>24</v>
      </c>
      <c r="P185" s="42" t="s">
        <v>25</v>
      </c>
      <c r="Q185" s="42" t="s">
        <v>21</v>
      </c>
      <c r="R185" s="44"/>
    </row>
    <row r="186" spans="1:18" customFormat="1" ht="15" customHeight="1" x14ac:dyDescent="0.25">
      <c r="A186" t="str">
        <f t="shared" si="4"/>
        <v>Impianto Ventilazione_Ventilatore_ALR_GUASTO_2_IMP-Allarme guasto dispositivo</v>
      </c>
      <c r="B186" t="str">
        <f t="shared" si="5"/>
        <v>ALR_GUASTO_2_IMP-Allarme guasto dispositivo</v>
      </c>
      <c r="C186" t="str">
        <f>VLOOKUP(B186,'[2]Classi allarmi RMT-STIG_rev4'!$C:$C,1,0)</f>
        <v>ALR_GUASTO_2_IMP-Allarme guasto dispositivo</v>
      </c>
      <c r="D186" t="str">
        <f>VLOOKUP(B186,'EXPORT IRIS PROD 13-11-2024'!A:A,1,0)</f>
        <v>ALR_GUASTO_2_IMP-Allarme guasto dispositivo</v>
      </c>
      <c r="E186" t="str">
        <f>VLOOKUP(H186,'EXPORT IRIS PROD 13-11-2024'!F:F,1,0)</f>
        <v>ALR_GUASTO_2_IMP</v>
      </c>
      <c r="F186" t="str">
        <f>VLOOKUP(I186,'EXPORT IRIS PROD 13-11-2024'!D:D,1,0)</f>
        <v>Allarme guasto dispositivo</v>
      </c>
      <c r="G186" s="37" t="s">
        <v>85</v>
      </c>
      <c r="H186" s="38" t="s">
        <v>377</v>
      </c>
      <c r="I186" s="38" t="s">
        <v>375</v>
      </c>
      <c r="J186" s="39" t="s">
        <v>50</v>
      </c>
      <c r="K186" s="39" t="s">
        <v>124</v>
      </c>
      <c r="L186" s="40" t="s">
        <v>21</v>
      </c>
      <c r="M186" s="41" t="s">
        <v>22</v>
      </c>
      <c r="N186" s="42" t="s">
        <v>23</v>
      </c>
      <c r="O186" s="43" t="s">
        <v>24</v>
      </c>
      <c r="P186" s="42" t="s">
        <v>25</v>
      </c>
      <c r="Q186" s="42" t="s">
        <v>21</v>
      </c>
      <c r="R186" s="44"/>
    </row>
    <row r="187" spans="1:18" customFormat="1" ht="15" customHeight="1" x14ac:dyDescent="0.25">
      <c r="A187" t="str">
        <f t="shared" si="4"/>
        <v>Cabina Elettrica_Centralina intrusione in cabina_ALR_GUASTO_CENTRALINA_INTRUSIONE-Allarme guasto centralina intrusione in cabina</v>
      </c>
      <c r="B187" t="str">
        <f t="shared" si="5"/>
        <v>ALR_GUASTO_CENTRALINA_INTRUSIONE-Allarme guasto centralina intrusione in cabina</v>
      </c>
      <c r="C187" t="str">
        <f>VLOOKUP(B187,'[2]Classi allarmi RMT-STIG_rev4'!$C:$C,1,0)</f>
        <v>ALR_GUASTO_CENTRALINA_INTRUSIONE-Allarme guasto centralina intrusione in cabina</v>
      </c>
      <c r="D187" t="str">
        <f>VLOOKUP(B187,'EXPORT IRIS PROD 13-11-2024'!A:A,1,0)</f>
        <v>ALR_GUASTO_CENTRALINA_INTRUSIONE-Allarme guasto centralina intrusione in cabina</v>
      </c>
      <c r="E187" t="str">
        <f>VLOOKUP(H187,'EXPORT IRIS PROD 13-11-2024'!F:F,1,0)</f>
        <v>ALR_GUASTO_CENTRALINA_INTRUSIONE</v>
      </c>
      <c r="F187" t="str">
        <f>VLOOKUP(I187,'EXPORT IRIS PROD 13-11-2024'!D:D,1,0)</f>
        <v>Allarme guasto centralina intrusione in cabina</v>
      </c>
      <c r="G187" s="37" t="s">
        <v>382</v>
      </c>
      <c r="H187" s="38" t="s">
        <v>383</v>
      </c>
      <c r="I187" s="38" t="s">
        <v>384</v>
      </c>
      <c r="J187" s="39" t="s">
        <v>385</v>
      </c>
      <c r="K187" s="39" t="s">
        <v>386</v>
      </c>
      <c r="L187" s="40" t="s">
        <v>21</v>
      </c>
      <c r="M187" s="41" t="s">
        <v>22</v>
      </c>
      <c r="N187" s="42" t="s">
        <v>23</v>
      </c>
      <c r="O187" s="43" t="s">
        <v>24</v>
      </c>
      <c r="P187" s="42" t="s">
        <v>25</v>
      </c>
      <c r="Q187" s="42" t="s">
        <v>21</v>
      </c>
      <c r="R187" s="44"/>
    </row>
    <row r="188" spans="1:18" customFormat="1" ht="15" customHeight="1" x14ac:dyDescent="0.25">
      <c r="A188" t="str">
        <f t="shared" si="4"/>
        <v>Impianto Rilevazione Incendio_Centralina rilevazione incendio_ALR_GUASTO_CRI-Allarme guasto dispositivo Allarme guasto CRI</v>
      </c>
      <c r="B188" t="str">
        <f t="shared" si="5"/>
        <v>ALR_GUASTO_CRI-Allarme guasto dispositivo Allarme guasto CRI</v>
      </c>
      <c r="C188" t="e">
        <f>VLOOKUP(B188,'[2]Classi allarmi RMT-STIG_rev4'!$C:$C,1,0)</f>
        <v>#N/A</v>
      </c>
      <c r="D188" s="86" t="e">
        <f>VLOOKUP(B188,'EXPORT IRIS PROD 13-11-2024'!A:A,1,0)</f>
        <v>#N/A</v>
      </c>
      <c r="E188" t="str">
        <f>VLOOKUP(H188,'EXPORT IRIS PROD 13-11-2024'!F:F,1,0)</f>
        <v>ALR_GUASTO_CRI</v>
      </c>
      <c r="F188" t="e">
        <f>VLOOKUP(I188,'EXPORT IRIS PROD 13-11-2024'!D:D,1,0)</f>
        <v>#N/A</v>
      </c>
      <c r="G188" s="37" t="s">
        <v>105</v>
      </c>
      <c r="H188" s="38" t="s">
        <v>387</v>
      </c>
      <c r="I188" s="38" t="s">
        <v>388</v>
      </c>
      <c r="J188" s="39" t="s">
        <v>43</v>
      </c>
      <c r="K188" s="53" t="s">
        <v>108</v>
      </c>
      <c r="L188" s="40" t="s">
        <v>31</v>
      </c>
      <c r="M188" s="41" t="s">
        <v>32</v>
      </c>
      <c r="N188" s="42">
        <v>3</v>
      </c>
      <c r="O188" s="43" t="s">
        <v>33</v>
      </c>
      <c r="P188" s="42" t="s">
        <v>34</v>
      </c>
      <c r="Q188" s="42" t="s">
        <v>31</v>
      </c>
      <c r="R188" s="44"/>
    </row>
    <row r="189" spans="1:18" customFormat="1" ht="15" customHeight="1" x14ac:dyDescent="0.25">
      <c r="A189" t="str">
        <f t="shared" si="4"/>
        <v>Impianto Rilevazione Incendio_Centralina rilevazione incendio_ALR_GUASTO_CRI-Allarme guasto CRI</v>
      </c>
      <c r="B189" t="str">
        <f t="shared" si="5"/>
        <v>ALR_GUASTO_CRI-Allarme guasto CRI</v>
      </c>
      <c r="C189" t="str">
        <f>VLOOKUP(B189,'[2]Classi allarmi RMT-STIG_rev4'!$C:$C,1,0)</f>
        <v>ALR_GUASTO_CRI-Allarme guasto CRI</v>
      </c>
      <c r="D189" t="str">
        <f>VLOOKUP(B189,'EXPORT IRIS PROD 13-11-2024'!A:A,1,0)</f>
        <v>ALR_GUASTO_CRI-Allarme guasto CRI</v>
      </c>
      <c r="E189" t="str">
        <f>VLOOKUP(H189,'EXPORT IRIS PROD 13-11-2024'!F:F,1,0)</f>
        <v>ALR_GUASTO_CRI</v>
      </c>
      <c r="F189" t="str">
        <f>VLOOKUP(I189,'EXPORT IRIS PROD 13-11-2024'!D:D,1,0)</f>
        <v>Allarme guasto CRI</v>
      </c>
      <c r="G189" s="37" t="s">
        <v>105</v>
      </c>
      <c r="H189" s="38" t="s">
        <v>387</v>
      </c>
      <c r="I189" s="38" t="s">
        <v>389</v>
      </c>
      <c r="J189" s="39" t="s">
        <v>43</v>
      </c>
      <c r="K189" s="39" t="s">
        <v>108</v>
      </c>
      <c r="L189" s="40" t="s">
        <v>31</v>
      </c>
      <c r="M189" s="41" t="s">
        <v>32</v>
      </c>
      <c r="N189" s="42">
        <v>3</v>
      </c>
      <c r="O189" s="43" t="s">
        <v>33</v>
      </c>
      <c r="P189" s="42" t="s">
        <v>34</v>
      </c>
      <c r="Q189" s="42" t="s">
        <v>31</v>
      </c>
      <c r="R189" s="44"/>
    </row>
    <row r="190" spans="1:18" customFormat="1" ht="15" customHeight="1" x14ac:dyDescent="0.25">
      <c r="A190" t="str">
        <f t="shared" si="4"/>
        <v>Impianto Rilevazione Incendio_Centralina rilevazione incendio in cabina_ALR_GUASTO_CRI_CABINA-Allarme guasto CRI cabina</v>
      </c>
      <c r="B190" t="str">
        <f t="shared" si="5"/>
        <v>ALR_GUASTO_CRI_CABINA-Allarme guasto CRI cabina</v>
      </c>
      <c r="C190" t="str">
        <f>VLOOKUP(B190,'[2]Classi allarmi RMT-STIG_rev4'!$C:$C,1,0)</f>
        <v>ALR_GUASTO_CRI_CABINA-Allarme guasto CRI cabina</v>
      </c>
      <c r="D190" t="str">
        <f>VLOOKUP(B190,'EXPORT IRIS PROD 13-11-2024'!A:A,1,0)</f>
        <v>ALR_GUASTO_CRI_CABINA-Allarme guasto CRI cabina</v>
      </c>
      <c r="E190" t="str">
        <f>VLOOKUP(H190,'EXPORT IRIS PROD 13-11-2024'!F:F,1,0)</f>
        <v>ALR_GUASTO_CRI_CABINA</v>
      </c>
      <c r="F190" t="str">
        <f>VLOOKUP(I190,'EXPORT IRIS PROD 13-11-2024'!D:D,1,0)</f>
        <v>Allarme guasto CRI cabina</v>
      </c>
      <c r="G190" s="37" t="s">
        <v>105</v>
      </c>
      <c r="H190" s="38" t="s">
        <v>390</v>
      </c>
      <c r="I190" s="38" t="s">
        <v>391</v>
      </c>
      <c r="J190" s="39" t="s">
        <v>43</v>
      </c>
      <c r="K190" s="39" t="s">
        <v>44</v>
      </c>
      <c r="L190" s="40" t="s">
        <v>31</v>
      </c>
      <c r="M190" s="41" t="s">
        <v>32</v>
      </c>
      <c r="N190" s="42">
        <v>3</v>
      </c>
      <c r="O190" s="43" t="s">
        <v>33</v>
      </c>
      <c r="P190" s="42" t="s">
        <v>34</v>
      </c>
      <c r="Q190" s="42" t="s">
        <v>31</v>
      </c>
      <c r="R190" s="44"/>
    </row>
    <row r="191" spans="1:18" customFormat="1" ht="15" customHeight="1" x14ac:dyDescent="0.25">
      <c r="A191" t="str">
        <f t="shared" si="4"/>
        <v>Impianto Rilevazione Incendio_Centralina rilevazione incendio/fibrolaser_ALR_GUASTO_FIBRA-Allarme guasto fibra</v>
      </c>
      <c r="B191" t="str">
        <f t="shared" si="5"/>
        <v>ALR_GUASTO_FIBRA-Allarme guasto fibra</v>
      </c>
      <c r="C191" t="str">
        <f>VLOOKUP(B191,'[2]Classi allarmi RMT-STIG_rev4'!$C:$C,1,0)</f>
        <v>ALR_GUASTO_FIBRA-Allarme guasto fibra</v>
      </c>
      <c r="D191" t="str">
        <f>VLOOKUP(B191,'EXPORT IRIS PROD 13-11-2024'!A:A,1,0)</f>
        <v>ALR_GUASTO_FIBRA-Allarme guasto fibra</v>
      </c>
      <c r="E191" t="str">
        <f>VLOOKUP(H191,'EXPORT IRIS PROD 13-11-2024'!F:F,1,0)</f>
        <v>ALR_GUASTO_FIBRA</v>
      </c>
      <c r="F191" t="str">
        <f>VLOOKUP(I191,'EXPORT IRIS PROD 13-11-2024'!D:D,1,0)</f>
        <v>Allarme guasto fibra</v>
      </c>
      <c r="G191" s="37" t="s">
        <v>105</v>
      </c>
      <c r="H191" s="38" t="s">
        <v>392</v>
      </c>
      <c r="I191" s="38" t="s">
        <v>393</v>
      </c>
      <c r="J191" s="39" t="s">
        <v>43</v>
      </c>
      <c r="K191" s="39" t="s">
        <v>394</v>
      </c>
      <c r="L191" s="40" t="s">
        <v>31</v>
      </c>
      <c r="M191" s="41" t="s">
        <v>32</v>
      </c>
      <c r="N191" s="42">
        <v>3</v>
      </c>
      <c r="O191" s="43" t="s">
        <v>33</v>
      </c>
      <c r="P191" s="42" t="s">
        <v>34</v>
      </c>
      <c r="Q191" s="42" t="s">
        <v>31</v>
      </c>
      <c r="R191" s="44"/>
    </row>
    <row r="192" spans="1:18" customFormat="1" ht="15" customHeight="1" x14ac:dyDescent="0.25">
      <c r="A192" t="str">
        <f t="shared" si="4"/>
        <v>Impianto Rete dati_Gateway Voip_ALR_GUASTO_GRAVE-Allarme guasto grave</v>
      </c>
      <c r="B192" t="str">
        <f t="shared" si="5"/>
        <v>ALR_GUASTO_GRAVE-Allarme guasto grave</v>
      </c>
      <c r="C192" t="str">
        <f>VLOOKUP(B192,'[2]Classi allarmi RMT-STIG_rev4'!$C:$C,1,0)</f>
        <v>ALR_GUASTO_GRAVE-Allarme guasto grave</v>
      </c>
      <c r="D192" t="str">
        <f>VLOOKUP(B192,'EXPORT IRIS PROD 13-11-2024'!A:A,1,0)</f>
        <v>ALR_GUASTO_GRAVE-Allarme guasto grave</v>
      </c>
      <c r="E192" t="str">
        <f>VLOOKUP(H192,'EXPORT IRIS PROD 13-11-2024'!F:F,1,0)</f>
        <v>ALR_GUASTO_GRAVE</v>
      </c>
      <c r="F192" t="str">
        <f>VLOOKUP(I192,'EXPORT IRIS PROD 13-11-2024'!D:D,1,0)</f>
        <v>Allarme guasto grave</v>
      </c>
      <c r="G192" s="37" t="s">
        <v>16</v>
      </c>
      <c r="H192" s="38" t="s">
        <v>395</v>
      </c>
      <c r="I192" s="38" t="s">
        <v>396</v>
      </c>
      <c r="J192" s="39" t="s">
        <v>19</v>
      </c>
      <c r="K192" s="39" t="s">
        <v>397</v>
      </c>
      <c r="L192" s="40" t="s">
        <v>21</v>
      </c>
      <c r="M192" s="41" t="s">
        <v>22</v>
      </c>
      <c r="N192" s="42" t="s">
        <v>23</v>
      </c>
      <c r="O192" s="43" t="s">
        <v>24</v>
      </c>
      <c r="P192" s="42" t="s">
        <v>25</v>
      </c>
      <c r="Q192" s="42" t="s">
        <v>21</v>
      </c>
      <c r="R192" s="44"/>
    </row>
    <row r="193" spans="1:18" ht="15" customHeight="1" x14ac:dyDescent="0.25">
      <c r="A193" t="str">
        <f t="shared" si="4"/>
        <v>Impianto Rete dati_Gateway Voip_ALR_GUASTO_LIEVE-Allarme guasto lieve</v>
      </c>
      <c r="B193" t="str">
        <f t="shared" si="5"/>
        <v>ALR_GUASTO_LIEVE-Allarme guasto lieve</v>
      </c>
      <c r="C193" t="str">
        <f>VLOOKUP(B193,'[2]Classi allarmi RMT-STIG_rev4'!$C:$C,1,0)</f>
        <v>ALR_GUASTO_LIEVE-Allarme guasto lieve</v>
      </c>
      <c r="D193" t="str">
        <f>VLOOKUP(B193,'EXPORT IRIS PROD 13-11-2024'!A:A,1,0)</f>
        <v>ALR_GUASTO_LIEVE-Allarme guasto lieve</v>
      </c>
      <c r="E193" t="str">
        <f>VLOOKUP(H193,'EXPORT IRIS PROD 13-11-2024'!F:F,1,0)</f>
        <v>ALR_GUASTO_LIEVE</v>
      </c>
      <c r="F193" t="str">
        <f>VLOOKUP(I193,'EXPORT IRIS PROD 13-11-2024'!D:D,1,0)</f>
        <v>Allarme guasto lieve</v>
      </c>
      <c r="G193" s="37" t="s">
        <v>16</v>
      </c>
      <c r="H193" s="38" t="s">
        <v>398</v>
      </c>
      <c r="I193" s="38" t="s">
        <v>399</v>
      </c>
      <c r="J193" s="39" t="s">
        <v>19</v>
      </c>
      <c r="K193" s="39" t="s">
        <v>397</v>
      </c>
      <c r="L193" s="40" t="s">
        <v>21</v>
      </c>
      <c r="M193" s="41" t="s">
        <v>22</v>
      </c>
      <c r="N193" s="42" t="s">
        <v>23</v>
      </c>
      <c r="O193" s="43" t="s">
        <v>24</v>
      </c>
      <c r="P193" s="42" t="s">
        <v>25</v>
      </c>
      <c r="Q193" s="42" t="s">
        <v>21</v>
      </c>
      <c r="R193" s="44"/>
    </row>
    <row r="194" spans="1:18" ht="15" customHeight="1" x14ac:dyDescent="0.25">
      <c r="A194" t="str">
        <f t="shared" ref="A194:A257" si="6">CONCATENATE(J194,"_",K194,"_",B194)</f>
        <v>Impianto Elettrico_Rele_ALR_GUASTO_LINEA-Allarme guasto linea</v>
      </c>
      <c r="B194" t="str">
        <f t="shared" si="5"/>
        <v>ALR_GUASTO_LINEA-Allarme guasto linea</v>
      </c>
      <c r="C194" t="str">
        <f>VLOOKUP(B194,'[2]Classi allarmi RMT-STIG_rev4'!$C:$C,1,0)</f>
        <v>ALR_GUASTO_LINEA-Allarme guasto linea</v>
      </c>
      <c r="D194" t="str">
        <f>VLOOKUP(B194,'EXPORT IRIS PROD 13-11-2024'!A:A,1,0)</f>
        <v>ALR_GUASTO_LINEA-Allarme guasto linea</v>
      </c>
      <c r="E194" t="str">
        <f>VLOOKUP(H194,'EXPORT IRIS PROD 13-11-2024'!F:F,1,0)</f>
        <v>ALR_GUASTO_LINEA</v>
      </c>
      <c r="F194" t="str">
        <f>VLOOKUP(I194,'EXPORT IRIS PROD 13-11-2024'!D:D,1,0)</f>
        <v>Allarme guasto linea</v>
      </c>
      <c r="G194" s="37" t="s">
        <v>53</v>
      </c>
      <c r="H194" s="38" t="s">
        <v>400</v>
      </c>
      <c r="I194" s="38" t="s">
        <v>401</v>
      </c>
      <c r="J194" s="39" t="s">
        <v>56</v>
      </c>
      <c r="K194" s="39" t="s">
        <v>402</v>
      </c>
      <c r="L194" s="40" t="s">
        <v>21</v>
      </c>
      <c r="M194" s="41" t="s">
        <v>22</v>
      </c>
      <c r="N194" s="42" t="s">
        <v>23</v>
      </c>
      <c r="O194" s="43" t="s">
        <v>24</v>
      </c>
      <c r="P194" s="42" t="s">
        <v>25</v>
      </c>
      <c r="Q194" s="42" t="s">
        <v>21</v>
      </c>
      <c r="R194" s="44"/>
    </row>
    <row r="195" spans="1:18" ht="15" customHeight="1" x14ac:dyDescent="0.25">
      <c r="A195" t="str">
        <f t="shared" si="6"/>
        <v>Impianto Rilevazione Incendio_Centralina antincendio_ALR_GUASTO_LINEA_NORD-Allarme guasto linea nord</v>
      </c>
      <c r="B195" t="str">
        <f t="shared" ref="B195:B258" si="7">CONCATENATE(H195,"-",I195)</f>
        <v>ALR_GUASTO_LINEA_NORD-Allarme guasto linea nord</v>
      </c>
      <c r="C195" t="str">
        <f>VLOOKUP(B195,'[2]Classi allarmi RMT-STIG_rev4'!$C:$C,1,0)</f>
        <v>ALR_GUASTO_LINEA_NORD-Allarme guasto linea nord</v>
      </c>
      <c r="D195" t="str">
        <f>VLOOKUP(B195,'EXPORT IRIS PROD 13-11-2024'!A:A,1,0)</f>
        <v>ALR_GUASTO_LINEA_NORD-Allarme guasto linea nord</v>
      </c>
      <c r="E195" t="str">
        <f>VLOOKUP(H195,'EXPORT IRIS PROD 13-11-2024'!F:F,1,0)</f>
        <v>ALR_GUASTO_LINEA_NORD</v>
      </c>
      <c r="F195" t="str">
        <f>VLOOKUP(I195,'EXPORT IRIS PROD 13-11-2024'!D:D,1,0)</f>
        <v>Allarme guasto linea nord</v>
      </c>
      <c r="G195" s="37" t="s">
        <v>105</v>
      </c>
      <c r="H195" s="38" t="s">
        <v>403</v>
      </c>
      <c r="I195" s="38" t="s">
        <v>404</v>
      </c>
      <c r="J195" s="39" t="s">
        <v>43</v>
      </c>
      <c r="K195" s="39" t="s">
        <v>130</v>
      </c>
      <c r="L195" s="40" t="s">
        <v>31</v>
      </c>
      <c r="M195" s="41" t="s">
        <v>32</v>
      </c>
      <c r="N195" s="42">
        <v>3</v>
      </c>
      <c r="O195" s="43" t="s">
        <v>33</v>
      </c>
      <c r="P195" s="42" t="s">
        <v>34</v>
      </c>
      <c r="Q195" s="42" t="s">
        <v>31</v>
      </c>
      <c r="R195" s="44"/>
    </row>
    <row r="196" spans="1:18" ht="15" customHeight="1" x14ac:dyDescent="0.25">
      <c r="A196" t="str">
        <f t="shared" si="6"/>
        <v>Impianto Rilevazione Incendio_Centralina antincendio_ALR_GUASTO_LINEA_SUD-Allarme guasto linea sud</v>
      </c>
      <c r="B196" t="str">
        <f t="shared" si="7"/>
        <v>ALR_GUASTO_LINEA_SUD-Allarme guasto linea sud</v>
      </c>
      <c r="C196" t="str">
        <f>VLOOKUP(B196,'[2]Classi allarmi RMT-STIG_rev4'!$C:$C,1,0)</f>
        <v>ALR_GUASTO_LINEA_SUD-Allarme guasto linea sud</v>
      </c>
      <c r="D196" t="str">
        <f>VLOOKUP(B196,'EXPORT IRIS PROD 13-11-2024'!A:A,1,0)</f>
        <v>ALR_GUASTO_LINEA_SUD-Allarme guasto linea sud</v>
      </c>
      <c r="E196" t="str">
        <f>VLOOKUP(H196,'EXPORT IRIS PROD 13-11-2024'!F:F,1,0)</f>
        <v>ALR_GUASTO_LINEA_SUD</v>
      </c>
      <c r="F196" t="str">
        <f>VLOOKUP(I196,'EXPORT IRIS PROD 13-11-2024'!D:D,1,0)</f>
        <v>Allarme guasto linea sud</v>
      </c>
      <c r="G196" s="37" t="s">
        <v>105</v>
      </c>
      <c r="H196" s="38" t="s">
        <v>405</v>
      </c>
      <c r="I196" s="38" t="s">
        <v>406</v>
      </c>
      <c r="J196" s="39" t="s">
        <v>43</v>
      </c>
      <c r="K196" s="39" t="s">
        <v>130</v>
      </c>
      <c r="L196" s="40" t="s">
        <v>31</v>
      </c>
      <c r="M196" s="41" t="s">
        <v>32</v>
      </c>
      <c r="N196" s="42">
        <v>3</v>
      </c>
      <c r="O196" s="43" t="s">
        <v>33</v>
      </c>
      <c r="P196" s="42" t="s">
        <v>34</v>
      </c>
      <c r="Q196" s="42" t="s">
        <v>31</v>
      </c>
      <c r="R196" s="44"/>
    </row>
    <row r="197" spans="1:18" ht="15" customHeight="1" x14ac:dyDescent="0.25">
      <c r="A197" t="str">
        <f t="shared" si="6"/>
        <v>Impianto Rilevazione Incendio_Centralina antincendio_ALR_GUASTO_NOTYFIRE-Allarme guasto centralina antincendio</v>
      </c>
      <c r="B197" t="str">
        <f t="shared" si="7"/>
        <v>ALR_GUASTO_NOTYFIRE-Allarme guasto centralina antincendio</v>
      </c>
      <c r="C197" t="str">
        <f>VLOOKUP(B197,'[2]Classi allarmi RMT-STIG_rev4'!$C:$C,1,0)</f>
        <v>ALR_GUASTO_NOTYFIRE-Allarme guasto centralina antincendio</v>
      </c>
      <c r="D197" t="str">
        <f>VLOOKUP(B197,'EXPORT IRIS PROD 13-11-2024'!A:A,1,0)</f>
        <v>ALR_GUASTO_NOTYFIRE-Allarme guasto centralina antincendio</v>
      </c>
      <c r="E197" t="str">
        <f>VLOOKUP(H197,'EXPORT IRIS PROD 13-11-2024'!F:F,1,0)</f>
        <v>ALR_GUASTO_NOTYFIRE</v>
      </c>
      <c r="F197" t="str">
        <f>VLOOKUP(I197,'EXPORT IRIS PROD 13-11-2024'!D:D,1,0)</f>
        <v>Allarme guasto centralina antincendio</v>
      </c>
      <c r="G197" s="37" t="s">
        <v>105</v>
      </c>
      <c r="H197" s="38" t="s">
        <v>407</v>
      </c>
      <c r="I197" s="38" t="s">
        <v>408</v>
      </c>
      <c r="J197" s="39" t="s">
        <v>43</v>
      </c>
      <c r="K197" s="39" t="s">
        <v>130</v>
      </c>
      <c r="L197" s="40" t="s">
        <v>31</v>
      </c>
      <c r="M197" s="41" t="s">
        <v>32</v>
      </c>
      <c r="N197" s="42">
        <v>3</v>
      </c>
      <c r="O197" s="43" t="s">
        <v>33</v>
      </c>
      <c r="P197" s="42" t="s">
        <v>34</v>
      </c>
      <c r="Q197" s="42" t="s">
        <v>31</v>
      </c>
      <c r="R197" s="44"/>
    </row>
    <row r="198" spans="1:18" customFormat="1" ht="15" customHeight="1" x14ac:dyDescent="0.25">
      <c r="A198" t="str">
        <f t="shared" si="6"/>
        <v>Impianto Elettrico_Quadro elettrico_ALR_GUASTO_QUADRO-Allarme guasto quadro</v>
      </c>
      <c r="B198" t="str">
        <f t="shared" si="7"/>
        <v>ALR_GUASTO_QUADRO-Allarme guasto quadro</v>
      </c>
      <c r="C198" t="str">
        <f>VLOOKUP(B198,'[2]Classi allarmi RMT-STIG_rev4'!$C:$C,1,0)</f>
        <v>ALR_GUASTO_QUADRO-Allarme guasto quadro</v>
      </c>
      <c r="D198" t="str">
        <f>VLOOKUP(B198,'EXPORT IRIS PROD 13-11-2024'!A:A,1,0)</f>
        <v>ALR_GUASTO_QUADRO-Allarme guasto quadro</v>
      </c>
      <c r="E198" t="str">
        <f>VLOOKUP(H198,'EXPORT IRIS PROD 13-11-2024'!F:F,1,0)</f>
        <v>ALR_GUASTO_QUADRO</v>
      </c>
      <c r="F198" t="str">
        <f>VLOOKUP(I198,'EXPORT IRIS PROD 13-11-2024'!D:D,1,0)</f>
        <v>Allarme guasto quadro</v>
      </c>
      <c r="G198" s="37" t="s">
        <v>53</v>
      </c>
      <c r="H198" s="38" t="s">
        <v>409</v>
      </c>
      <c r="I198" s="38" t="s">
        <v>410</v>
      </c>
      <c r="J198" s="39" t="s">
        <v>56</v>
      </c>
      <c r="K198" s="39" t="s">
        <v>114</v>
      </c>
      <c r="L198" s="40" t="s">
        <v>21</v>
      </c>
      <c r="M198" s="41" t="s">
        <v>22</v>
      </c>
      <c r="N198" s="42" t="s">
        <v>23</v>
      </c>
      <c r="O198" s="43" t="s">
        <v>24</v>
      </c>
      <c r="P198" s="42" t="s">
        <v>25</v>
      </c>
      <c r="Q198" s="42" t="s">
        <v>21</v>
      </c>
      <c r="R198" s="44"/>
    </row>
    <row r="199" spans="1:18" x14ac:dyDescent="0.25">
      <c r="A199" t="str">
        <f t="shared" si="6"/>
        <v>Impianto Elettrico_Serbatoio gasolio_ALR_GUASTO_SONDA-Allarme guasto sonda dispositivo</v>
      </c>
      <c r="B199" t="str">
        <f t="shared" si="7"/>
        <v>ALR_GUASTO_SONDA-Allarme guasto sonda dispositivo</v>
      </c>
      <c r="C199" t="str">
        <f>VLOOKUP(B199,'[2]Classi allarmi RMT-STIG_rev4'!$C:$C,1,0)</f>
        <v>ALR_GUASTO_SONDA-Allarme guasto sonda dispositivo</v>
      </c>
      <c r="D199" t="str">
        <f>VLOOKUP(B199,'EXPORT IRIS PROD 13-11-2024'!A:A,1,0)</f>
        <v>ALR_GUASTO_SONDA-Allarme guasto sonda dispositivo</v>
      </c>
      <c r="E199" t="str">
        <f>VLOOKUP(H199,'EXPORT IRIS PROD 13-11-2024'!F:F,1,0)</f>
        <v>ALR_GUASTO_SONDA</v>
      </c>
      <c r="F199" t="str">
        <f>VLOOKUP(I199,'EXPORT IRIS PROD 13-11-2024'!D:D,1,0)</f>
        <v>Allarme guasto sonda dispositivo</v>
      </c>
      <c r="G199" s="37" t="s">
        <v>53</v>
      </c>
      <c r="H199" s="38" t="s">
        <v>411</v>
      </c>
      <c r="I199" s="38" t="s">
        <v>412</v>
      </c>
      <c r="J199" s="39" t="s">
        <v>56</v>
      </c>
      <c r="K199" s="39" t="s">
        <v>156</v>
      </c>
      <c r="L199" s="40" t="s">
        <v>21</v>
      </c>
      <c r="M199" s="41" t="s">
        <v>22</v>
      </c>
      <c r="N199" s="42" t="s">
        <v>23</v>
      </c>
      <c r="O199" s="43" t="s">
        <v>24</v>
      </c>
      <c r="P199" s="42" t="s">
        <v>25</v>
      </c>
      <c r="Q199" s="42" t="s">
        <v>21</v>
      </c>
      <c r="R199" s="44"/>
    </row>
    <row r="200" spans="1:18" customFormat="1" ht="15" customHeight="1" x14ac:dyDescent="0.25">
      <c r="A200" t="str">
        <f t="shared" si="6"/>
        <v>Impianto Ventilazione_Anemometro_ALR_GUASTO_SONDA-Allarme guasto sonda dispositivo</v>
      </c>
      <c r="B200" t="str">
        <f t="shared" si="7"/>
        <v>ALR_GUASTO_SONDA-Allarme guasto sonda dispositivo</v>
      </c>
      <c r="C200" t="str">
        <f>VLOOKUP(B200,'[2]Classi allarmi RMT-STIG_rev4'!$C:$C,1,0)</f>
        <v>ALR_GUASTO_SONDA-Allarme guasto sonda dispositivo</v>
      </c>
      <c r="D200" t="str">
        <f>VLOOKUP(B200,'EXPORT IRIS PROD 13-11-2024'!A:A,1,0)</f>
        <v>ALR_GUASTO_SONDA-Allarme guasto sonda dispositivo</v>
      </c>
      <c r="E200" t="str">
        <f>VLOOKUP(H200,'EXPORT IRIS PROD 13-11-2024'!F:F,1,0)</f>
        <v>ALR_GUASTO_SONDA</v>
      </c>
      <c r="F200" t="str">
        <f>VLOOKUP(I200,'EXPORT IRIS PROD 13-11-2024'!D:D,1,0)</f>
        <v>Allarme guasto sonda dispositivo</v>
      </c>
      <c r="G200" s="37" t="s">
        <v>85</v>
      </c>
      <c r="H200" s="38" t="s">
        <v>411</v>
      </c>
      <c r="I200" s="38" t="s">
        <v>412</v>
      </c>
      <c r="J200" s="39" t="s">
        <v>50</v>
      </c>
      <c r="K200" s="39" t="s">
        <v>88</v>
      </c>
      <c r="L200" s="40" t="s">
        <v>21</v>
      </c>
      <c r="M200" s="41" t="s">
        <v>22</v>
      </c>
      <c r="N200" s="42" t="s">
        <v>23</v>
      </c>
      <c r="O200" s="43" t="s">
        <v>24</v>
      </c>
      <c r="P200" s="42" t="s">
        <v>25</v>
      </c>
      <c r="Q200" s="42" t="s">
        <v>21</v>
      </c>
      <c r="R200" s="44"/>
    </row>
    <row r="201" spans="1:18" customFormat="1" ht="15" customHeight="1" x14ac:dyDescent="0.25">
      <c r="A201" t="str">
        <f t="shared" si="6"/>
        <v>Impianto Ventilazione_CO_ALR_GUASTO_SONDA-Allarme guasto sonda dispositivo</v>
      </c>
      <c r="B201" t="str">
        <f t="shared" si="7"/>
        <v>ALR_GUASTO_SONDA-Allarme guasto sonda dispositivo</v>
      </c>
      <c r="C201" t="str">
        <f>VLOOKUP(B201,'[2]Classi allarmi RMT-STIG_rev4'!$C:$C,1,0)</f>
        <v>ALR_GUASTO_SONDA-Allarme guasto sonda dispositivo</v>
      </c>
      <c r="D201" t="str">
        <f>VLOOKUP(B201,'EXPORT IRIS PROD 13-11-2024'!A:A,1,0)</f>
        <v>ALR_GUASTO_SONDA-Allarme guasto sonda dispositivo</v>
      </c>
      <c r="E201" t="str">
        <f>VLOOKUP(H201,'EXPORT IRIS PROD 13-11-2024'!F:F,1,0)</f>
        <v>ALR_GUASTO_SONDA</v>
      </c>
      <c r="F201" t="str">
        <f>VLOOKUP(I201,'EXPORT IRIS PROD 13-11-2024'!D:D,1,0)</f>
        <v>Allarme guasto sonda dispositivo</v>
      </c>
      <c r="G201" s="37" t="s">
        <v>85</v>
      </c>
      <c r="H201" s="38" t="s">
        <v>411</v>
      </c>
      <c r="I201" s="38" t="s">
        <v>412</v>
      </c>
      <c r="J201" s="39" t="s">
        <v>50</v>
      </c>
      <c r="K201" s="39" t="s">
        <v>51</v>
      </c>
      <c r="L201" s="40" t="s">
        <v>21</v>
      </c>
      <c r="M201" s="41" t="s">
        <v>22</v>
      </c>
      <c r="N201" s="42" t="s">
        <v>23</v>
      </c>
      <c r="O201" s="43" t="s">
        <v>24</v>
      </c>
      <c r="P201" s="42" t="s">
        <v>25</v>
      </c>
      <c r="Q201" s="42" t="s">
        <v>21</v>
      </c>
      <c r="R201" s="44"/>
    </row>
    <row r="202" spans="1:18" customFormat="1" ht="15" customHeight="1" x14ac:dyDescent="0.25">
      <c r="A202" t="str">
        <f t="shared" si="6"/>
        <v>Impianto Ventilazione_OP_ALR_GUASTO_SONDA-Allarme guasto sonda dispositivo</v>
      </c>
      <c r="B202" t="str">
        <f t="shared" si="7"/>
        <v>ALR_GUASTO_SONDA-Allarme guasto sonda dispositivo</v>
      </c>
      <c r="C202" t="str">
        <f>VLOOKUP(B202,'[2]Classi allarmi RMT-STIG_rev4'!$C:$C,1,0)</f>
        <v>ALR_GUASTO_SONDA-Allarme guasto sonda dispositivo</v>
      </c>
      <c r="D202" t="str">
        <f>VLOOKUP(B202,'EXPORT IRIS PROD 13-11-2024'!A:A,1,0)</f>
        <v>ALR_GUASTO_SONDA-Allarme guasto sonda dispositivo</v>
      </c>
      <c r="E202" t="str">
        <f>VLOOKUP(H202,'EXPORT IRIS PROD 13-11-2024'!F:F,1,0)</f>
        <v>ALR_GUASTO_SONDA</v>
      </c>
      <c r="F202" t="str">
        <f>VLOOKUP(I202,'EXPORT IRIS PROD 13-11-2024'!D:D,1,0)</f>
        <v>Allarme guasto sonda dispositivo</v>
      </c>
      <c r="G202" s="37" t="s">
        <v>85</v>
      </c>
      <c r="H202" s="38" t="s">
        <v>411</v>
      </c>
      <c r="I202" s="38" t="s">
        <v>412</v>
      </c>
      <c r="J202" s="39" t="s">
        <v>50</v>
      </c>
      <c r="K202" s="39" t="s">
        <v>52</v>
      </c>
      <c r="L202" s="40" t="s">
        <v>21</v>
      </c>
      <c r="M202" s="41" t="s">
        <v>22</v>
      </c>
      <c r="N202" s="42" t="s">
        <v>23</v>
      </c>
      <c r="O202" s="43" t="s">
        <v>24</v>
      </c>
      <c r="P202" s="42" t="s">
        <v>25</v>
      </c>
      <c r="Q202" s="42" t="s">
        <v>21</v>
      </c>
      <c r="R202" s="44"/>
    </row>
    <row r="203" spans="1:18" customFormat="1" ht="15" customHeight="1" x14ac:dyDescent="0.25">
      <c r="A203" t="str">
        <f t="shared" si="6"/>
        <v>Impianto SOS_Colonnina SOS_ALR_GUASTO_SOS-Allarme guasto SOS</v>
      </c>
      <c r="B203" t="str">
        <f t="shared" si="7"/>
        <v>ALR_GUASTO_SOS-Allarme guasto SOS</v>
      </c>
      <c r="C203" t="str">
        <f>VLOOKUP(B203,'[2]Classi allarmi RMT-STIG_rev4'!$C:$C,1,0)</f>
        <v>ALR_GUASTO_SOS-Allarme guasto SOS</v>
      </c>
      <c r="D203" t="str">
        <f>VLOOKUP(B203,'EXPORT IRIS PROD 13-11-2024'!A:A,1,0)</f>
        <v>ALR_GUASTO_SOS-Allarme guasto SOS</v>
      </c>
      <c r="E203" t="str">
        <f>VLOOKUP(H203,'EXPORT IRIS PROD 13-11-2024'!F:F,1,0)</f>
        <v>ALR_GUASTO_SOS</v>
      </c>
      <c r="F203" t="str">
        <f>VLOOKUP(I203,'EXPORT IRIS PROD 13-11-2024'!D:D,1,0)</f>
        <v>Allarme guasto SOS</v>
      </c>
      <c r="G203" s="37" t="s">
        <v>89</v>
      </c>
      <c r="H203" s="38" t="s">
        <v>413</v>
      </c>
      <c r="I203" s="38" t="s">
        <v>414</v>
      </c>
      <c r="J203" s="39" t="s">
        <v>29</v>
      </c>
      <c r="K203" s="39" t="s">
        <v>360</v>
      </c>
      <c r="L203" s="40" t="s">
        <v>21</v>
      </c>
      <c r="M203" s="41" t="s">
        <v>22</v>
      </c>
      <c r="N203" s="42" t="s">
        <v>23</v>
      </c>
      <c r="O203" s="43" t="s">
        <v>24</v>
      </c>
      <c r="P203" s="42" t="s">
        <v>25</v>
      </c>
      <c r="Q203" s="42" t="s">
        <v>21</v>
      </c>
      <c r="R203" s="44"/>
    </row>
    <row r="204" spans="1:18" customFormat="1" ht="15" customHeight="1" x14ac:dyDescent="0.25">
      <c r="A204" t="str">
        <f t="shared" si="6"/>
        <v>Impianto SOS_Colonnina Sos_ALR_IDRANTE_APERTO-Allarme guasto lieve</v>
      </c>
      <c r="B204" t="str">
        <f t="shared" si="7"/>
        <v>ALR_IDRANTE_APERTO-Allarme guasto lieve</v>
      </c>
      <c r="C204" t="str">
        <f>VLOOKUP(B204,'[2]Classi allarmi RMT-STIG_rev4'!$C:$C,1,0)</f>
        <v>ALR_IDRANTE_APERTO-Allarme guasto lieve</v>
      </c>
      <c r="D204" t="str">
        <f>VLOOKUP(B204,'EXPORT IRIS PROD 13-11-2024'!A:A,1,0)</f>
        <v>ALR_IDRANTE_APERTO-Allarme guasto lieve</v>
      </c>
      <c r="E204" t="str">
        <f>VLOOKUP(H204,'EXPORT IRIS PROD 13-11-2024'!F:F,1,0)</f>
        <v>ALR_IDRANTE_APERTO</v>
      </c>
      <c r="F204" t="str">
        <f>VLOOKUP(I204,'EXPORT IRIS PROD 13-11-2024'!D:D,1,0)</f>
        <v>Allarme guasto lieve</v>
      </c>
      <c r="G204" s="37" t="s">
        <v>89</v>
      </c>
      <c r="H204" s="38" t="s">
        <v>415</v>
      </c>
      <c r="I204" s="38" t="s">
        <v>399</v>
      </c>
      <c r="J204" s="39" t="s">
        <v>29</v>
      </c>
      <c r="K204" s="39" t="s">
        <v>30</v>
      </c>
      <c r="L204" s="40" t="s">
        <v>21</v>
      </c>
      <c r="M204" s="41" t="s">
        <v>22</v>
      </c>
      <c r="N204" s="42" t="s">
        <v>23</v>
      </c>
      <c r="O204" s="43" t="s">
        <v>24</v>
      </c>
      <c r="P204" s="42" t="s">
        <v>25</v>
      </c>
      <c r="Q204" s="42" t="s">
        <v>21</v>
      </c>
      <c r="R204" s="44"/>
    </row>
    <row r="205" spans="1:18" customFormat="1" ht="15" customHeight="1" x14ac:dyDescent="0.25">
      <c r="A205" t="str">
        <f t="shared" si="6"/>
        <v>Impianto Illuminazione_Illuminazione di rinforzo (accensione non in orario)_ALR_ILLUMINAZIONE-Allarme illuminazione</v>
      </c>
      <c r="B205" t="str">
        <f t="shared" si="7"/>
        <v>ALR_ILLUMINAZIONE-Allarme illuminazione</v>
      </c>
      <c r="C205" t="str">
        <f>VLOOKUP(B205,'[2]Classi allarmi RMT-STIG_rev4'!$C:$C,1,0)</f>
        <v>ALR_ILLUMINAZIONE-Allarme illuminazione</v>
      </c>
      <c r="D205" t="str">
        <f>VLOOKUP(B205,'EXPORT IRIS PROD 13-11-2024'!A:A,1,0)</f>
        <v>ALR_ILLUMINAZIONE-Allarme illuminazione</v>
      </c>
      <c r="E205" t="str">
        <f>VLOOKUP(H205,'EXPORT IRIS PROD 13-11-2024'!F:F,1,0)</f>
        <v>ALR_ILLUMINAZIONE</v>
      </c>
      <c r="F205" t="str">
        <f>VLOOKUP(I205,'EXPORT IRIS PROD 13-11-2024'!D:D,1,0)</f>
        <v>Allarme illuminazione</v>
      </c>
      <c r="G205" s="37" t="s">
        <v>115</v>
      </c>
      <c r="H205" s="38" t="s">
        <v>416</v>
      </c>
      <c r="I205" s="38" t="s">
        <v>417</v>
      </c>
      <c r="J205" s="39" t="s">
        <v>116</v>
      </c>
      <c r="K205" s="39" t="s">
        <v>418</v>
      </c>
      <c r="L205" s="40" t="s">
        <v>21</v>
      </c>
      <c r="M205" s="41" t="s">
        <v>22</v>
      </c>
      <c r="N205" s="42" t="s">
        <v>23</v>
      </c>
      <c r="O205" s="43" t="s">
        <v>157</v>
      </c>
      <c r="P205" s="42" t="s">
        <v>158</v>
      </c>
      <c r="Q205" s="42" t="s">
        <v>21</v>
      </c>
      <c r="R205" s="44"/>
    </row>
    <row r="206" spans="1:18" customFormat="1" ht="15" customHeight="1" x14ac:dyDescent="0.25">
      <c r="A206" t="str">
        <f t="shared" si="6"/>
        <v>Impianto Rilevazione Incendio_Centralina rilevazione incendio_ALR_INCENDIO-Allarme incendio in galleria</v>
      </c>
      <c r="B206" t="str">
        <f t="shared" si="7"/>
        <v>ALR_INCENDIO-Allarme incendio in galleria</v>
      </c>
      <c r="C206" t="str">
        <f>VLOOKUP(B206,'[2]Classi allarmi RMT-STIG_rev4'!$C:$C,1,0)</f>
        <v>ALR_INCENDIO-Allarme incendio in galleria</v>
      </c>
      <c r="D206" t="str">
        <f>VLOOKUP(B206,'EXPORT IRIS PROD 13-11-2024'!A:A,1,0)</f>
        <v>ALR_INCENDIO-Allarme incendio in galleria</v>
      </c>
      <c r="E206" t="str">
        <f>VLOOKUP(H206,'EXPORT IRIS PROD 13-11-2024'!F:F,1,0)</f>
        <v>ALR_INCENDIO</v>
      </c>
      <c r="F206" t="str">
        <f>VLOOKUP(I206,'EXPORT IRIS PROD 13-11-2024'!D:D,1,0)</f>
        <v>Allarme incendio in galleria</v>
      </c>
      <c r="G206" s="37" t="s">
        <v>40</v>
      </c>
      <c r="H206" s="38" t="s">
        <v>419</v>
      </c>
      <c r="I206" s="45" t="s">
        <v>420</v>
      </c>
      <c r="J206" s="46" t="s">
        <v>43</v>
      </c>
      <c r="K206" s="50" t="s">
        <v>108</v>
      </c>
      <c r="L206" s="47" t="s">
        <v>31</v>
      </c>
      <c r="M206" s="48" t="s">
        <v>32</v>
      </c>
      <c r="N206" s="43">
        <v>2</v>
      </c>
      <c r="O206" s="43" t="s">
        <v>45</v>
      </c>
      <c r="P206" s="43" t="s">
        <v>46</v>
      </c>
      <c r="Q206" s="43" t="s">
        <v>31</v>
      </c>
      <c r="R206" s="49"/>
    </row>
    <row r="207" spans="1:18" customFormat="1" ht="15" customHeight="1" x14ac:dyDescent="0.25">
      <c r="A207" t="str">
        <f t="shared" si="6"/>
        <v>Impianto Rilevazione Incendio_Centralina rilevazione incendio_ALR_INCENDIO_CANNA_NORD-Allarme incendio in galleria canna nord</v>
      </c>
      <c r="B207" t="str">
        <f t="shared" si="7"/>
        <v>ALR_INCENDIO_CANNA_NORD-Allarme incendio in galleria canna nord</v>
      </c>
      <c r="C207" t="str">
        <f>VLOOKUP(B207,'[2]Classi allarmi RMT-STIG_rev4'!$C:$C,1,0)</f>
        <v>ALR_INCENDIO_CANNA_NORD-Allarme incendio in galleria canna nord</v>
      </c>
      <c r="D207" t="str">
        <f>VLOOKUP(B207,'EXPORT IRIS PROD 13-11-2024'!A:A,1,0)</f>
        <v>ALR_INCENDIO_CANNA_NORD-Allarme incendio in galleria canna nord</v>
      </c>
      <c r="E207" t="str">
        <f>VLOOKUP(H207,'EXPORT IRIS PROD 13-11-2024'!F:F,1,0)</f>
        <v>ALR_INCENDIO_CANNA_NORD</v>
      </c>
      <c r="F207" t="str">
        <f>VLOOKUP(I207,'EXPORT IRIS PROD 13-11-2024'!D:D,1,0)</f>
        <v>Allarme incendio in galleria canna nord</v>
      </c>
      <c r="G207" s="37" t="s">
        <v>40</v>
      </c>
      <c r="H207" s="38" t="s">
        <v>421</v>
      </c>
      <c r="I207" s="45" t="s">
        <v>422</v>
      </c>
      <c r="J207" s="46" t="s">
        <v>43</v>
      </c>
      <c r="K207" s="46" t="s">
        <v>108</v>
      </c>
      <c r="L207" s="47" t="s">
        <v>31</v>
      </c>
      <c r="M207" s="48" t="s">
        <v>32</v>
      </c>
      <c r="N207" s="43">
        <v>2</v>
      </c>
      <c r="O207" s="43" t="s">
        <v>45</v>
      </c>
      <c r="P207" s="43" t="s">
        <v>46</v>
      </c>
      <c r="Q207" s="43" t="s">
        <v>31</v>
      </c>
      <c r="R207" s="49"/>
    </row>
    <row r="208" spans="1:18" customFormat="1" ht="15" customHeight="1" x14ac:dyDescent="0.25">
      <c r="A208" t="str">
        <f t="shared" si="6"/>
        <v>Impianto Rilevazione Incendio_Centralina rilevazione incendio_ALR_INCENDIO_CANNA_SUD-Allarme incendio in galleria canna sud</v>
      </c>
      <c r="B208" t="str">
        <f t="shared" si="7"/>
        <v>ALR_INCENDIO_CANNA_SUD-Allarme incendio in galleria canna sud</v>
      </c>
      <c r="C208" t="str">
        <f>VLOOKUP(B208,'[2]Classi allarmi RMT-STIG_rev4'!$C:$C,1,0)</f>
        <v>ALR_INCENDIO_CANNA_SUD-Allarme incendio in galleria canna sud</v>
      </c>
      <c r="D208" t="str">
        <f>VLOOKUP(B208,'EXPORT IRIS PROD 13-11-2024'!A:A,1,0)</f>
        <v>ALR_INCENDIO_CANNA_SUD-Allarme incendio in galleria canna sud</v>
      </c>
      <c r="E208" t="str">
        <f>VLOOKUP(H208,'EXPORT IRIS PROD 13-11-2024'!F:F,1,0)</f>
        <v>ALR_INCENDIO_CANNA_SUD</v>
      </c>
      <c r="F208" t="str">
        <f>VLOOKUP(I208,'EXPORT IRIS PROD 13-11-2024'!D:D,1,0)</f>
        <v>Allarme incendio in galleria canna sud</v>
      </c>
      <c r="G208" s="37" t="s">
        <v>40</v>
      </c>
      <c r="H208" s="38" t="s">
        <v>423</v>
      </c>
      <c r="I208" s="45" t="s">
        <v>424</v>
      </c>
      <c r="J208" s="46" t="s">
        <v>43</v>
      </c>
      <c r="K208" s="46" t="s">
        <v>108</v>
      </c>
      <c r="L208" s="47" t="s">
        <v>31</v>
      </c>
      <c r="M208" s="48" t="s">
        <v>32</v>
      </c>
      <c r="N208" s="43">
        <v>2</v>
      </c>
      <c r="O208" s="43" t="s">
        <v>45</v>
      </c>
      <c r="P208" s="43" t="s">
        <v>46</v>
      </c>
      <c r="Q208" s="43" t="s">
        <v>31</v>
      </c>
      <c r="R208" s="49"/>
    </row>
    <row r="209" spans="1:18" customFormat="1" ht="15" customHeight="1" x14ac:dyDescent="0.25">
      <c r="A209" t="str">
        <f t="shared" si="6"/>
        <v>Impianto Rilevazione Incendio_Centralina rilevazione incendio/fibrolaser_ALR_INCENDIO_DI_CANNA_NORD-Allarme incendio in galleria</v>
      </c>
      <c r="B209" t="str">
        <f t="shared" si="7"/>
        <v>ALR_INCENDIO_DI_CANNA_NORD-Allarme incendio in galleria</v>
      </c>
      <c r="C209" t="str">
        <f>VLOOKUP(B209,'[2]Classi allarmi RMT-STIG_rev4'!$C:$C,1,0)</f>
        <v>ALR_INCENDIO_DI_CANNA_NORD-Allarme incendio in galleria</v>
      </c>
      <c r="D209" t="str">
        <f>VLOOKUP(B209,'EXPORT IRIS PROD 13-11-2024'!A:A,1,0)</f>
        <v>ALR_INCENDIO_DI_CANNA_NORD-Allarme incendio in galleria</v>
      </c>
      <c r="E209" t="str">
        <f>VLOOKUP(H209,'EXPORT IRIS PROD 13-11-2024'!F:F,1,0)</f>
        <v>ALR_INCENDIO_DI_CANNA_NORD</v>
      </c>
      <c r="F209" t="str">
        <f>VLOOKUP(I209,'EXPORT IRIS PROD 13-11-2024'!D:D,1,0)</f>
        <v>Allarme incendio in galleria</v>
      </c>
      <c r="G209" s="37" t="s">
        <v>40</v>
      </c>
      <c r="H209" s="38" t="s">
        <v>425</v>
      </c>
      <c r="I209" s="45" t="s">
        <v>420</v>
      </c>
      <c r="J209" s="46" t="s">
        <v>43</v>
      </c>
      <c r="K209" s="50" t="s">
        <v>394</v>
      </c>
      <c r="L209" s="47" t="s">
        <v>31</v>
      </c>
      <c r="M209" s="48" t="s">
        <v>32</v>
      </c>
      <c r="N209" s="43">
        <v>2</v>
      </c>
      <c r="O209" s="43" t="s">
        <v>45</v>
      </c>
      <c r="P209" s="43" t="s">
        <v>46</v>
      </c>
      <c r="Q209" s="43" t="s">
        <v>31</v>
      </c>
      <c r="R209" s="49"/>
    </row>
    <row r="210" spans="1:18" ht="15" customHeight="1" x14ac:dyDescent="0.25">
      <c r="A210" t="str">
        <f t="shared" si="6"/>
        <v>Impianto Rilevazione Incendio_Centralina rilevazione incendio/fibrolaser_ALR_INCENDIO_DI_CANNA_SUD-Allarme incendio in galleria</v>
      </c>
      <c r="B210" t="str">
        <f t="shared" si="7"/>
        <v>ALR_INCENDIO_DI_CANNA_SUD-Allarme incendio in galleria</v>
      </c>
      <c r="C210" t="str">
        <f>VLOOKUP(B210,'[2]Classi allarmi RMT-STIG_rev4'!$C:$C,1,0)</f>
        <v>ALR_INCENDIO_DI_CANNA_SUD-Allarme incendio in galleria</v>
      </c>
      <c r="D210" t="str">
        <f>VLOOKUP(B210,'EXPORT IRIS PROD 13-11-2024'!A:A,1,0)</f>
        <v>ALR_INCENDIO_DI_CANNA_SUD-Allarme incendio in galleria</v>
      </c>
      <c r="E210" t="str">
        <f>VLOOKUP(H210,'EXPORT IRIS PROD 13-11-2024'!F:F,1,0)</f>
        <v>ALR_INCENDIO_DI_CANNA_SUD</v>
      </c>
      <c r="F210" t="str">
        <f>VLOOKUP(I210,'EXPORT IRIS PROD 13-11-2024'!D:D,1,0)</f>
        <v>Allarme incendio in galleria</v>
      </c>
      <c r="G210" s="37" t="s">
        <v>40</v>
      </c>
      <c r="H210" s="38" t="s">
        <v>426</v>
      </c>
      <c r="I210" s="45" t="s">
        <v>420</v>
      </c>
      <c r="J210" s="46" t="s">
        <v>43</v>
      </c>
      <c r="K210" s="50" t="s">
        <v>394</v>
      </c>
      <c r="L210" s="47" t="s">
        <v>31</v>
      </c>
      <c r="M210" s="48" t="s">
        <v>32</v>
      </c>
      <c r="N210" s="43">
        <v>2</v>
      </c>
      <c r="O210" s="43" t="s">
        <v>45</v>
      </c>
      <c r="P210" s="43" t="s">
        <v>46</v>
      </c>
      <c r="Q210" s="43" t="s">
        <v>31</v>
      </c>
      <c r="R210" s="49"/>
    </row>
    <row r="211" spans="1:18" customFormat="1" ht="15" customHeight="1" x14ac:dyDescent="0.25">
      <c r="A211" t="str">
        <f t="shared" si="6"/>
        <v>Impianto Antincendio_Pompa_ALR_INCENDIO_POMPA-Allarme incendio pompa</v>
      </c>
      <c r="B211" t="str">
        <f t="shared" si="7"/>
        <v>ALR_INCENDIO_POMPA-Allarme incendio pompa</v>
      </c>
      <c r="C211" t="str">
        <f>VLOOKUP(B211,'[2]Classi allarmi RMT-STIG_rev4'!$C:$C,1,0)</f>
        <v>ALR_INCENDIO_POMPA-Allarme incendio pompa</v>
      </c>
      <c r="D211" t="str">
        <f>VLOOKUP(B211,'EXPORT IRIS PROD 13-11-2024'!A:A,1,0)</f>
        <v>ALR_INCENDIO_POMPA-Allarme incendio pompa</v>
      </c>
      <c r="E211" t="str">
        <f>VLOOKUP(H211,'EXPORT IRIS PROD 13-11-2024'!F:F,1,0)</f>
        <v>ALR_INCENDIO_POMPA</v>
      </c>
      <c r="F211" t="str">
        <f>VLOOKUP(I211,'EXPORT IRIS PROD 13-11-2024'!D:D,1,0)</f>
        <v>Allarme incendio pompa</v>
      </c>
      <c r="G211" s="37" t="s">
        <v>298</v>
      </c>
      <c r="H211" s="38" t="s">
        <v>427</v>
      </c>
      <c r="I211" s="38" t="s">
        <v>428</v>
      </c>
      <c r="J211" s="39" t="s">
        <v>38</v>
      </c>
      <c r="K211" s="39" t="s">
        <v>39</v>
      </c>
      <c r="L211" s="40" t="s">
        <v>31</v>
      </c>
      <c r="M211" s="41" t="s">
        <v>32</v>
      </c>
      <c r="N211" s="43">
        <v>2</v>
      </c>
      <c r="O211" s="43" t="s">
        <v>157</v>
      </c>
      <c r="P211" s="42" t="s">
        <v>158</v>
      </c>
      <c r="Q211" s="42" t="s">
        <v>21</v>
      </c>
      <c r="R211" s="44"/>
    </row>
    <row r="212" spans="1:18" customFormat="1" ht="15" customHeight="1" x14ac:dyDescent="0.25">
      <c r="A212" t="str">
        <f t="shared" si="6"/>
        <v>Impianto SOS_Colonnina SOS_ALR_INCIDENTE_DA_SOS-Allarme pulsante incidente</v>
      </c>
      <c r="B212" t="str">
        <f t="shared" si="7"/>
        <v>ALR_INCIDENTE_DA_SOS-Allarme pulsante incidente</v>
      </c>
      <c r="C212" t="str">
        <f>VLOOKUP(B212,'[2]Classi allarmi RMT-STIG_rev4'!$C:$C,1,0)</f>
        <v>ALR_INCIDENTE_DA_SOS-Allarme pulsante incidente</v>
      </c>
      <c r="D212" t="str">
        <f>VLOOKUP(B212,'EXPORT IRIS PROD 13-11-2024'!A:A,1,0)</f>
        <v>ALR_INCIDENTE_DA_SOS-Allarme pulsante incidente</v>
      </c>
      <c r="E212" t="str">
        <f>VLOOKUP(H212,'EXPORT IRIS PROD 13-11-2024'!F:F,1,0)</f>
        <v>ALR_INCIDENTE_DA_SOS</v>
      </c>
      <c r="F212" t="str">
        <f>VLOOKUP(I212,'EXPORT IRIS PROD 13-11-2024'!D:D,1,0)</f>
        <v>Allarme pulsante incidente</v>
      </c>
      <c r="G212" s="37" t="s">
        <v>26</v>
      </c>
      <c r="H212" s="38" t="s">
        <v>429</v>
      </c>
      <c r="I212" s="45" t="s">
        <v>430</v>
      </c>
      <c r="J212" s="46" t="s">
        <v>29</v>
      </c>
      <c r="K212" s="46" t="s">
        <v>360</v>
      </c>
      <c r="L212" s="47" t="s">
        <v>31</v>
      </c>
      <c r="M212" s="48" t="s">
        <v>32</v>
      </c>
      <c r="N212" s="43">
        <v>1</v>
      </c>
      <c r="O212" s="43" t="s">
        <v>33</v>
      </c>
      <c r="P212" s="43" t="s">
        <v>34</v>
      </c>
      <c r="Q212" s="43" t="s">
        <v>31</v>
      </c>
      <c r="R212" s="49"/>
    </row>
    <row r="213" spans="1:18" customFormat="1" ht="15" customHeight="1" x14ac:dyDescent="0.25">
      <c r="A213" t="str">
        <f t="shared" si="6"/>
        <v>Impianto Canalizzazione_Rotocartello (trittico)_ALR_INCIDENTE_VEICOLO_MERCI_PERICOLOSE-Allarme attivazione pannello merci pericolose</v>
      </c>
      <c r="B213" t="str">
        <f t="shared" si="7"/>
        <v>ALR_INCIDENTE_VEICOLO_MERCI_PERICOLOSE-Allarme attivazione pannello merci pericolose</v>
      </c>
      <c r="C213" t="str">
        <f>VLOOKUP(B213,'[2]Classi allarmi RMT-STIG_rev4'!$C:$C,1,0)</f>
        <v>ALR_INCIDENTE_VEICOLO_MERCI_PERICOLOSE-Allarme attivazione pannello merci pericolose</v>
      </c>
      <c r="D213" t="str">
        <f>VLOOKUP(B213,'EXPORT IRIS PROD 13-11-2024'!A:A,1,0)</f>
        <v>ALR_INCIDENTE_VEICOLO_MERCI_PERICOLOSE-Allarme attivazione pannello merci pericolose</v>
      </c>
      <c r="E213" t="str">
        <f>VLOOKUP(H213,'EXPORT IRIS PROD 13-11-2024'!F:F,1,0)</f>
        <v>ALR_INCIDENTE_VEICOLO_MERCI_PERICOLOSE</v>
      </c>
      <c r="F213" t="str">
        <f>VLOOKUP(I213,'EXPORT IRIS PROD 13-11-2024'!D:D,1,0)</f>
        <v>Allarme attivazione pannello merci pericolose</v>
      </c>
      <c r="G213" s="37" t="s">
        <v>431</v>
      </c>
      <c r="H213" s="38" t="s">
        <v>432</v>
      </c>
      <c r="I213" s="38" t="s">
        <v>433</v>
      </c>
      <c r="J213" s="39" t="s">
        <v>111</v>
      </c>
      <c r="K213" s="39" t="s">
        <v>434</v>
      </c>
      <c r="L213" s="40" t="s">
        <v>21</v>
      </c>
      <c r="M213" s="41" t="s">
        <v>22</v>
      </c>
      <c r="N213" s="42" t="s">
        <v>23</v>
      </c>
      <c r="O213" s="43" t="s">
        <v>24</v>
      </c>
      <c r="P213" s="42" t="s">
        <v>25</v>
      </c>
      <c r="Q213" s="42" t="s">
        <v>21</v>
      </c>
      <c r="R213" s="44"/>
    </row>
    <row r="214" spans="1:18" customFormat="1" ht="15" customHeight="1" x14ac:dyDescent="0.25">
      <c r="A214" t="str">
        <f t="shared" si="6"/>
        <v>Impianto Illuminazione_Punti luce_ALR_INCLINAZIONE_LAMPADE-Allarme inclinazione lampade</v>
      </c>
      <c r="B214" t="str">
        <f t="shared" si="7"/>
        <v>ALR_INCLINAZIONE_LAMPADE-Allarme inclinazione lampade</v>
      </c>
      <c r="C214" t="str">
        <f>VLOOKUP(B214,'[2]Classi allarmi RMT-STIG_rev4'!$C:$C,1,0)</f>
        <v>ALR_INCLINAZIONE_LAMPADE-Allarme inclinazione lampade</v>
      </c>
      <c r="D214" t="str">
        <f>VLOOKUP(B214,'EXPORT IRIS PROD 13-11-2024'!A:A,1,0)</f>
        <v>ALR_INCLINAZIONE_LAMPADE-Allarme inclinazione lampade</v>
      </c>
      <c r="E214" t="str">
        <f>VLOOKUP(H214,'EXPORT IRIS PROD 13-11-2024'!F:F,1,0)</f>
        <v>ALR_INCLINAZIONE_LAMPADE</v>
      </c>
      <c r="F214" t="str">
        <f>VLOOKUP(I214,'EXPORT IRIS PROD 13-11-2024'!D:D,1,0)</f>
        <v>Allarme inclinazione lampade</v>
      </c>
      <c r="G214" s="37" t="s">
        <v>115</v>
      </c>
      <c r="H214" s="38" t="s">
        <v>435</v>
      </c>
      <c r="I214" s="38" t="s">
        <v>436</v>
      </c>
      <c r="J214" s="39" t="s">
        <v>116</v>
      </c>
      <c r="K214" s="39" t="s">
        <v>437</v>
      </c>
      <c r="L214" s="40" t="s">
        <v>21</v>
      </c>
      <c r="M214" s="41" t="s">
        <v>22</v>
      </c>
      <c r="N214" s="42" t="s">
        <v>23</v>
      </c>
      <c r="O214" s="43" t="s">
        <v>24</v>
      </c>
      <c r="P214" s="42" t="s">
        <v>25</v>
      </c>
      <c r="Q214" s="42" t="s">
        <v>21</v>
      </c>
      <c r="R214" s="44"/>
    </row>
    <row r="215" spans="1:18" customFormat="1" ht="15" customHeight="1" x14ac:dyDescent="0.25">
      <c r="A215" t="str">
        <f t="shared" si="6"/>
        <v>Impianto Elettrico_Interruttore_ALR_INCONSISTENTE-Allarme inconsistente</v>
      </c>
      <c r="B215" t="str">
        <f t="shared" si="7"/>
        <v>ALR_INCONSISTENTE-Allarme inconsistente</v>
      </c>
      <c r="C215" t="str">
        <f>VLOOKUP(B215,'[2]Classi allarmi RMT-STIG_rev4'!$C:$C,1,0)</f>
        <v>ALR_INCONSISTENTE-Allarme inconsistente</v>
      </c>
      <c r="D215" t="str">
        <f>VLOOKUP(B215,'EXPORT IRIS PROD 13-11-2024'!A:A,1,0)</f>
        <v>ALR_INCONSISTENTE-Allarme inconsistente</v>
      </c>
      <c r="E215" t="str">
        <f>VLOOKUP(H215,'EXPORT IRIS PROD 13-11-2024'!F:F,1,0)</f>
        <v>ALR_INCONSISTENTE</v>
      </c>
      <c r="F215" t="str">
        <f>VLOOKUP(I215,'EXPORT IRIS PROD 13-11-2024'!D:D,1,0)</f>
        <v>Allarme inconsistente</v>
      </c>
      <c r="G215" s="37" t="s">
        <v>53</v>
      </c>
      <c r="H215" s="38" t="s">
        <v>438</v>
      </c>
      <c r="I215" s="38" t="s">
        <v>439</v>
      </c>
      <c r="J215" s="39" t="s">
        <v>56</v>
      </c>
      <c r="K215" s="39" t="s">
        <v>355</v>
      </c>
      <c r="L215" s="40" t="s">
        <v>21</v>
      </c>
      <c r="M215" s="41" t="s">
        <v>22</v>
      </c>
      <c r="N215" s="42" t="s">
        <v>23</v>
      </c>
      <c r="O215" s="43" t="s">
        <v>24</v>
      </c>
      <c r="P215" s="42" t="s">
        <v>25</v>
      </c>
      <c r="Q215" s="42" t="s">
        <v>21</v>
      </c>
      <c r="R215" s="44"/>
    </row>
    <row r="216" spans="1:18" customFormat="1" ht="15" customHeight="1" x14ac:dyDescent="0.25">
      <c r="A216" t="str">
        <f t="shared" si="6"/>
        <v>Impianto Elettrico_Quadro elettrico_ALR_INCONSISTENTE-Allarme inconsistente</v>
      </c>
      <c r="B216" t="str">
        <f t="shared" si="7"/>
        <v>ALR_INCONSISTENTE-Allarme inconsistente</v>
      </c>
      <c r="C216" t="str">
        <f>VLOOKUP(B216,'[2]Classi allarmi RMT-STIG_rev4'!$C:$C,1,0)</f>
        <v>ALR_INCONSISTENTE-Allarme inconsistente</v>
      </c>
      <c r="D216" t="str">
        <f>VLOOKUP(B216,'EXPORT IRIS PROD 13-11-2024'!A:A,1,0)</f>
        <v>ALR_INCONSISTENTE-Allarme inconsistente</v>
      </c>
      <c r="E216" t="str">
        <f>VLOOKUP(H216,'EXPORT IRIS PROD 13-11-2024'!F:F,1,0)</f>
        <v>ALR_INCONSISTENTE</v>
      </c>
      <c r="F216" t="str">
        <f>VLOOKUP(I216,'EXPORT IRIS PROD 13-11-2024'!D:D,1,0)</f>
        <v>Allarme inconsistente</v>
      </c>
      <c r="G216" s="37" t="s">
        <v>53</v>
      </c>
      <c r="H216" s="38" t="s">
        <v>438</v>
      </c>
      <c r="I216" s="38" t="s">
        <v>439</v>
      </c>
      <c r="J216" s="39" t="s">
        <v>56</v>
      </c>
      <c r="K216" s="39" t="s">
        <v>114</v>
      </c>
      <c r="L216" s="40" t="s">
        <v>21</v>
      </c>
      <c r="M216" s="41" t="s">
        <v>22</v>
      </c>
      <c r="N216" s="42" t="s">
        <v>23</v>
      </c>
      <c r="O216" s="43" t="s">
        <v>24</v>
      </c>
      <c r="P216" s="42" t="s">
        <v>25</v>
      </c>
      <c r="Q216" s="42" t="s">
        <v>21</v>
      </c>
      <c r="R216" s="44"/>
    </row>
    <row r="217" spans="1:18" customFormat="1" ht="15" customHeight="1" x14ac:dyDescent="0.25">
      <c r="A217" t="str">
        <f t="shared" si="6"/>
        <v>Impianto Ventilazione_Ventilatore_ALR_INCONSISTENTE-Allarme inconsistente</v>
      </c>
      <c r="B217" t="str">
        <f t="shared" si="7"/>
        <v>ALR_INCONSISTENTE-Allarme inconsistente</v>
      </c>
      <c r="C217" t="str">
        <f>VLOOKUP(B217,'[2]Classi allarmi RMT-STIG_rev4'!$C:$C,1,0)</f>
        <v>ALR_INCONSISTENTE-Allarme inconsistente</v>
      </c>
      <c r="D217" t="str">
        <f>VLOOKUP(B217,'EXPORT IRIS PROD 13-11-2024'!A:A,1,0)</f>
        <v>ALR_INCONSISTENTE-Allarme inconsistente</v>
      </c>
      <c r="E217" t="str">
        <f>VLOOKUP(H217,'EXPORT IRIS PROD 13-11-2024'!F:F,1,0)</f>
        <v>ALR_INCONSISTENTE</v>
      </c>
      <c r="F217" t="str">
        <f>VLOOKUP(I217,'EXPORT IRIS PROD 13-11-2024'!D:D,1,0)</f>
        <v>Allarme inconsistente</v>
      </c>
      <c r="G217" s="37" t="s">
        <v>85</v>
      </c>
      <c r="H217" s="38" t="s">
        <v>438</v>
      </c>
      <c r="I217" s="38" t="s">
        <v>439</v>
      </c>
      <c r="J217" s="39" t="s">
        <v>50</v>
      </c>
      <c r="K217" s="39" t="s">
        <v>124</v>
      </c>
      <c r="L217" s="40" t="s">
        <v>21</v>
      </c>
      <c r="M217" s="41" t="s">
        <v>22</v>
      </c>
      <c r="N217" s="42" t="s">
        <v>23</v>
      </c>
      <c r="O217" s="43" t="s">
        <v>24</v>
      </c>
      <c r="P217" s="42" t="s">
        <v>25</v>
      </c>
      <c r="Q217" s="42" t="s">
        <v>21</v>
      </c>
      <c r="R217" s="44"/>
    </row>
    <row r="218" spans="1:18" ht="15" customHeight="1" x14ac:dyDescent="0.25">
      <c r="A218" t="str">
        <f t="shared" si="6"/>
        <v>Impianto Elettrico_Serbatoio Gasolio_ALR_INFILTRAZIONE-Allarme infiltrazione</v>
      </c>
      <c r="B218" t="str">
        <f t="shared" si="7"/>
        <v>ALR_INFILTRAZIONE-Allarme infiltrazione</v>
      </c>
      <c r="C218" t="str">
        <f>VLOOKUP(B218,'[2]Classi allarmi RMT-STIG_rev4'!$C:$C,1,0)</f>
        <v>ALR_INFILTRAZIONE-Allarme infiltrazione</v>
      </c>
      <c r="D218" t="str">
        <f>VLOOKUP(B218,'EXPORT IRIS PROD 13-11-2024'!A:A,1,0)</f>
        <v>ALR_INFILTRAZIONE-Allarme infiltrazione</v>
      </c>
      <c r="E218" t="str">
        <f>VLOOKUP(H218,'EXPORT IRIS PROD 13-11-2024'!F:F,1,0)</f>
        <v>ALR_INFILTRAZIONE</v>
      </c>
      <c r="F218" t="str">
        <f>VLOOKUP(I218,'EXPORT IRIS PROD 13-11-2024'!D:D,1,0)</f>
        <v>Allarme infiltrazione</v>
      </c>
      <c r="G218" s="37" t="s">
        <v>53</v>
      </c>
      <c r="H218" s="38" t="s">
        <v>440</v>
      </c>
      <c r="I218" s="38" t="s">
        <v>441</v>
      </c>
      <c r="J218" s="39" t="s">
        <v>56</v>
      </c>
      <c r="K218" s="39" t="s">
        <v>442</v>
      </c>
      <c r="L218" s="40" t="s">
        <v>21</v>
      </c>
      <c r="M218" s="41" t="s">
        <v>22</v>
      </c>
      <c r="N218" s="42" t="s">
        <v>23</v>
      </c>
      <c r="O218" s="43" t="s">
        <v>24</v>
      </c>
      <c r="P218" s="42" t="s">
        <v>25</v>
      </c>
      <c r="Q218" s="42" t="s">
        <v>21</v>
      </c>
      <c r="R218" s="44"/>
    </row>
    <row r="219" spans="1:18" ht="15" customHeight="1" x14ac:dyDescent="0.25">
      <c r="A219" t="str">
        <f t="shared" si="6"/>
        <v>Impianto Ventilazione_Ventilazione generale_ALR_INQUINAMENTO_CANNA_NORD-Allarme inquinamento canna nord</v>
      </c>
      <c r="B219" t="str">
        <f t="shared" si="7"/>
        <v>ALR_INQUINAMENTO_CANNA_NORD-Allarme inquinamento canna nord</v>
      </c>
      <c r="C219" t="str">
        <f>VLOOKUP(B219,'[2]Classi allarmi RMT-STIG_rev4'!$C:$C,1,0)</f>
        <v>ALR_INQUINAMENTO_CANNA_NORD-Allarme inquinamento canna nord</v>
      </c>
      <c r="D219" t="str">
        <f>VLOOKUP(B219,'EXPORT IRIS PROD 13-11-2024'!A:A,1,0)</f>
        <v>ALR_INQUINAMENTO_CANNA_NORD-Allarme inquinamento canna nord</v>
      </c>
      <c r="E219" t="str">
        <f>VLOOKUP(H219,'EXPORT IRIS PROD 13-11-2024'!F:F,1,0)</f>
        <v>ALR_INQUINAMENTO_CANNA_NORD</v>
      </c>
      <c r="F219" t="str">
        <f>VLOOKUP(I219,'EXPORT IRIS PROD 13-11-2024'!D:D,1,0)</f>
        <v>Allarme inquinamento canna nord</v>
      </c>
      <c r="G219" s="37" t="s">
        <v>213</v>
      </c>
      <c r="H219" s="38" t="s">
        <v>443</v>
      </c>
      <c r="I219" s="38" t="s">
        <v>444</v>
      </c>
      <c r="J219" s="39" t="s">
        <v>50</v>
      </c>
      <c r="K219" s="39" t="s">
        <v>445</v>
      </c>
      <c r="L219" s="40" t="s">
        <v>31</v>
      </c>
      <c r="M219" s="41" t="s">
        <v>32</v>
      </c>
      <c r="N219" s="43">
        <v>2</v>
      </c>
      <c r="O219" s="43" t="s">
        <v>45</v>
      </c>
      <c r="P219" s="42" t="s">
        <v>46</v>
      </c>
      <c r="Q219" s="42" t="s">
        <v>31</v>
      </c>
      <c r="R219" s="49"/>
    </row>
    <row r="220" spans="1:18" ht="15" customHeight="1" x14ac:dyDescent="0.25">
      <c r="A220" t="str">
        <f t="shared" si="6"/>
        <v>Impianto Ventilazione_Ventilazione generale_ALR_INQUINAMENTO_CANNA_SUD-Allarme inquinamento canna sud</v>
      </c>
      <c r="B220" t="str">
        <f t="shared" si="7"/>
        <v>ALR_INQUINAMENTO_CANNA_SUD-Allarme inquinamento canna sud</v>
      </c>
      <c r="C220" t="str">
        <f>VLOOKUP(B220,'[2]Classi allarmi RMT-STIG_rev4'!$C:$C,1,0)</f>
        <v>ALR_INQUINAMENTO_CANNA_SUD-Allarme inquinamento canna sud</v>
      </c>
      <c r="D220" t="str">
        <f>VLOOKUP(B220,'EXPORT IRIS PROD 13-11-2024'!A:A,1,0)</f>
        <v>ALR_INQUINAMENTO_CANNA_SUD-Allarme inquinamento canna sud</v>
      </c>
      <c r="E220" t="str">
        <f>VLOOKUP(H220,'EXPORT IRIS PROD 13-11-2024'!F:F,1,0)</f>
        <v>ALR_INQUINAMENTO_CANNA_SUD</v>
      </c>
      <c r="F220" t="str">
        <f>VLOOKUP(I220,'EXPORT IRIS PROD 13-11-2024'!D:D,1,0)</f>
        <v>Allarme inquinamento canna sud</v>
      </c>
      <c r="G220" s="37" t="s">
        <v>213</v>
      </c>
      <c r="H220" s="38" t="s">
        <v>446</v>
      </c>
      <c r="I220" s="38" t="s">
        <v>447</v>
      </c>
      <c r="J220" s="39" t="s">
        <v>50</v>
      </c>
      <c r="K220" s="39" t="s">
        <v>445</v>
      </c>
      <c r="L220" s="40" t="s">
        <v>31</v>
      </c>
      <c r="M220" s="41" t="s">
        <v>32</v>
      </c>
      <c r="N220" s="43">
        <v>2</v>
      </c>
      <c r="O220" s="43" t="s">
        <v>45</v>
      </c>
      <c r="P220" s="42" t="s">
        <v>46</v>
      </c>
      <c r="Q220" s="42" t="s">
        <v>31</v>
      </c>
      <c r="R220" s="49"/>
    </row>
    <row r="221" spans="1:18" customFormat="1" ht="15" customHeight="1" x14ac:dyDescent="0.25">
      <c r="A221" t="str">
        <f t="shared" si="6"/>
        <v>Impianto Ventilazione_Ventilazione generale_ALR_INQUINAMENTO_GALLERIA-Allarme inquinamento galleria</v>
      </c>
      <c r="B221" t="str">
        <f t="shared" si="7"/>
        <v>ALR_INQUINAMENTO_GALLERIA-Allarme inquinamento galleria</v>
      </c>
      <c r="C221" t="str">
        <f>VLOOKUP(B221,'[2]Classi allarmi RMT-STIG_rev4'!$C:$C,1,0)</f>
        <v>ALR_INQUINAMENTO_GALLERIA-Allarme inquinamento galleria</v>
      </c>
      <c r="D221" t="str">
        <f>VLOOKUP(B221,'EXPORT IRIS PROD 13-11-2024'!A:A,1,0)</f>
        <v>ALR_INQUINAMENTO_GALLERIA-Allarme inquinamento galleria</v>
      </c>
      <c r="E221" t="str">
        <f>VLOOKUP(H221,'EXPORT IRIS PROD 13-11-2024'!F:F,1,0)</f>
        <v>ALR_INQUINAMENTO_GALLERIA</v>
      </c>
      <c r="F221" t="str">
        <f>VLOOKUP(I221,'EXPORT IRIS PROD 13-11-2024'!D:D,1,0)</f>
        <v>Allarme inquinamento galleria</v>
      </c>
      <c r="G221" s="37" t="s">
        <v>213</v>
      </c>
      <c r="H221" s="38" t="s">
        <v>448</v>
      </c>
      <c r="I221" s="38" t="s">
        <v>449</v>
      </c>
      <c r="J221" s="39" t="s">
        <v>50</v>
      </c>
      <c r="K221" s="39" t="s">
        <v>445</v>
      </c>
      <c r="L221" s="40" t="s">
        <v>31</v>
      </c>
      <c r="M221" s="41" t="s">
        <v>32</v>
      </c>
      <c r="N221" s="43">
        <v>2</v>
      </c>
      <c r="O221" s="43" t="s">
        <v>45</v>
      </c>
      <c r="P221" s="42" t="s">
        <v>46</v>
      </c>
      <c r="Q221" s="42" t="s">
        <v>31</v>
      </c>
      <c r="R221" s="49"/>
    </row>
    <row r="222" spans="1:18" customFormat="1" ht="15" customHeight="1" x14ac:dyDescent="0.25">
      <c r="A222" t="str">
        <f t="shared" si="6"/>
        <v>Impianto Elettrico_Interruttore_ALR_INT_APERTO-Allarme interruttore aperto</v>
      </c>
      <c r="B222" t="str">
        <f t="shared" si="7"/>
        <v>ALR_INT_APERTO-Allarme interruttore aperto</v>
      </c>
      <c r="C222" t="str">
        <f>VLOOKUP(B222,'[2]Classi allarmi RMT-STIG_rev4'!$C:$C,1,0)</f>
        <v>ALR_INT_APERTO-Allarme interruttore aperto</v>
      </c>
      <c r="D222" t="str">
        <f>VLOOKUP(B222,'EXPORT IRIS PROD 13-11-2024'!A:A,1,0)</f>
        <v>ALR_INT_APERTO-Allarme interruttore aperto</v>
      </c>
      <c r="E222" t="str">
        <f>VLOOKUP(H222,'EXPORT IRIS PROD 13-11-2024'!F:F,1,0)</f>
        <v>ALR_INT_APERTO</v>
      </c>
      <c r="F222" t="str">
        <f>VLOOKUP(I222,'EXPORT IRIS PROD 13-11-2024'!D:D,1,0)</f>
        <v>Allarme interruttore aperto</v>
      </c>
      <c r="G222" s="37" t="s">
        <v>53</v>
      </c>
      <c r="H222" s="38" t="s">
        <v>450</v>
      </c>
      <c r="I222" s="38" t="s">
        <v>451</v>
      </c>
      <c r="J222" s="39" t="s">
        <v>56</v>
      </c>
      <c r="K222" s="39" t="s">
        <v>355</v>
      </c>
      <c r="L222" s="40" t="s">
        <v>21</v>
      </c>
      <c r="M222" s="41" t="s">
        <v>22</v>
      </c>
      <c r="N222" s="42" t="s">
        <v>23</v>
      </c>
      <c r="O222" s="43" t="s">
        <v>157</v>
      </c>
      <c r="P222" s="42" t="s">
        <v>158</v>
      </c>
      <c r="Q222" s="42" t="s">
        <v>21</v>
      </c>
      <c r="R222" s="44"/>
    </row>
    <row r="223" spans="1:18" customFormat="1" ht="15" customHeight="1" x14ac:dyDescent="0.25">
      <c r="A223" t="str">
        <f t="shared" si="6"/>
        <v>Impianto Elettrico_Interruttore_ALR_INT_FAULT-Allarme interruttore in fault</v>
      </c>
      <c r="B223" t="str">
        <f t="shared" si="7"/>
        <v>ALR_INT_FAULT-Allarme interruttore in fault</v>
      </c>
      <c r="C223" t="str">
        <f>VLOOKUP(B223,'[2]Classi allarmi RMT-STIG_rev4'!$C:$C,1,0)</f>
        <v>ALR_INT_FAULT-Allarme interruttore in fault</v>
      </c>
      <c r="D223" t="str">
        <f>VLOOKUP(B223,'EXPORT IRIS PROD 13-11-2024'!A:A,1,0)</f>
        <v>ALR_INT_FAULT-Allarme interruttore in fault</v>
      </c>
      <c r="E223" t="str">
        <f>VLOOKUP(H223,'EXPORT IRIS PROD 13-11-2024'!F:F,1,0)</f>
        <v>ALR_INT_FAULT</v>
      </c>
      <c r="F223" t="str">
        <f>VLOOKUP(I223,'EXPORT IRIS PROD 13-11-2024'!D:D,1,0)</f>
        <v>Allarme interruttore in fault</v>
      </c>
      <c r="G223" s="37" t="s">
        <v>53</v>
      </c>
      <c r="H223" s="38" t="s">
        <v>452</v>
      </c>
      <c r="I223" s="38" t="s">
        <v>453</v>
      </c>
      <c r="J223" s="39" t="s">
        <v>56</v>
      </c>
      <c r="K223" s="39" t="s">
        <v>355</v>
      </c>
      <c r="L223" s="40" t="s">
        <v>21</v>
      </c>
      <c r="M223" s="41" t="s">
        <v>22</v>
      </c>
      <c r="N223" s="42" t="s">
        <v>23</v>
      </c>
      <c r="O223" s="43" t="s">
        <v>157</v>
      </c>
      <c r="P223" s="42" t="s">
        <v>158</v>
      </c>
      <c r="Q223" s="42" t="s">
        <v>21</v>
      </c>
      <c r="R223" s="44"/>
    </row>
    <row r="224" spans="1:18" customFormat="1" ht="15" customHeight="1" x14ac:dyDescent="0.25">
      <c r="A224" t="str">
        <f t="shared" si="6"/>
        <v>Impianto Elettrico_Interruttore generale (scattato)_ALR_INT_GENERALE_SCATTATO-Allarme interruttore generale scattato</v>
      </c>
      <c r="B224" t="str">
        <f t="shared" si="7"/>
        <v>ALR_INT_GENERALE_SCATTATO-Allarme interruttore generale scattato</v>
      </c>
      <c r="C224" t="str">
        <f>VLOOKUP(B224,'[2]Classi allarmi RMT-STIG_rev4'!$C:$C,1,0)</f>
        <v>ALR_INT_GENERALE_SCATTATO-Allarme interruttore generale scattato</v>
      </c>
      <c r="D224" t="str">
        <f>VLOOKUP(B224,'EXPORT IRIS PROD 13-11-2024'!A:A,1,0)</f>
        <v>ALR_INT_GENERALE_SCATTATO-Allarme interruttore generale scattato</v>
      </c>
      <c r="E224" t="str">
        <f>VLOOKUP(H224,'EXPORT IRIS PROD 13-11-2024'!F:F,1,0)</f>
        <v>ALR_INT_GENERALE_SCATTATO</v>
      </c>
      <c r="F224" t="str">
        <f>VLOOKUP(I224,'EXPORT IRIS PROD 13-11-2024'!D:D,1,0)</f>
        <v>Allarme interruttore generale scattato</v>
      </c>
      <c r="G224" s="37" t="s">
        <v>454</v>
      </c>
      <c r="H224" s="38" t="s">
        <v>455</v>
      </c>
      <c r="I224" s="45" t="s">
        <v>456</v>
      </c>
      <c r="J224" s="46" t="s">
        <v>56</v>
      </c>
      <c r="K224" s="46" t="s">
        <v>457</v>
      </c>
      <c r="L224" s="47" t="s">
        <v>31</v>
      </c>
      <c r="M224" s="48" t="s">
        <v>32</v>
      </c>
      <c r="N224" s="43">
        <v>2</v>
      </c>
      <c r="O224" s="43" t="s">
        <v>33</v>
      </c>
      <c r="P224" s="43" t="s">
        <v>34</v>
      </c>
      <c r="Q224" s="43" t="s">
        <v>31</v>
      </c>
      <c r="R224" s="49"/>
    </row>
    <row r="225" spans="1:18" customFormat="1" ht="15" customHeight="1" x14ac:dyDescent="0.25">
      <c r="A225" t="str">
        <f t="shared" si="6"/>
        <v>Impianto Elettrico_Interruttore_ALR_INT_SCATTATO_1_IMP-Allarme interruttore scattato</v>
      </c>
      <c r="B225" t="str">
        <f t="shared" si="7"/>
        <v>ALR_INT_SCATTATO_1_IMP-Allarme interruttore scattato</v>
      </c>
      <c r="C225" t="str">
        <f>VLOOKUP(B225,'[2]Classi allarmi RMT-STIG_rev4'!$C:$C,1,0)</f>
        <v>ALR_INT_SCATTATO_1_IMP-Allarme interruttore scattato</v>
      </c>
      <c r="D225" t="str">
        <f>VLOOKUP(B225,'EXPORT IRIS PROD 13-11-2024'!A:A,1,0)</f>
        <v>ALR_INT_SCATTATO_1_IMP-Allarme interruttore scattato</v>
      </c>
      <c r="E225" t="str">
        <f>VLOOKUP(H225,'EXPORT IRIS PROD 13-11-2024'!F:F,1,0)</f>
        <v>ALR_INT_SCATTATO_1_IMP</v>
      </c>
      <c r="F225" t="str">
        <f>VLOOKUP(I225,'EXPORT IRIS PROD 13-11-2024'!D:D,1,0)</f>
        <v>Allarme interruttore scattato</v>
      </c>
      <c r="G225" s="37" t="s">
        <v>53</v>
      </c>
      <c r="H225" s="38" t="s">
        <v>458</v>
      </c>
      <c r="I225" s="38" t="s">
        <v>459</v>
      </c>
      <c r="J225" s="39" t="s">
        <v>56</v>
      </c>
      <c r="K225" s="39" t="s">
        <v>355</v>
      </c>
      <c r="L225" s="40" t="s">
        <v>21</v>
      </c>
      <c r="M225" s="41" t="s">
        <v>22</v>
      </c>
      <c r="N225" s="42" t="s">
        <v>23</v>
      </c>
      <c r="O225" s="43" t="s">
        <v>24</v>
      </c>
      <c r="P225" s="42" t="s">
        <v>25</v>
      </c>
      <c r="Q225" s="42" t="s">
        <v>21</v>
      </c>
      <c r="R225" s="56"/>
    </row>
    <row r="226" spans="1:18" customFormat="1" ht="15" customHeight="1" x14ac:dyDescent="0.25">
      <c r="A226" t="str">
        <f t="shared" si="6"/>
        <v>Impianto Elettrico_Interruttore del semaforo_ALR_INT_SCATTATO_2_IMP-Allarme interruttore scattato</v>
      </c>
      <c r="B226" t="str">
        <f t="shared" si="7"/>
        <v>ALR_INT_SCATTATO_2_IMP-Allarme interruttore scattato</v>
      </c>
      <c r="C226" t="str">
        <f>VLOOKUP(B226,'[2]Classi allarmi RMT-STIG_rev4'!$C:$C,1,0)</f>
        <v>ALR_INT_SCATTATO_2_IMP-Allarme interruttore scattato</v>
      </c>
      <c r="D226" t="str">
        <f>VLOOKUP(B226,'EXPORT IRIS PROD 13-11-2024'!A:A,1,0)</f>
        <v>ALR_INT_SCATTATO_2_IMP-Allarme interruttore scattato</v>
      </c>
      <c r="E226" t="str">
        <f>VLOOKUP(H226,'EXPORT IRIS PROD 13-11-2024'!F:F,1,0)</f>
        <v>ALR_INT_SCATTATO_2_IMP</v>
      </c>
      <c r="F226" t="str">
        <f>VLOOKUP(I226,'EXPORT IRIS PROD 13-11-2024'!D:D,1,0)</f>
        <v>Allarme interruttore scattato</v>
      </c>
      <c r="G226" s="37" t="s">
        <v>53</v>
      </c>
      <c r="H226" s="38" t="s">
        <v>460</v>
      </c>
      <c r="I226" s="38" t="s">
        <v>459</v>
      </c>
      <c r="J226" s="39" t="s">
        <v>56</v>
      </c>
      <c r="K226" s="39" t="s">
        <v>461</v>
      </c>
      <c r="L226" s="40" t="s">
        <v>21</v>
      </c>
      <c r="M226" s="41" t="s">
        <v>22</v>
      </c>
      <c r="N226" s="42" t="s">
        <v>23</v>
      </c>
      <c r="O226" s="43" t="s">
        <v>24</v>
      </c>
      <c r="P226" s="42" t="s">
        <v>25</v>
      </c>
      <c r="Q226" s="42" t="s">
        <v>21</v>
      </c>
      <c r="R226" s="44"/>
    </row>
    <row r="227" spans="1:18" customFormat="1" ht="15" customHeight="1" x14ac:dyDescent="0.25">
      <c r="A227" t="str">
        <f t="shared" si="6"/>
        <v>Impianto Elettrico_Interruttore del ventilatore_ALR_INT_SCATTATO_2_IMP-Allarme interruttore scattato</v>
      </c>
      <c r="B227" t="str">
        <f t="shared" si="7"/>
        <v>ALR_INT_SCATTATO_2_IMP-Allarme interruttore scattato</v>
      </c>
      <c r="C227" t="str">
        <f>VLOOKUP(B227,'[2]Classi allarmi RMT-STIG_rev4'!$C:$C,1,0)</f>
        <v>ALR_INT_SCATTATO_2_IMP-Allarme interruttore scattato</v>
      </c>
      <c r="D227" t="str">
        <f>VLOOKUP(B227,'EXPORT IRIS PROD 13-11-2024'!A:A,1,0)</f>
        <v>ALR_INT_SCATTATO_2_IMP-Allarme interruttore scattato</v>
      </c>
      <c r="E227" t="str">
        <f>VLOOKUP(H227,'EXPORT IRIS PROD 13-11-2024'!F:F,1,0)</f>
        <v>ALR_INT_SCATTATO_2_IMP</v>
      </c>
      <c r="F227" t="str">
        <f>VLOOKUP(I227,'EXPORT IRIS PROD 13-11-2024'!D:D,1,0)</f>
        <v>Allarme interruttore scattato</v>
      </c>
      <c r="G227" s="37" t="s">
        <v>53</v>
      </c>
      <c r="H227" s="38" t="s">
        <v>460</v>
      </c>
      <c r="I227" s="38" t="s">
        <v>459</v>
      </c>
      <c r="J227" s="39" t="s">
        <v>56</v>
      </c>
      <c r="K227" s="39" t="s">
        <v>462</v>
      </c>
      <c r="L227" s="40" t="s">
        <v>21</v>
      </c>
      <c r="M227" s="41" t="s">
        <v>22</v>
      </c>
      <c r="N227" s="42" t="s">
        <v>23</v>
      </c>
      <c r="O227" s="43" t="s">
        <v>24</v>
      </c>
      <c r="P227" s="42" t="s">
        <v>25</v>
      </c>
      <c r="Q227" s="42" t="s">
        <v>21</v>
      </c>
      <c r="R227" s="44"/>
    </row>
    <row r="228" spans="1:18" customFormat="1" ht="15" customHeight="1" x14ac:dyDescent="0.25">
      <c r="A228" t="str">
        <f t="shared" si="6"/>
        <v>Impianto Elettrico_Sezionatore_ALR_INT_SCATTATO_2_IMP-Allarme interruttore scattato</v>
      </c>
      <c r="B228" t="str">
        <f t="shared" si="7"/>
        <v>ALR_INT_SCATTATO_2_IMP-Allarme interruttore scattato</v>
      </c>
      <c r="C228" t="str">
        <f>VLOOKUP(B228,'[2]Classi allarmi RMT-STIG_rev4'!$C:$C,1,0)</f>
        <v>ALR_INT_SCATTATO_2_IMP-Allarme interruttore scattato</v>
      </c>
      <c r="D228" t="str">
        <f>VLOOKUP(B228,'EXPORT IRIS PROD 13-11-2024'!A:A,1,0)</f>
        <v>ALR_INT_SCATTATO_2_IMP-Allarme interruttore scattato</v>
      </c>
      <c r="E228" t="str">
        <f>VLOOKUP(H228,'EXPORT IRIS PROD 13-11-2024'!F:F,1,0)</f>
        <v>ALR_INT_SCATTATO_2_IMP</v>
      </c>
      <c r="F228" t="str">
        <f>VLOOKUP(I228,'EXPORT IRIS PROD 13-11-2024'!D:D,1,0)</f>
        <v>Allarme interruttore scattato</v>
      </c>
      <c r="G228" s="37" t="s">
        <v>53</v>
      </c>
      <c r="H228" s="38" t="s">
        <v>460</v>
      </c>
      <c r="I228" s="38" t="s">
        <v>459</v>
      </c>
      <c r="J228" s="39" t="s">
        <v>56</v>
      </c>
      <c r="K228" s="39" t="s">
        <v>463</v>
      </c>
      <c r="L228" s="40" t="s">
        <v>21</v>
      </c>
      <c r="M228" s="41" t="s">
        <v>22</v>
      </c>
      <c r="N228" s="42" t="s">
        <v>23</v>
      </c>
      <c r="O228" s="43" t="s">
        <v>24</v>
      </c>
      <c r="P228" s="42" t="s">
        <v>25</v>
      </c>
      <c r="Q228" s="42" t="s">
        <v>21</v>
      </c>
      <c r="R228" s="44"/>
    </row>
    <row r="229" spans="1:18" customFormat="1" ht="15" customHeight="1" x14ac:dyDescent="0.25">
      <c r="A229" t="str">
        <f t="shared" si="6"/>
        <v>Impianto Elettrico_Interruttore (scattato)_ALR_INTERRUTTORE-Allarme interruttore scattato</v>
      </c>
      <c r="B229" t="str">
        <f t="shared" si="7"/>
        <v>ALR_INTERRUTTORE-Allarme interruttore scattato</v>
      </c>
      <c r="C229" t="str">
        <f>VLOOKUP(B229,'[2]Classi allarmi RMT-STIG_rev4'!$C:$C,1,0)</f>
        <v>ALR_INTERRUTTORE-Allarme interruttore scattato</v>
      </c>
      <c r="D229" t="str">
        <f>VLOOKUP(B229,'EXPORT IRIS PROD 13-11-2024'!A:A,1,0)</f>
        <v>ALR_INTERRUTTORE-Allarme interruttore scattato</v>
      </c>
      <c r="E229" t="str">
        <f>VLOOKUP(H229,'EXPORT IRIS PROD 13-11-2024'!F:F,1,0)</f>
        <v>ALR_INTERRUTTORE</v>
      </c>
      <c r="F229" t="str">
        <f>VLOOKUP(I229,'EXPORT IRIS PROD 13-11-2024'!D:D,1,0)</f>
        <v>Allarme interruttore scattato</v>
      </c>
      <c r="G229" s="37" t="s">
        <v>53</v>
      </c>
      <c r="H229" s="38" t="s">
        <v>464</v>
      </c>
      <c r="I229" s="38" t="s">
        <v>459</v>
      </c>
      <c r="J229" s="39" t="s">
        <v>56</v>
      </c>
      <c r="K229" s="50" t="s">
        <v>465</v>
      </c>
      <c r="L229" s="40" t="s">
        <v>21</v>
      </c>
      <c r="M229" s="41" t="s">
        <v>22</v>
      </c>
      <c r="N229" s="42" t="s">
        <v>23</v>
      </c>
      <c r="O229" s="43" t="s">
        <v>24</v>
      </c>
      <c r="P229" s="42" t="s">
        <v>25</v>
      </c>
      <c r="Q229" s="42" t="s">
        <v>21</v>
      </c>
      <c r="R229" s="56"/>
    </row>
    <row r="230" spans="1:18" customFormat="1" ht="15" customHeight="1" x14ac:dyDescent="0.25">
      <c r="A230" t="str">
        <f t="shared" si="6"/>
        <v>Impianto Ventilazione_Ventilatore_ALR_INTERVENUTO_PROTEZIONE_TERMICO-Allarme scatto protezione magnetotermica</v>
      </c>
      <c r="B230" t="str">
        <f t="shared" si="7"/>
        <v>ALR_INTERVENUTO_PROTEZIONE_TERMICO-Allarme scatto protezione magnetotermica</v>
      </c>
      <c r="C230" t="str">
        <f>VLOOKUP(B230,'[2]Classi allarmi RMT-STIG_rev4'!$C:$C,1,0)</f>
        <v>ALR_INTERVENUTO_PROTEZIONE_TERMICO-Allarme scatto protezione magnetotermica</v>
      </c>
      <c r="D230" t="str">
        <f>VLOOKUP(B230,'EXPORT IRIS PROD 13-11-2024'!A:A,1,0)</f>
        <v>ALR_INTERVENUTO_PROTEZIONE_TERMICO-Allarme scatto protezione magnetotermica</v>
      </c>
      <c r="E230" t="str">
        <f>VLOOKUP(H230,'EXPORT IRIS PROD 13-11-2024'!F:F,1,0)</f>
        <v>ALR_INTERVENUTO_PROTEZIONE_TERMICO</v>
      </c>
      <c r="F230" t="str">
        <f>VLOOKUP(I230,'EXPORT IRIS PROD 13-11-2024'!D:D,1,0)</f>
        <v>Allarme scatto protezione magnetotermica</v>
      </c>
      <c r="G230" s="37" t="s">
        <v>85</v>
      </c>
      <c r="H230" s="38" t="s">
        <v>466</v>
      </c>
      <c r="I230" s="38" t="s">
        <v>467</v>
      </c>
      <c r="J230" s="39" t="s">
        <v>50</v>
      </c>
      <c r="K230" s="39" t="s">
        <v>124</v>
      </c>
      <c r="L230" s="40" t="s">
        <v>21</v>
      </c>
      <c r="M230" s="41" t="s">
        <v>22</v>
      </c>
      <c r="N230" s="42" t="s">
        <v>23</v>
      </c>
      <c r="O230" s="43" t="s">
        <v>24</v>
      </c>
      <c r="P230" s="42" t="s">
        <v>25</v>
      </c>
      <c r="Q230" s="42" t="s">
        <v>21</v>
      </c>
      <c r="R230" s="44"/>
    </row>
    <row r="231" spans="1:18" customFormat="1" ht="15" customHeight="1" x14ac:dyDescent="0.25">
      <c r="A231" t="str">
        <f t="shared" si="6"/>
        <v>Cabina Elettrica_Centralina intrusione in cabina_ALR_INTRUSIONE-Allarme intrusione in cabina</v>
      </c>
      <c r="B231" t="str">
        <f t="shared" si="7"/>
        <v>ALR_INTRUSIONE-Allarme intrusione in cabina</v>
      </c>
      <c r="C231" t="str">
        <f>VLOOKUP(B231,'[2]Classi allarmi RMT-STIG_rev4'!$C:$C,1,0)</f>
        <v>ALR_INTRUSIONE-Allarme intrusione in cabina</v>
      </c>
      <c r="D231" t="str">
        <f>VLOOKUP(B231,'EXPORT IRIS PROD 13-11-2024'!A:A,1,0)</f>
        <v>ALR_INTRUSIONE-Allarme intrusione in cabina</v>
      </c>
      <c r="E231" t="str">
        <f>VLOOKUP(H231,'EXPORT IRIS PROD 13-11-2024'!F:F,1,0)</f>
        <v>ALR_INTRUSIONE</v>
      </c>
      <c r="F231" t="str">
        <f>VLOOKUP(I231,'EXPORT IRIS PROD 13-11-2024'!D:D,1,0)</f>
        <v>Allarme intrusione in cabina</v>
      </c>
      <c r="G231" s="37" t="s">
        <v>468</v>
      </c>
      <c r="H231" s="38" t="s">
        <v>469</v>
      </c>
      <c r="I231" s="38" t="s">
        <v>470</v>
      </c>
      <c r="J231" s="39" t="s">
        <v>385</v>
      </c>
      <c r="K231" s="39" t="s">
        <v>386</v>
      </c>
      <c r="L231" s="40" t="s">
        <v>31</v>
      </c>
      <c r="M231" s="41" t="s">
        <v>32</v>
      </c>
      <c r="N231" s="43">
        <v>2</v>
      </c>
      <c r="O231" s="43" t="s">
        <v>33</v>
      </c>
      <c r="P231" s="42" t="s">
        <v>34</v>
      </c>
      <c r="Q231" s="42" t="s">
        <v>31</v>
      </c>
      <c r="R231" s="44"/>
    </row>
    <row r="232" spans="1:18" customFormat="1" ht="15" customHeight="1" x14ac:dyDescent="0.25">
      <c r="A232" t="str">
        <f t="shared" si="6"/>
        <v>Impianto Videosorveglianza_Telecamera attiva_ALR_INTRUSIONE_IN_GALLERIA-Allarme intrusione in galleria</v>
      </c>
      <c r="B232" t="str">
        <f t="shared" si="7"/>
        <v>ALR_INTRUSIONE_IN_GALLERIA-Allarme intrusione in galleria</v>
      </c>
      <c r="C232" t="str">
        <f>VLOOKUP(B232,'[2]Classi allarmi RMT-STIG_rev4'!$C:$C,1,0)</f>
        <v>ALR_INTRUSIONE_IN_GALLERIA-Allarme intrusione in galleria</v>
      </c>
      <c r="D232" t="str">
        <f>VLOOKUP(B232,'EXPORT IRIS PROD 13-11-2024'!A:A,1,0)</f>
        <v>ALR_INTRUSIONE_IN_GALLERIA-Allarme intrusione in galleria</v>
      </c>
      <c r="E232" t="str">
        <f>VLOOKUP(H232,'EXPORT IRIS PROD 13-11-2024'!F:F,1,0)</f>
        <v>ALR_INTRUSIONE_IN_GALLERIA</v>
      </c>
      <c r="F232" t="str">
        <f>VLOOKUP(I232,'EXPORT IRIS PROD 13-11-2024'!D:D,1,0)</f>
        <v>Allarme intrusione in galleria</v>
      </c>
      <c r="G232" s="37" t="s">
        <v>471</v>
      </c>
      <c r="H232" s="38" t="s">
        <v>472</v>
      </c>
      <c r="I232" s="45" t="s">
        <v>473</v>
      </c>
      <c r="J232" s="46" t="s">
        <v>201</v>
      </c>
      <c r="K232" s="46" t="s">
        <v>380</v>
      </c>
      <c r="L232" s="47" t="s">
        <v>31</v>
      </c>
      <c r="M232" s="48" t="s">
        <v>32</v>
      </c>
      <c r="N232" s="43">
        <v>1</v>
      </c>
      <c r="O232" s="43" t="s">
        <v>33</v>
      </c>
      <c r="P232" s="43" t="s">
        <v>34</v>
      </c>
      <c r="Q232" s="43" t="s">
        <v>31</v>
      </c>
      <c r="R232" s="56"/>
    </row>
    <row r="233" spans="1:18" customFormat="1" ht="15" customHeight="1" x14ac:dyDescent="0.25">
      <c r="A233" t="str">
        <f t="shared" si="6"/>
        <v>Impianto Videosorveglianza_Telecamera passiva_ALR_INTRUSIONE_IN_GALLERIA-Allarme intrusione in galleria</v>
      </c>
      <c r="B233" t="str">
        <f t="shared" si="7"/>
        <v>ALR_INTRUSIONE_IN_GALLERIA-Allarme intrusione in galleria</v>
      </c>
      <c r="C233" t="str">
        <f>VLOOKUP(B233,'[2]Classi allarmi RMT-STIG_rev4'!$C:$C,1,0)</f>
        <v>ALR_INTRUSIONE_IN_GALLERIA-Allarme intrusione in galleria</v>
      </c>
      <c r="D233" t="str">
        <f>VLOOKUP(B233,'EXPORT IRIS PROD 13-11-2024'!A:A,1,0)</f>
        <v>ALR_INTRUSIONE_IN_GALLERIA-Allarme intrusione in galleria</v>
      </c>
      <c r="E233" t="str">
        <f>VLOOKUP(H233,'EXPORT IRIS PROD 13-11-2024'!F:F,1,0)</f>
        <v>ALR_INTRUSIONE_IN_GALLERIA</v>
      </c>
      <c r="F233" t="str">
        <f>VLOOKUP(I233,'EXPORT IRIS PROD 13-11-2024'!D:D,1,0)</f>
        <v>Allarme intrusione in galleria</v>
      </c>
      <c r="G233" s="37" t="s">
        <v>471</v>
      </c>
      <c r="H233" s="38" t="s">
        <v>472</v>
      </c>
      <c r="I233" s="45" t="s">
        <v>473</v>
      </c>
      <c r="J233" s="46" t="s">
        <v>201</v>
      </c>
      <c r="K233" s="46" t="s">
        <v>263</v>
      </c>
      <c r="L233" s="47" t="s">
        <v>31</v>
      </c>
      <c r="M233" s="48" t="s">
        <v>32</v>
      </c>
      <c r="N233" s="43">
        <v>1</v>
      </c>
      <c r="O233" s="43" t="s">
        <v>33</v>
      </c>
      <c r="P233" s="43" t="s">
        <v>34</v>
      </c>
      <c r="Q233" s="43" t="s">
        <v>31</v>
      </c>
      <c r="R233" s="56"/>
    </row>
    <row r="234" spans="1:18" customFormat="1" ht="15" customHeight="1" x14ac:dyDescent="0.25">
      <c r="A234" t="str">
        <f t="shared" si="6"/>
        <v>Impianto SOS_Colonnina SOS_ALR_LAMPEGGIANTE-Allarme lampeggiante attivo</v>
      </c>
      <c r="B234" t="str">
        <f t="shared" si="7"/>
        <v>ALR_LAMPEGGIANTE-Allarme lampeggiante attivo</v>
      </c>
      <c r="C234" t="str">
        <f>VLOOKUP(B234,'[2]Classi allarmi RMT-STIG_rev4'!$C:$C,1,0)</f>
        <v>ALR_LAMPEGGIANTE-Allarme lampeggiante attivo</v>
      </c>
      <c r="D234" t="str">
        <f>VLOOKUP(B234,'EXPORT IRIS PROD 13-11-2024'!A:A,1,0)</f>
        <v>ALR_LAMPEGGIANTE-Allarme lampeggiante attivo</v>
      </c>
      <c r="E234" t="str">
        <f>VLOOKUP(H234,'EXPORT IRIS PROD 13-11-2024'!F:F,1,0)</f>
        <v>ALR_LAMPEGGIANTE</v>
      </c>
      <c r="F234" t="str">
        <f>VLOOKUP(I234,'EXPORT IRIS PROD 13-11-2024'!D:D,1,0)</f>
        <v>Allarme lampeggiante attivo</v>
      </c>
      <c r="G234" s="37" t="s">
        <v>26</v>
      </c>
      <c r="H234" s="38" t="s">
        <v>474</v>
      </c>
      <c r="I234" s="45" t="s">
        <v>475</v>
      </c>
      <c r="J234" s="46" t="s">
        <v>29</v>
      </c>
      <c r="K234" s="46" t="s">
        <v>360</v>
      </c>
      <c r="L234" s="47" t="s">
        <v>31</v>
      </c>
      <c r="M234" s="48" t="s">
        <v>32</v>
      </c>
      <c r="N234" s="43">
        <v>1</v>
      </c>
      <c r="O234" s="43" t="s">
        <v>157</v>
      </c>
      <c r="P234" s="43" t="s">
        <v>158</v>
      </c>
      <c r="Q234" s="42" t="s">
        <v>21</v>
      </c>
      <c r="R234" s="49"/>
    </row>
    <row r="235" spans="1:18" customFormat="1" ht="15" customHeight="1" x14ac:dyDescent="0.25">
      <c r="A235" t="str">
        <f t="shared" si="6"/>
        <v>Impianto Elettrico_UPS_ALR_LIV_BATTERIA_BASSO-Allarme batteria in scarica</v>
      </c>
      <c r="B235" t="str">
        <f t="shared" si="7"/>
        <v>ALR_LIV_BATTERIA_BASSO-Allarme batteria in scarica</v>
      </c>
      <c r="C235" t="str">
        <f>VLOOKUP(B235,'[2]Classi allarmi RMT-STIG_rev4'!$C:$C,1,0)</f>
        <v>ALR_LIV_BATTERIA_BASSO-Allarme batteria in scarica</v>
      </c>
      <c r="D235" t="str">
        <f>VLOOKUP(B235,'EXPORT IRIS PROD 13-11-2024'!A:A,1,0)</f>
        <v>ALR_LIV_BATTERIA_BASSO-Allarme batteria in scarica</v>
      </c>
      <c r="E235" t="str">
        <f>VLOOKUP(H235,'EXPORT IRIS PROD 13-11-2024'!F:F,1,0)</f>
        <v>ALR_LIV_BATTERIA_BASSO</v>
      </c>
      <c r="F235" t="str">
        <f>VLOOKUP(I235,'EXPORT IRIS PROD 13-11-2024'!D:D,1,0)</f>
        <v>Allarme batteria in scarica</v>
      </c>
      <c r="G235" s="37" t="s">
        <v>53</v>
      </c>
      <c r="H235" s="38" t="s">
        <v>476</v>
      </c>
      <c r="I235" s="38" t="s">
        <v>477</v>
      </c>
      <c r="J235" s="39" t="s">
        <v>56</v>
      </c>
      <c r="K235" s="39" t="s">
        <v>104</v>
      </c>
      <c r="L235" s="40" t="s">
        <v>21</v>
      </c>
      <c r="M235" s="41" t="s">
        <v>22</v>
      </c>
      <c r="N235" s="42" t="s">
        <v>23</v>
      </c>
      <c r="O235" s="43" t="s">
        <v>24</v>
      </c>
      <c r="P235" s="42" t="s">
        <v>25</v>
      </c>
      <c r="Q235" s="42" t="s">
        <v>21</v>
      </c>
      <c r="R235" s="44"/>
    </row>
    <row r="236" spans="1:18" customFormat="1" ht="15" customHeight="1" x14ac:dyDescent="0.25">
      <c r="A236" t="str">
        <f t="shared" si="6"/>
        <v>Impianto Antincendio_Serbatoio acqua_ALR_LIV_VASCA_ANTINCENDIO-Allarme livello serbatoio acqua in esaurimento</v>
      </c>
      <c r="B236" t="str">
        <f t="shared" si="7"/>
        <v>ALR_LIV_VASCA_ANTINCENDIO-Allarme livello serbatoio acqua in esaurimento</v>
      </c>
      <c r="C236" t="str">
        <f>VLOOKUP(B236,'[2]Classi allarmi RMT-STIG_rev4'!$C:$C,1,0)</f>
        <v>ALR_LIV_VASCA_ANTINCENDIO-Allarme livello serbatoio acqua in esaurimento</v>
      </c>
      <c r="D236" t="str">
        <f>VLOOKUP(B236,'EXPORT IRIS PROD 13-11-2024'!A:A,1,0)</f>
        <v>ALR_LIV_VASCA_ANTINCENDIO-Allarme livello serbatoio acqua in esaurimento</v>
      </c>
      <c r="E236" t="str">
        <f>VLOOKUP(H236,'EXPORT IRIS PROD 13-11-2024'!F:F,1,0)</f>
        <v>ALR_LIV_VASCA_ANTINCENDIO</v>
      </c>
      <c r="F236" t="str">
        <f>VLOOKUP(I236,'EXPORT IRIS PROD 13-11-2024'!D:D,1,0)</f>
        <v>Allarme livello serbatoio acqua in esaurimento</v>
      </c>
      <c r="G236" s="37" t="s">
        <v>35</v>
      </c>
      <c r="H236" s="38" t="s">
        <v>478</v>
      </c>
      <c r="I236" s="38" t="s">
        <v>479</v>
      </c>
      <c r="J236" s="39" t="s">
        <v>38</v>
      </c>
      <c r="K236" s="39" t="s">
        <v>480</v>
      </c>
      <c r="L236" s="40" t="s">
        <v>21</v>
      </c>
      <c r="M236" s="41" t="s">
        <v>22</v>
      </c>
      <c r="N236" s="42" t="s">
        <v>23</v>
      </c>
      <c r="O236" s="43" t="s">
        <v>157</v>
      </c>
      <c r="P236" s="42" t="s">
        <v>158</v>
      </c>
      <c r="Q236" s="42" t="s">
        <v>21</v>
      </c>
      <c r="R236" s="44"/>
    </row>
    <row r="237" spans="1:18" customFormat="1" ht="15" customHeight="1" x14ac:dyDescent="0.25">
      <c r="A237" t="str">
        <f t="shared" si="6"/>
        <v>Impianto Antincendio_Serbatoio acqua_ALR_LIVELLO_ACQUA_BASSO-Allarme livello serbatoio acqua in esaurimento</v>
      </c>
      <c r="B237" t="str">
        <f t="shared" si="7"/>
        <v>ALR_LIVELLO_ACQUA_BASSO-Allarme livello serbatoio acqua in esaurimento</v>
      </c>
      <c r="C237" t="str">
        <f>VLOOKUP(B237,'[2]Classi allarmi RMT-STIG_rev4'!$C:$C,1,0)</f>
        <v>ALR_LIVELLO_ACQUA_BASSO-Allarme livello serbatoio acqua in esaurimento</v>
      </c>
      <c r="D237" t="str">
        <f>VLOOKUP(B237,'EXPORT IRIS PROD 13-11-2024'!A:A,1,0)</f>
        <v>ALR_LIVELLO_ACQUA_BASSO-Allarme livello serbatoio acqua in esaurimento</v>
      </c>
      <c r="E237" t="str">
        <f>VLOOKUP(H237,'EXPORT IRIS PROD 13-11-2024'!F:F,1,0)</f>
        <v>ALR_LIVELLO_ACQUA_BASSO</v>
      </c>
      <c r="F237" t="str">
        <f>VLOOKUP(I237,'EXPORT IRIS PROD 13-11-2024'!D:D,1,0)</f>
        <v>Allarme livello serbatoio acqua in esaurimento</v>
      </c>
      <c r="G237" s="37" t="s">
        <v>35</v>
      </c>
      <c r="H237" s="38" t="s">
        <v>481</v>
      </c>
      <c r="I237" s="38" t="s">
        <v>479</v>
      </c>
      <c r="J237" s="39" t="s">
        <v>38</v>
      </c>
      <c r="K237" s="39" t="s">
        <v>480</v>
      </c>
      <c r="L237" s="40" t="s">
        <v>21</v>
      </c>
      <c r="M237" s="41" t="s">
        <v>22</v>
      </c>
      <c r="N237" s="42" t="s">
        <v>23</v>
      </c>
      <c r="O237" s="43" t="s">
        <v>157</v>
      </c>
      <c r="P237" s="42" t="s">
        <v>158</v>
      </c>
      <c r="Q237" s="42" t="s">
        <v>21</v>
      </c>
      <c r="R237" s="44"/>
    </row>
    <row r="238" spans="1:18" customFormat="1" ht="15" customHeight="1" x14ac:dyDescent="0.25">
      <c r="A238" t="str">
        <f t="shared" si="6"/>
        <v>Impianto Antincendio_Serbatoio acqua_ALR_LIVELLO_ACQUA_MEDIO-Allarme livello acqua medio</v>
      </c>
      <c r="B238" t="str">
        <f t="shared" si="7"/>
        <v>ALR_LIVELLO_ACQUA_MEDIO-Allarme livello acqua medio</v>
      </c>
      <c r="C238" t="str">
        <f>VLOOKUP(B238,'[2]Classi allarmi RMT-STIG_rev4'!$C:$C,1,0)</f>
        <v>ALR_LIVELLO_ACQUA_MEDIO-Allarme livello acqua medio</v>
      </c>
      <c r="D238" t="str">
        <f>VLOOKUP(B238,'EXPORT IRIS PROD 13-11-2024'!A:A,1,0)</f>
        <v>ALR_LIVELLO_ACQUA_MEDIO-Allarme livello acqua medio</v>
      </c>
      <c r="E238" t="str">
        <f>VLOOKUP(H238,'EXPORT IRIS PROD 13-11-2024'!F:F,1,0)</f>
        <v>ALR_LIVELLO_ACQUA_MEDIO</v>
      </c>
      <c r="F238" t="str">
        <f>VLOOKUP(I238,'EXPORT IRIS PROD 13-11-2024'!D:D,1,0)</f>
        <v>Allarme livello acqua medio</v>
      </c>
      <c r="G238" s="37" t="s">
        <v>35</v>
      </c>
      <c r="H238" s="38" t="s">
        <v>482</v>
      </c>
      <c r="I238" s="38" t="s">
        <v>483</v>
      </c>
      <c r="J238" s="39" t="s">
        <v>38</v>
      </c>
      <c r="K238" s="39" t="s">
        <v>480</v>
      </c>
      <c r="L238" s="40" t="s">
        <v>21</v>
      </c>
      <c r="M238" s="41" t="s">
        <v>22</v>
      </c>
      <c r="N238" s="42" t="s">
        <v>23</v>
      </c>
      <c r="O238" s="43" t="s">
        <v>24</v>
      </c>
      <c r="P238" s="42" t="s">
        <v>25</v>
      </c>
      <c r="Q238" s="42" t="s">
        <v>21</v>
      </c>
      <c r="R238" s="44"/>
    </row>
    <row r="239" spans="1:18" customFormat="1" ht="15" customHeight="1" x14ac:dyDescent="0.25">
      <c r="A239" t="str">
        <f t="shared" si="6"/>
        <v>Impianto Elettrico_Gruppo elettrogeno (serbatoio)_ALR_LIVELLO_MASSIMO_COMBUSTIBILE-Allarme livello massimo combustibile</v>
      </c>
      <c r="B239" t="str">
        <f t="shared" si="7"/>
        <v>ALR_LIVELLO_MASSIMO_COMBUSTIBILE-Allarme livello massimo combustibile</v>
      </c>
      <c r="C239" t="str">
        <f>VLOOKUP(B239,'[2]Classi allarmi RMT-STIG_rev4'!$C:$C,1,0)</f>
        <v>ALR_LIVELLO_MASSIMO_COMBUSTIBILE-Allarme livello massimo combustibile</v>
      </c>
      <c r="D239" t="str">
        <f>VLOOKUP(B239,'EXPORT IRIS PROD 13-11-2024'!A:A,1,0)</f>
        <v>ALR_LIVELLO_MASSIMO_COMBUSTIBILE-Allarme livello massimo combustibile</v>
      </c>
      <c r="E239" t="str">
        <f>VLOOKUP(H239,'EXPORT IRIS PROD 13-11-2024'!F:F,1,0)</f>
        <v>ALR_LIVELLO_MASSIMO_COMBUSTIBILE</v>
      </c>
      <c r="F239" t="str">
        <f>VLOOKUP(I239,'EXPORT IRIS PROD 13-11-2024'!D:D,1,0)</f>
        <v>Allarme livello massimo combustibile</v>
      </c>
      <c r="G239" s="37" t="s">
        <v>53</v>
      </c>
      <c r="H239" s="38" t="s">
        <v>484</v>
      </c>
      <c r="I239" s="38" t="s">
        <v>485</v>
      </c>
      <c r="J239" s="39" t="s">
        <v>56</v>
      </c>
      <c r="K239" s="39" t="s">
        <v>137</v>
      </c>
      <c r="L239" s="40" t="s">
        <v>21</v>
      </c>
      <c r="M239" s="41" t="s">
        <v>22</v>
      </c>
      <c r="N239" s="42" t="s">
        <v>23</v>
      </c>
      <c r="O239" s="43" t="s">
        <v>24</v>
      </c>
      <c r="P239" s="42" t="s">
        <v>25</v>
      </c>
      <c r="Q239" s="42" t="s">
        <v>21</v>
      </c>
      <c r="R239" s="44"/>
    </row>
    <row r="240" spans="1:18" customFormat="1" ht="15" customHeight="1" x14ac:dyDescent="0.25">
      <c r="A240" t="str">
        <f t="shared" si="6"/>
        <v>Impianto Antincendio_Motopompa_ALR_LIVELLO_MINIMO_COMBUSTIBILE_1_IMP-Allarme livello minimo combustibile</v>
      </c>
      <c r="B240" t="str">
        <f t="shared" si="7"/>
        <v>ALR_LIVELLO_MINIMO_COMBUSTIBILE_1_IMP-Allarme livello minimo combustibile</v>
      </c>
      <c r="C240" t="str">
        <f>VLOOKUP(B240,'[2]Classi allarmi RMT-STIG_rev4'!$C:$C,1,0)</f>
        <v>ALR_LIVELLO_MINIMO_COMBUSTIBILE_1_IMP-Allarme livello minimo combustibile</v>
      </c>
      <c r="D240" t="str">
        <f>VLOOKUP(B240,'EXPORT IRIS PROD 13-11-2024'!A:A,1,0)</f>
        <v>ALR_LIVELLO_MINIMO_COMBUSTIBILE_1_IMP-Allarme livello minimo combustibile</v>
      </c>
      <c r="E240" t="str">
        <f>VLOOKUP(H240,'EXPORT IRIS PROD 13-11-2024'!F:F,1,0)</f>
        <v>ALR_LIVELLO_MINIMO_COMBUSTIBILE_1_IMP</v>
      </c>
      <c r="F240" t="str">
        <f>VLOOKUP(I240,'EXPORT IRIS PROD 13-11-2024'!D:D,1,0)</f>
        <v>Allarme livello minimo combustibile</v>
      </c>
      <c r="G240" s="37" t="s">
        <v>35</v>
      </c>
      <c r="H240" s="38" t="s">
        <v>486</v>
      </c>
      <c r="I240" s="38" t="s">
        <v>487</v>
      </c>
      <c r="J240" s="39" t="s">
        <v>38</v>
      </c>
      <c r="K240" s="39" t="s">
        <v>172</v>
      </c>
      <c r="L240" s="40" t="s">
        <v>21</v>
      </c>
      <c r="M240" s="41" t="s">
        <v>22</v>
      </c>
      <c r="N240" s="42" t="s">
        <v>23</v>
      </c>
      <c r="O240" s="43" t="s">
        <v>157</v>
      </c>
      <c r="P240" s="42" t="s">
        <v>158</v>
      </c>
      <c r="Q240" s="42" t="s">
        <v>21</v>
      </c>
      <c r="R240" s="44"/>
    </row>
    <row r="241" spans="1:18" customFormat="1" ht="15" customHeight="1" x14ac:dyDescent="0.25">
      <c r="A241" t="str">
        <f t="shared" si="6"/>
        <v>Impianto Elettrico_Gruppo Elettrogeno (serbatoio)_ALR_LIVELLO_MINIMO_COMBUSTIBILE_2_IMP-Allarme livello serbatoio GE in esaurimento Allarme livello serbatoio gasolio in esaurimento</v>
      </c>
      <c r="B241" t="str">
        <f t="shared" si="7"/>
        <v>ALR_LIVELLO_MINIMO_COMBUSTIBILE_2_IMP-Allarme livello serbatoio GE in esaurimento Allarme livello serbatoio gasolio in esaurimento</v>
      </c>
      <c r="C241" t="e">
        <f>VLOOKUP(B241,'[2]Classi allarmi RMT-STIG_rev4'!$C:$C,1,0)</f>
        <v>#N/A</v>
      </c>
      <c r="D241" s="86" t="e">
        <f>VLOOKUP(B241,'EXPORT IRIS PROD 13-11-2024'!A:A,1,0)</f>
        <v>#N/A</v>
      </c>
      <c r="E241" t="str">
        <f>VLOOKUP(H241,'EXPORT IRIS PROD 13-11-2024'!F:F,1,0)</f>
        <v>ALR_LIVELLO_MINIMO_COMBUSTIBILE_2_IMP</v>
      </c>
      <c r="F241" t="e">
        <f>VLOOKUP(I241,'EXPORT IRIS PROD 13-11-2024'!D:D,1,0)</f>
        <v>#N/A</v>
      </c>
      <c r="G241" s="37" t="s">
        <v>53</v>
      </c>
      <c r="H241" s="38" t="s">
        <v>488</v>
      </c>
      <c r="I241" s="38" t="s">
        <v>489</v>
      </c>
      <c r="J241" s="39" t="s">
        <v>56</v>
      </c>
      <c r="K241" s="39" t="s">
        <v>490</v>
      </c>
      <c r="L241" s="40" t="s">
        <v>21</v>
      </c>
      <c r="M241" s="41" t="s">
        <v>22</v>
      </c>
      <c r="N241" s="42" t="s">
        <v>23</v>
      </c>
      <c r="O241" s="43" t="s">
        <v>24</v>
      </c>
      <c r="P241" s="42" t="s">
        <v>25</v>
      </c>
      <c r="Q241" s="42" t="s">
        <v>21</v>
      </c>
      <c r="R241" s="44"/>
    </row>
    <row r="242" spans="1:18" customFormat="1" ht="15" customHeight="1" x14ac:dyDescent="0.25">
      <c r="A242" t="str">
        <f t="shared" si="6"/>
        <v>Impianto Elettrico_Serbatoio gasolio_ALR_LIVELLO_MINIMO_COMBUSTIBILE_2_IMP-Allarme livello serbatoio gasolio in esaurimento</v>
      </c>
      <c r="B242" t="str">
        <f t="shared" si="7"/>
        <v>ALR_LIVELLO_MINIMO_COMBUSTIBILE_2_IMP-Allarme livello serbatoio gasolio in esaurimento</v>
      </c>
      <c r="C242" t="str">
        <f>VLOOKUP(B242,'[2]Classi allarmi RMT-STIG_rev4'!$C:$C,1,0)</f>
        <v>ALR_LIVELLO_MINIMO_COMBUSTIBILE_2_IMP-Allarme livello serbatoio gasolio in esaurimento</v>
      </c>
      <c r="D242" t="str">
        <f>VLOOKUP(B242,'EXPORT IRIS PROD 13-11-2024'!A:A,1,0)</f>
        <v>ALR_LIVELLO_MINIMO_COMBUSTIBILE_2_IMP-Allarme livello serbatoio gasolio in esaurimento</v>
      </c>
      <c r="E242" t="str">
        <f>VLOOKUP(H242,'EXPORT IRIS PROD 13-11-2024'!F:F,1,0)</f>
        <v>ALR_LIVELLO_MINIMO_COMBUSTIBILE_2_IMP</v>
      </c>
      <c r="F242" t="str">
        <f>VLOOKUP(I242,'EXPORT IRIS PROD 13-11-2024'!D:D,1,0)</f>
        <v>Allarme livello serbatoio gasolio in esaurimento</v>
      </c>
      <c r="G242" s="37" t="s">
        <v>53</v>
      </c>
      <c r="H242" s="38" t="s">
        <v>488</v>
      </c>
      <c r="I242" s="38" t="s">
        <v>155</v>
      </c>
      <c r="J242" s="39" t="s">
        <v>56</v>
      </c>
      <c r="K242" s="39" t="s">
        <v>156</v>
      </c>
      <c r="L242" s="40" t="s">
        <v>21</v>
      </c>
      <c r="M242" s="41" t="s">
        <v>22</v>
      </c>
      <c r="N242" s="42" t="s">
        <v>23</v>
      </c>
      <c r="O242" s="43" t="s">
        <v>24</v>
      </c>
      <c r="P242" s="42" t="s">
        <v>25</v>
      </c>
      <c r="Q242" s="42" t="s">
        <v>21</v>
      </c>
      <c r="R242" s="44"/>
    </row>
    <row r="243" spans="1:18" customFormat="1" ht="15" customHeight="1" x14ac:dyDescent="0.25">
      <c r="A243" t="str">
        <f t="shared" si="6"/>
        <v>Impianto Elettrico_UPS_ALR_MANCANZA_POTENZA-Allarme mancanza potenza</v>
      </c>
      <c r="B243" t="str">
        <f t="shared" si="7"/>
        <v>ALR_MANCANZA_POTENZA-Allarme mancanza potenza</v>
      </c>
      <c r="C243" t="str">
        <f>VLOOKUP(B243,'[2]Classi allarmi RMT-STIG_rev4'!$C:$C,1,0)</f>
        <v>ALR_MANCANZA_POTENZA-Allarme mancanza potenza</v>
      </c>
      <c r="D243" t="str">
        <f>VLOOKUP(B243,'EXPORT IRIS PROD 13-11-2024'!A:A,1,0)</f>
        <v>ALR_MANCANZA_POTENZA-Allarme mancanza potenza</v>
      </c>
      <c r="E243" t="str">
        <f>VLOOKUP(H243,'EXPORT IRIS PROD 13-11-2024'!F:F,1,0)</f>
        <v>ALR_MANCANZA_POTENZA</v>
      </c>
      <c r="F243" t="str">
        <f>VLOOKUP(I243,'EXPORT IRIS PROD 13-11-2024'!D:D,1,0)</f>
        <v>Allarme mancanza potenza</v>
      </c>
      <c r="G243" s="37" t="s">
        <v>53</v>
      </c>
      <c r="H243" s="38" t="s">
        <v>491</v>
      </c>
      <c r="I243" s="38" t="s">
        <v>492</v>
      </c>
      <c r="J243" s="39" t="s">
        <v>56</v>
      </c>
      <c r="K243" s="39" t="s">
        <v>104</v>
      </c>
      <c r="L243" s="40" t="s">
        <v>21</v>
      </c>
      <c r="M243" s="41" t="s">
        <v>22</v>
      </c>
      <c r="N243" s="42" t="s">
        <v>23</v>
      </c>
      <c r="O243" s="43" t="s">
        <v>24</v>
      </c>
      <c r="P243" s="42" t="s">
        <v>25</v>
      </c>
      <c r="Q243" s="42" t="s">
        <v>21</v>
      </c>
      <c r="R243" s="44"/>
    </row>
    <row r="244" spans="1:18" customFormat="1" ht="15" customHeight="1" x14ac:dyDescent="0.25">
      <c r="A244" t="str">
        <f t="shared" si="6"/>
        <v>Impianto Elettrico_Gruppo elettrogeno_ALR_MANCATA_APERTURA_GCB-Allarme mancata apertura contattore generatore</v>
      </c>
      <c r="B244" t="str">
        <f t="shared" si="7"/>
        <v>ALR_MANCATA_APERTURA_GCB-Allarme mancata apertura contattore generatore</v>
      </c>
      <c r="C244" t="str">
        <f>VLOOKUP(B244,'[2]Classi allarmi RMT-STIG_rev4'!$C:$C,1,0)</f>
        <v>ALR_MANCATA_APERTURA_GCB-Allarme mancata apertura contattore generatore</v>
      </c>
      <c r="D244" t="str">
        <f>VLOOKUP(B244,'EXPORT IRIS PROD 13-11-2024'!A:A,1,0)</f>
        <v>ALR_MANCATA_APERTURA_GCB-Allarme mancata apertura contattore generatore</v>
      </c>
      <c r="E244" t="str">
        <f>VLOOKUP(H244,'EXPORT IRIS PROD 13-11-2024'!F:F,1,0)</f>
        <v>ALR_MANCATA_APERTURA_GCB</v>
      </c>
      <c r="F244" t="str">
        <f>VLOOKUP(I244,'EXPORT IRIS PROD 13-11-2024'!D:D,1,0)</f>
        <v>Allarme mancata apertura contattore generatore</v>
      </c>
      <c r="G244" s="37" t="s">
        <v>53</v>
      </c>
      <c r="H244" s="38" t="s">
        <v>493</v>
      </c>
      <c r="I244" s="38" t="s">
        <v>494</v>
      </c>
      <c r="J244" s="39" t="s">
        <v>56</v>
      </c>
      <c r="K244" s="39" t="s">
        <v>57</v>
      </c>
      <c r="L244" s="40" t="s">
        <v>21</v>
      </c>
      <c r="M244" s="41" t="s">
        <v>22</v>
      </c>
      <c r="N244" s="42" t="s">
        <v>23</v>
      </c>
      <c r="O244" s="43" t="s">
        <v>24</v>
      </c>
      <c r="P244" s="42" t="s">
        <v>25</v>
      </c>
      <c r="Q244" s="42" t="s">
        <v>21</v>
      </c>
      <c r="R244" s="44"/>
    </row>
    <row r="245" spans="1:18" ht="15" customHeight="1" x14ac:dyDescent="0.25">
      <c r="A245" t="str">
        <f t="shared" si="6"/>
        <v>Impianto Elettrico_Gruppo elettrogeno_ALR_MANCATA_APERTURA_MCB-Allarme mancata apertura contattore di rete</v>
      </c>
      <c r="B245" t="str">
        <f t="shared" si="7"/>
        <v>ALR_MANCATA_APERTURA_MCB-Allarme mancata apertura contattore di rete</v>
      </c>
      <c r="C245" t="str">
        <f>VLOOKUP(B245,'[2]Classi allarmi RMT-STIG_rev4'!$C:$C,1,0)</f>
        <v>ALR_MANCATA_APERTURA_MCB-Allarme mancata apertura contattore di rete</v>
      </c>
      <c r="D245" t="str">
        <f>VLOOKUP(B245,'EXPORT IRIS PROD 13-11-2024'!A:A,1,0)</f>
        <v>ALR_MANCATA_APERTURA_MCB-Allarme mancata apertura contattore di rete</v>
      </c>
      <c r="E245" t="str">
        <f>VLOOKUP(H245,'EXPORT IRIS PROD 13-11-2024'!F:F,1,0)</f>
        <v>ALR_MANCATA_APERTURA_MCB</v>
      </c>
      <c r="F245" t="str">
        <f>VLOOKUP(I245,'EXPORT IRIS PROD 13-11-2024'!D:D,1,0)</f>
        <v>Allarme mancata apertura contattore di rete</v>
      </c>
      <c r="G245" s="37" t="s">
        <v>53</v>
      </c>
      <c r="H245" s="38" t="s">
        <v>495</v>
      </c>
      <c r="I245" s="38" t="s">
        <v>496</v>
      </c>
      <c r="J245" s="39" t="s">
        <v>56</v>
      </c>
      <c r="K245" s="39" t="s">
        <v>57</v>
      </c>
      <c r="L245" s="40" t="s">
        <v>21</v>
      </c>
      <c r="M245" s="41" t="s">
        <v>22</v>
      </c>
      <c r="N245" s="42" t="s">
        <v>23</v>
      </c>
      <c r="O245" s="43" t="s">
        <v>24</v>
      </c>
      <c r="P245" s="42" t="s">
        <v>25</v>
      </c>
      <c r="Q245" s="42" t="s">
        <v>21</v>
      </c>
      <c r="R245" s="44"/>
    </row>
    <row r="246" spans="1:18" customFormat="1" ht="15" customHeight="1" x14ac:dyDescent="0.25">
      <c r="A246" t="str">
        <f t="shared" si="6"/>
        <v>Impianto Elettrico_Gruppo elettrogeno_ALR_MANCATA_CHIUSURA_GCB-Allarme mancata chiusura contattore generatore</v>
      </c>
      <c r="B246" t="str">
        <f t="shared" si="7"/>
        <v>ALR_MANCATA_CHIUSURA_GCB-Allarme mancata chiusura contattore generatore</v>
      </c>
      <c r="C246" t="str">
        <f>VLOOKUP(B246,'[2]Classi allarmi RMT-STIG_rev4'!$C:$C,1,0)</f>
        <v>ALR_MANCATA_CHIUSURA_GCB-Allarme mancata chiusura contattore generatore</v>
      </c>
      <c r="D246" t="str">
        <f>VLOOKUP(B246,'EXPORT IRIS PROD 13-11-2024'!A:A,1,0)</f>
        <v>ALR_MANCATA_CHIUSURA_GCB-Allarme mancata chiusura contattore generatore</v>
      </c>
      <c r="E246" t="str">
        <f>VLOOKUP(H246,'EXPORT IRIS PROD 13-11-2024'!F:F,1,0)</f>
        <v>ALR_MANCATA_CHIUSURA_GCB</v>
      </c>
      <c r="F246" t="str">
        <f>VLOOKUP(I246,'EXPORT IRIS PROD 13-11-2024'!D:D,1,0)</f>
        <v>Allarme mancata chiusura contattore generatore</v>
      </c>
      <c r="G246" s="37" t="s">
        <v>53</v>
      </c>
      <c r="H246" s="38" t="s">
        <v>497</v>
      </c>
      <c r="I246" s="38" t="s">
        <v>498</v>
      </c>
      <c r="J246" s="39" t="s">
        <v>56</v>
      </c>
      <c r="K246" s="39" t="s">
        <v>57</v>
      </c>
      <c r="L246" s="40" t="s">
        <v>21</v>
      </c>
      <c r="M246" s="41" t="s">
        <v>22</v>
      </c>
      <c r="N246" s="42" t="s">
        <v>23</v>
      </c>
      <c r="O246" s="43" t="s">
        <v>24</v>
      </c>
      <c r="P246" s="42" t="s">
        <v>25</v>
      </c>
      <c r="Q246" s="42" t="s">
        <v>21</v>
      </c>
      <c r="R246" s="44"/>
    </row>
    <row r="247" spans="1:18" customFormat="1" ht="15" customHeight="1" x14ac:dyDescent="0.25">
      <c r="A247" t="str">
        <f t="shared" si="6"/>
        <v>Impianto Elettrico_Gruppo elettrogeno_ALR_MANCATA_CHIUSURA_MCB-Allarme mancata chiusura contattore di rete</v>
      </c>
      <c r="B247" t="str">
        <f t="shared" si="7"/>
        <v>ALR_MANCATA_CHIUSURA_MCB-Allarme mancata chiusura contattore di rete</v>
      </c>
      <c r="C247" t="str">
        <f>VLOOKUP(B247,'[2]Classi allarmi RMT-STIG_rev4'!$C:$C,1,0)</f>
        <v>ALR_MANCATA_CHIUSURA_MCB-Allarme mancata chiusura contattore di rete</v>
      </c>
      <c r="D247" t="str">
        <f>VLOOKUP(B247,'EXPORT IRIS PROD 13-11-2024'!A:A,1,0)</f>
        <v>ALR_MANCATA_CHIUSURA_MCB-Allarme mancata chiusura contattore di rete</v>
      </c>
      <c r="E247" t="str">
        <f>VLOOKUP(H247,'EXPORT IRIS PROD 13-11-2024'!F:F,1,0)</f>
        <v>ALR_MANCATA_CHIUSURA_MCB</v>
      </c>
      <c r="F247" t="str">
        <f>VLOOKUP(I247,'EXPORT IRIS PROD 13-11-2024'!D:D,1,0)</f>
        <v>Allarme mancata chiusura contattore di rete</v>
      </c>
      <c r="G247" s="37" t="s">
        <v>53</v>
      </c>
      <c r="H247" s="38" t="s">
        <v>499</v>
      </c>
      <c r="I247" s="38" t="s">
        <v>500</v>
      </c>
      <c r="J247" s="39" t="s">
        <v>56</v>
      </c>
      <c r="K247" s="39" t="s">
        <v>57</v>
      </c>
      <c r="L247" s="40" t="s">
        <v>21</v>
      </c>
      <c r="M247" s="41" t="s">
        <v>22</v>
      </c>
      <c r="N247" s="42" t="s">
        <v>23</v>
      </c>
      <c r="O247" s="43" t="s">
        <v>24</v>
      </c>
      <c r="P247" s="42" t="s">
        <v>25</v>
      </c>
      <c r="Q247" s="42" t="s">
        <v>21</v>
      </c>
      <c r="R247" s="44"/>
    </row>
    <row r="248" spans="1:18" ht="15" customHeight="1" x14ac:dyDescent="0.25">
      <c r="A248" t="str">
        <f t="shared" si="6"/>
        <v>Impianto Ventilazione_Ventilatore_ALR_MANCATO_ARRESTO-Allarme mancato arresto ventilatore</v>
      </c>
      <c r="B248" t="str">
        <f t="shared" si="7"/>
        <v>ALR_MANCATO_ARRESTO-Allarme mancato arresto ventilatore</v>
      </c>
      <c r="C248" t="str">
        <f>VLOOKUP(B248,'[2]Classi allarmi RMT-STIG_rev4'!$C:$C,1,0)</f>
        <v>ALR_MANCATO_ARRESTO-Allarme mancato arresto ventilatore</v>
      </c>
      <c r="D248" t="str">
        <f>VLOOKUP(B248,'EXPORT IRIS PROD 13-11-2024'!A:A,1,0)</f>
        <v>ALR_MANCATO_ARRESTO-Allarme mancato arresto ventilatore</v>
      </c>
      <c r="E248" t="str">
        <f>VLOOKUP(H248,'EXPORT IRIS PROD 13-11-2024'!F:F,1,0)</f>
        <v>ALR_MANCATO_ARRESTO</v>
      </c>
      <c r="F248" t="str">
        <f>VLOOKUP(I248,'EXPORT IRIS PROD 13-11-2024'!D:D,1,0)</f>
        <v>Allarme mancato arresto ventilatore</v>
      </c>
      <c r="G248" s="37" t="s">
        <v>85</v>
      </c>
      <c r="H248" s="38" t="s">
        <v>501</v>
      </c>
      <c r="I248" s="38" t="s">
        <v>502</v>
      </c>
      <c r="J248" s="39" t="s">
        <v>50</v>
      </c>
      <c r="K248" s="39" t="s">
        <v>124</v>
      </c>
      <c r="L248" s="40" t="s">
        <v>21</v>
      </c>
      <c r="M248" s="41" t="s">
        <v>22</v>
      </c>
      <c r="N248" s="42" t="s">
        <v>23</v>
      </c>
      <c r="O248" s="43" t="s">
        <v>24</v>
      </c>
      <c r="P248" s="42" t="s">
        <v>25</v>
      </c>
      <c r="Q248" s="42" t="s">
        <v>21</v>
      </c>
      <c r="R248" s="44"/>
    </row>
    <row r="249" spans="1:18" ht="15" customHeight="1" x14ac:dyDescent="0.25">
      <c r="A249" t="str">
        <f t="shared" si="6"/>
        <v>Impianto Elettrico_Gruppo elettrogeno_ALR_MANCATO_AVVIO-Allarme mancato avvio Gruppo Elettrogeno</v>
      </c>
      <c r="B249" t="str">
        <f t="shared" si="7"/>
        <v>ALR_MANCATO_AVVIO-Allarme mancato avvio Gruppo Elettrogeno</v>
      </c>
      <c r="C249" t="str">
        <f>VLOOKUP(B249,'[2]Classi allarmi RMT-STIG_rev4'!$C:$C,1,0)</f>
        <v>ALR_MANCATO_AVVIO-Allarme mancato avvio Gruppo Elettrogeno</v>
      </c>
      <c r="D249" t="str">
        <f>VLOOKUP(B249,'EXPORT IRIS PROD 13-11-2024'!A:A,1,0)</f>
        <v>ALR_MANCATO_AVVIO-Allarme mancato avvio Gruppo Elettrogeno</v>
      </c>
      <c r="E249" t="str">
        <f>VLOOKUP(H249,'EXPORT IRIS PROD 13-11-2024'!F:F,1,0)</f>
        <v>ALR_MANCATO_AVVIO</v>
      </c>
      <c r="F249" t="str">
        <f>VLOOKUP(I249,'EXPORT IRIS PROD 13-11-2024'!D:D,1,0)</f>
        <v>Allarme mancato avvio Gruppo Elettrogeno</v>
      </c>
      <c r="G249" s="37" t="s">
        <v>53</v>
      </c>
      <c r="H249" s="38" t="s">
        <v>503</v>
      </c>
      <c r="I249" s="38" t="s">
        <v>504</v>
      </c>
      <c r="J249" s="39" t="s">
        <v>56</v>
      </c>
      <c r="K249" s="39" t="s">
        <v>57</v>
      </c>
      <c r="L249" s="40" t="s">
        <v>21</v>
      </c>
      <c r="M249" s="41" t="s">
        <v>22</v>
      </c>
      <c r="N249" s="42" t="s">
        <v>23</v>
      </c>
      <c r="O249" s="43" t="s">
        <v>157</v>
      </c>
      <c r="P249" s="42" t="s">
        <v>158</v>
      </c>
      <c r="Q249" s="42" t="s">
        <v>21</v>
      </c>
      <c r="R249" s="44"/>
    </row>
    <row r="250" spans="1:18" ht="15" customHeight="1" x14ac:dyDescent="0.25">
      <c r="A250" t="str">
        <f t="shared" si="6"/>
        <v>Impianto Ventilazione_Ventilatore_ALR_MANCATO_AVVIO_VENTILATORE-Allarme mancato avvio ventilatore</v>
      </c>
      <c r="B250" t="str">
        <f t="shared" si="7"/>
        <v>ALR_MANCATO_AVVIO_VENTILATORE-Allarme mancato avvio ventilatore</v>
      </c>
      <c r="C250" t="str">
        <f>VLOOKUP(B250,'[2]Classi allarmi RMT-STIG_rev4'!$C:$C,1,0)</f>
        <v>ALR_MANCATO_AVVIO_VENTILATORE-Allarme mancato avvio ventilatore</v>
      </c>
      <c r="D250" t="str">
        <f>VLOOKUP(B250,'EXPORT IRIS PROD 13-11-2024'!A:A,1,0)</f>
        <v>ALR_MANCATO_AVVIO_VENTILATORE-Allarme mancato avvio ventilatore</v>
      </c>
      <c r="E250" t="str">
        <f>VLOOKUP(H250,'EXPORT IRIS PROD 13-11-2024'!F:F,1,0)</f>
        <v>ALR_MANCATO_AVVIO_VENTILATORE</v>
      </c>
      <c r="F250" t="str">
        <f>VLOOKUP(I250,'EXPORT IRIS PROD 13-11-2024'!D:D,1,0)</f>
        <v>Allarme mancato avvio ventilatore</v>
      </c>
      <c r="G250" s="37" t="s">
        <v>85</v>
      </c>
      <c r="H250" s="38" t="s">
        <v>505</v>
      </c>
      <c r="I250" s="38" t="s">
        <v>506</v>
      </c>
      <c r="J250" s="39" t="s">
        <v>50</v>
      </c>
      <c r="K250" s="39" t="s">
        <v>124</v>
      </c>
      <c r="L250" s="40" t="s">
        <v>21</v>
      </c>
      <c r="M250" s="41" t="s">
        <v>22</v>
      </c>
      <c r="N250" s="42" t="s">
        <v>23</v>
      </c>
      <c r="O250" s="43" t="s">
        <v>24</v>
      </c>
      <c r="P250" s="42" t="s">
        <v>25</v>
      </c>
      <c r="Q250" s="42" t="s">
        <v>21</v>
      </c>
      <c r="R250" s="44"/>
    </row>
    <row r="251" spans="1:18" ht="15" customHeight="1" x14ac:dyDescent="0.25">
      <c r="A251" t="str">
        <f t="shared" si="6"/>
        <v>Impianto Videosorveglianza_Telecamera passiva_ALR_MANOMISSIONE-Allarme intrusione in cabina</v>
      </c>
      <c r="B251" t="str">
        <f t="shared" si="7"/>
        <v>ALR_MANOMISSIONE-Allarme intrusione in cabina</v>
      </c>
      <c r="C251" t="str">
        <f>VLOOKUP(B251,'[2]Classi allarmi RMT-STIG_rev4'!$C:$C,1,0)</f>
        <v>ALR_MANOMISSIONE-Allarme intrusione in cabina</v>
      </c>
      <c r="D251" t="str">
        <f>VLOOKUP(B251,'EXPORT IRIS PROD 13-11-2024'!A:A,1,0)</f>
        <v>ALR_MANOMISSIONE-Allarme intrusione in cabina</v>
      </c>
      <c r="E251" t="str">
        <f>VLOOKUP(H251,'EXPORT IRIS PROD 13-11-2024'!F:F,1,0)</f>
        <v>ALR_MANOMISSIONE</v>
      </c>
      <c r="F251" t="str">
        <f>VLOOKUP(I251,'EXPORT IRIS PROD 13-11-2024'!D:D,1,0)</f>
        <v>Allarme intrusione in cabina</v>
      </c>
      <c r="G251" s="37" t="s">
        <v>468</v>
      </c>
      <c r="H251" s="38" t="s">
        <v>507</v>
      </c>
      <c r="I251" s="38" t="s">
        <v>470</v>
      </c>
      <c r="J251" s="39" t="s">
        <v>201</v>
      </c>
      <c r="K251" s="39" t="s">
        <v>263</v>
      </c>
      <c r="L251" s="40" t="s">
        <v>31</v>
      </c>
      <c r="M251" s="41" t="s">
        <v>32</v>
      </c>
      <c r="N251" s="43">
        <v>2</v>
      </c>
      <c r="O251" s="43" t="s">
        <v>33</v>
      </c>
      <c r="P251" s="42" t="s">
        <v>34</v>
      </c>
      <c r="Q251" s="42" t="s">
        <v>31</v>
      </c>
      <c r="R251" s="56"/>
    </row>
    <row r="252" spans="1:18" customFormat="1" ht="15" customHeight="1" x14ac:dyDescent="0.25">
      <c r="A252" t="str">
        <f t="shared" si="6"/>
        <v>Impianto Elettrico_Centralina intrusione in cabina/Sensore movimento in cabina_ALR_MANOMISSIONE-Allarme intrusione in cabina</v>
      </c>
      <c r="B252" t="str">
        <f t="shared" si="7"/>
        <v>ALR_MANOMISSIONE-Allarme intrusione in cabina</v>
      </c>
      <c r="C252" t="str">
        <f>VLOOKUP(B252,'[2]Classi allarmi RMT-STIG_rev4'!$C:$C,1,0)</f>
        <v>ALR_MANOMISSIONE-Allarme intrusione in cabina</v>
      </c>
      <c r="D252" t="str">
        <f>VLOOKUP(B252,'EXPORT IRIS PROD 13-11-2024'!A:A,1,0)</f>
        <v>ALR_MANOMISSIONE-Allarme intrusione in cabina</v>
      </c>
      <c r="E252" t="str">
        <f>VLOOKUP(H252,'EXPORT IRIS PROD 13-11-2024'!F:F,1,0)</f>
        <v>ALR_MANOMISSIONE</v>
      </c>
      <c r="F252" t="str">
        <f>VLOOKUP(I252,'EXPORT IRIS PROD 13-11-2024'!D:D,1,0)</f>
        <v>Allarme intrusione in cabina</v>
      </c>
      <c r="G252" s="37" t="s">
        <v>468</v>
      </c>
      <c r="H252" s="38" t="s">
        <v>507</v>
      </c>
      <c r="I252" s="38" t="s">
        <v>470</v>
      </c>
      <c r="J252" s="39" t="s">
        <v>56</v>
      </c>
      <c r="K252" s="53" t="s">
        <v>508</v>
      </c>
      <c r="L252" s="40" t="s">
        <v>31</v>
      </c>
      <c r="M252" s="41" t="s">
        <v>32</v>
      </c>
      <c r="N252" s="43">
        <v>2</v>
      </c>
      <c r="O252" s="43" t="s">
        <v>33</v>
      </c>
      <c r="P252" s="42" t="s">
        <v>34</v>
      </c>
      <c r="Q252" s="42" t="s">
        <v>31</v>
      </c>
      <c r="R252" s="56"/>
    </row>
    <row r="253" spans="1:18" customFormat="1" ht="15" customHeight="1" x14ac:dyDescent="0.25">
      <c r="A253" t="str">
        <f t="shared" si="6"/>
        <v>Impianto Videosorveglianza_Telecamera attiva_ALR_MANOMISSIONE-Allarme intrusione in cabina</v>
      </c>
      <c r="B253" t="str">
        <f t="shared" si="7"/>
        <v>ALR_MANOMISSIONE-Allarme intrusione in cabina</v>
      </c>
      <c r="C253" t="str">
        <f>VLOOKUP(B253,'[2]Classi allarmi RMT-STIG_rev4'!$C:$C,1,0)</f>
        <v>ALR_MANOMISSIONE-Allarme intrusione in cabina</v>
      </c>
      <c r="D253" t="str">
        <f>VLOOKUP(B253,'EXPORT IRIS PROD 13-11-2024'!A:A,1,0)</f>
        <v>ALR_MANOMISSIONE-Allarme intrusione in cabina</v>
      </c>
      <c r="E253" t="str">
        <f>VLOOKUP(H253,'EXPORT IRIS PROD 13-11-2024'!F:F,1,0)</f>
        <v>ALR_MANOMISSIONE</v>
      </c>
      <c r="F253" t="str">
        <f>VLOOKUP(I253,'EXPORT IRIS PROD 13-11-2024'!D:D,1,0)</f>
        <v>Allarme intrusione in cabina</v>
      </c>
      <c r="G253" s="37" t="s">
        <v>468</v>
      </c>
      <c r="H253" s="38" t="s">
        <v>507</v>
      </c>
      <c r="I253" s="38" t="s">
        <v>470</v>
      </c>
      <c r="J253" s="39" t="s">
        <v>201</v>
      </c>
      <c r="K253" s="39" t="s">
        <v>380</v>
      </c>
      <c r="L253" s="40" t="s">
        <v>31</v>
      </c>
      <c r="M253" s="41" t="s">
        <v>32</v>
      </c>
      <c r="N253" s="43">
        <v>2</v>
      </c>
      <c r="O253" s="43" t="s">
        <v>33</v>
      </c>
      <c r="P253" s="42" t="s">
        <v>34</v>
      </c>
      <c r="Q253" s="42" t="s">
        <v>31</v>
      </c>
      <c r="R253" s="56"/>
    </row>
    <row r="254" spans="1:18" customFormat="1" ht="15" customHeight="1" x14ac:dyDescent="0.25">
      <c r="A254" t="str">
        <f t="shared" si="6"/>
        <v>Impianto Elettrico_Gruppo elettrogeno_ALR_MANUTENZIONE_SCADUTA-Allarme manutenzione scaduta</v>
      </c>
      <c r="B254" t="str">
        <f t="shared" si="7"/>
        <v>ALR_MANUTENZIONE_SCADUTA-Allarme manutenzione scaduta</v>
      </c>
      <c r="C254" t="str">
        <f>VLOOKUP(B254,'[2]Classi allarmi RMT-STIG_rev4'!$C:$C,1,0)</f>
        <v>ALR_MANUTENZIONE_SCADUTA-Allarme manutenzione scaduta</v>
      </c>
      <c r="D254" t="str">
        <f>VLOOKUP(B254,'EXPORT IRIS PROD 13-11-2024'!A:A,1,0)</f>
        <v>ALR_MANUTENZIONE_SCADUTA-Allarme manutenzione scaduta</v>
      </c>
      <c r="E254" t="str">
        <f>VLOOKUP(H254,'EXPORT IRIS PROD 13-11-2024'!F:F,1,0)</f>
        <v>ALR_MANUTENZIONE_SCADUTA</v>
      </c>
      <c r="F254" t="str">
        <f>VLOOKUP(I254,'EXPORT IRIS PROD 13-11-2024'!D:D,1,0)</f>
        <v>Allarme manutenzione scaduta</v>
      </c>
      <c r="G254" s="37" t="s">
        <v>53</v>
      </c>
      <c r="H254" s="38" t="s">
        <v>509</v>
      </c>
      <c r="I254" s="38" t="s">
        <v>510</v>
      </c>
      <c r="J254" s="39" t="s">
        <v>56</v>
      </c>
      <c r="K254" s="50" t="s">
        <v>57</v>
      </c>
      <c r="L254" s="40" t="s">
        <v>21</v>
      </c>
      <c r="M254" s="41" t="s">
        <v>22</v>
      </c>
      <c r="N254" s="42" t="s">
        <v>23</v>
      </c>
      <c r="O254" s="43" t="s">
        <v>24</v>
      </c>
      <c r="P254" s="42" t="s">
        <v>25</v>
      </c>
      <c r="Q254" s="42" t="s">
        <v>21</v>
      </c>
      <c r="R254" s="44"/>
    </row>
    <row r="255" spans="1:18" customFormat="1" ht="15" customHeight="1" x14ac:dyDescent="0.25">
      <c r="A255" t="str">
        <f t="shared" si="6"/>
        <v>Impianto Antincendio_Motopompa_ALR_MINIMO_LIV_CARBURANTE_MOTOPOMPA-Allarme minimo livello carburante motopompa</v>
      </c>
      <c r="B255" t="str">
        <f t="shared" si="7"/>
        <v>ALR_MINIMO_LIV_CARBURANTE_MOTOPOMPA-Allarme minimo livello carburante motopompa</v>
      </c>
      <c r="C255" t="str">
        <f>VLOOKUP(B255,'[2]Classi allarmi RMT-STIG_rev4'!$C:$C,1,0)</f>
        <v>ALR_MINIMO_LIV_CARBURANTE_MOTOPOMPA-Allarme minimo livello carburante motopompa</v>
      </c>
      <c r="D255" t="str">
        <f>VLOOKUP(B255,'EXPORT IRIS PROD 13-11-2024'!A:A,1,0)</f>
        <v>ALR_MINIMO_LIV_CARBURANTE_MOTOPOMPA-Allarme minimo livello carburante motopompa</v>
      </c>
      <c r="E255" t="str">
        <f>VLOOKUP(H255,'EXPORT IRIS PROD 13-11-2024'!F:F,1,0)</f>
        <v>ALR_MINIMO_LIV_CARBURANTE_MOTOPOMPA</v>
      </c>
      <c r="F255" t="str">
        <f>VLOOKUP(I255,'EXPORT IRIS PROD 13-11-2024'!D:D,1,0)</f>
        <v>Allarme minimo livello carburante motopompa</v>
      </c>
      <c r="G255" s="37" t="s">
        <v>35</v>
      </c>
      <c r="H255" s="38" t="s">
        <v>511</v>
      </c>
      <c r="I255" s="38" t="s">
        <v>512</v>
      </c>
      <c r="J255" s="39" t="s">
        <v>38</v>
      </c>
      <c r="K255" s="39" t="s">
        <v>172</v>
      </c>
      <c r="L255" s="40" t="s">
        <v>21</v>
      </c>
      <c r="M255" s="41" t="s">
        <v>22</v>
      </c>
      <c r="N255" s="42" t="s">
        <v>23</v>
      </c>
      <c r="O255" s="43" t="s">
        <v>157</v>
      </c>
      <c r="P255" s="42" t="s">
        <v>158</v>
      </c>
      <c r="Q255" s="42" t="s">
        <v>21</v>
      </c>
      <c r="R255" s="44"/>
    </row>
    <row r="256" spans="1:18" customFormat="1" ht="15" customHeight="1" x14ac:dyDescent="0.25">
      <c r="A256" t="str">
        <f t="shared" si="6"/>
        <v>Impianto Ventilazione_CO_ALR_MONOSSIDO-Allarme guasto sensore CO</v>
      </c>
      <c r="B256" t="str">
        <f t="shared" si="7"/>
        <v>ALR_MONOSSIDO-Allarme guasto sensore CO</v>
      </c>
      <c r="C256" t="str">
        <f>VLOOKUP(B256,'[2]Classi allarmi RMT-STIG_rev4'!$C:$C,1,0)</f>
        <v>ALR_MONOSSIDO-Allarme guasto sensore CO</v>
      </c>
      <c r="D256" t="str">
        <f>VLOOKUP(B256,'EXPORT IRIS PROD 13-11-2024'!A:A,1,0)</f>
        <v>ALR_MONOSSIDO-Allarme guasto sensore CO</v>
      </c>
      <c r="E256" t="str">
        <f>VLOOKUP(H256,'EXPORT IRIS PROD 13-11-2024'!F:F,1,0)</f>
        <v>ALR_MONOSSIDO</v>
      </c>
      <c r="F256" t="str">
        <f>VLOOKUP(I256,'EXPORT IRIS PROD 13-11-2024'!D:D,1,0)</f>
        <v>Allarme guasto sensore CO</v>
      </c>
      <c r="G256" s="37" t="s">
        <v>85</v>
      </c>
      <c r="H256" s="38" t="s">
        <v>513</v>
      </c>
      <c r="I256" s="38" t="s">
        <v>514</v>
      </c>
      <c r="J256" s="39" t="s">
        <v>50</v>
      </c>
      <c r="K256" s="39" t="s">
        <v>51</v>
      </c>
      <c r="L256" s="40" t="s">
        <v>21</v>
      </c>
      <c r="M256" s="41" t="s">
        <v>22</v>
      </c>
      <c r="N256" s="42" t="s">
        <v>23</v>
      </c>
      <c r="O256" s="43" t="s">
        <v>24</v>
      </c>
      <c r="P256" s="42" t="s">
        <v>25</v>
      </c>
      <c r="Q256" s="42" t="s">
        <v>21</v>
      </c>
      <c r="R256" s="44"/>
    </row>
    <row r="257" spans="1:18" customFormat="1" ht="15" customHeight="1" x14ac:dyDescent="0.25">
      <c r="A257" t="str">
        <f t="shared" si="6"/>
        <v>Impianto Antincendio_Motopompa_ALR_MOTOPOMPA_AVVIATA-Allarme Motopompa avviata</v>
      </c>
      <c r="B257" t="str">
        <f t="shared" si="7"/>
        <v>ALR_MOTOPOMPA_AVVIATA-Allarme Motopompa avviata</v>
      </c>
      <c r="C257" t="str">
        <f>VLOOKUP(B257,'[2]Classi allarmi RMT-STIG_rev4'!$C:$C,1,0)</f>
        <v>ALR_MOTOPOMPA_AVVIATA-Allarme Motopompa avviata</v>
      </c>
      <c r="D257" t="str">
        <f>VLOOKUP(B257,'EXPORT IRIS PROD 13-11-2024'!A:A,1,0)</f>
        <v>ALR_MOTOPOMPA_AVVIATA-Allarme Motopompa avviata</v>
      </c>
      <c r="E257" t="str">
        <f>VLOOKUP(H257,'EXPORT IRIS PROD 13-11-2024'!F:F,1,0)</f>
        <v>ALR_MOTOPOMPA_AVVIATA</v>
      </c>
      <c r="F257" t="str">
        <f>VLOOKUP(I257,'EXPORT IRIS PROD 13-11-2024'!D:D,1,0)</f>
        <v>Allarme Motopompa avviata</v>
      </c>
      <c r="G257" s="37" t="s">
        <v>298</v>
      </c>
      <c r="H257" s="38" t="s">
        <v>515</v>
      </c>
      <c r="I257" s="38" t="s">
        <v>516</v>
      </c>
      <c r="J257" s="39" t="s">
        <v>38</v>
      </c>
      <c r="K257" s="39" t="s">
        <v>172</v>
      </c>
      <c r="L257" s="40" t="s">
        <v>31</v>
      </c>
      <c r="M257" s="41" t="s">
        <v>32</v>
      </c>
      <c r="N257" s="43">
        <v>2</v>
      </c>
      <c r="O257" s="43" t="s">
        <v>33</v>
      </c>
      <c r="P257" s="42" t="s">
        <v>34</v>
      </c>
      <c r="Q257" s="42" t="s">
        <v>31</v>
      </c>
      <c r="R257" s="44"/>
    </row>
    <row r="258" spans="1:18" customFormat="1" ht="15" customHeight="1" x14ac:dyDescent="0.25">
      <c r="A258" t="str">
        <f t="shared" ref="A258:A321" si="8">CONCATENATE(J258,"_",K258,"_",B258)</f>
        <v>Impianto Videosorveglianza_Telecamera attiva_ALR_MOVIMENTO-Allarme movimento in cabina</v>
      </c>
      <c r="B258" t="str">
        <f t="shared" si="7"/>
        <v>ALR_MOVIMENTO-Allarme movimento in cabina</v>
      </c>
      <c r="C258" t="str">
        <f>VLOOKUP(B258,'[2]Classi allarmi RMT-STIG_rev4'!$C:$C,1,0)</f>
        <v>ALR_MOVIMENTO-Allarme movimento in cabina</v>
      </c>
      <c r="D258" t="str">
        <f>VLOOKUP(B258,'EXPORT IRIS PROD 13-11-2024'!A:A,1,0)</f>
        <v>ALR_MOVIMENTO-Allarme movimento in cabina</v>
      </c>
      <c r="E258" t="str">
        <f>VLOOKUP(H258,'EXPORT IRIS PROD 13-11-2024'!F:F,1,0)</f>
        <v>ALR_MOVIMENTO</v>
      </c>
      <c r="F258" t="str">
        <f>VLOOKUP(I258,'EXPORT IRIS PROD 13-11-2024'!D:D,1,0)</f>
        <v>Allarme movimento in cabina</v>
      </c>
      <c r="G258" s="37" t="s">
        <v>468</v>
      </c>
      <c r="H258" s="38" t="s">
        <v>517</v>
      </c>
      <c r="I258" s="38" t="s">
        <v>518</v>
      </c>
      <c r="J258" s="39" t="s">
        <v>201</v>
      </c>
      <c r="K258" s="39" t="s">
        <v>380</v>
      </c>
      <c r="L258" s="40" t="s">
        <v>31</v>
      </c>
      <c r="M258" s="41" t="s">
        <v>32</v>
      </c>
      <c r="N258" s="43">
        <v>2</v>
      </c>
      <c r="O258" s="43" t="s">
        <v>33</v>
      </c>
      <c r="P258" s="42" t="s">
        <v>34</v>
      </c>
      <c r="Q258" s="42" t="s">
        <v>31</v>
      </c>
      <c r="R258" s="52"/>
    </row>
    <row r="259" spans="1:18" customFormat="1" ht="15" customHeight="1" x14ac:dyDescent="0.25">
      <c r="A259" t="str">
        <f t="shared" si="8"/>
        <v>Impianto Videosorveglianza_Telecamera passiva (bypass)_ALR_MOVIMENTO_BYPASS-Allarme movimento in bypass</v>
      </c>
      <c r="B259" t="str">
        <f t="shared" ref="B259:B322" si="9">CONCATENATE(H259,"-",I259)</f>
        <v>ALR_MOVIMENTO_BYPASS-Allarme movimento in bypass</v>
      </c>
      <c r="C259" t="str">
        <f>VLOOKUP(B259,'[2]Classi allarmi RMT-STIG_rev4'!$C:$C,1,0)</f>
        <v>ALR_MOVIMENTO_BYPASS-Allarme movimento in bypass</v>
      </c>
      <c r="D259" t="str">
        <f>VLOOKUP(B259,'EXPORT IRIS PROD 13-11-2024'!A:A,1,0)</f>
        <v>ALR_MOVIMENTO_BYPASS-Allarme movimento in bypass</v>
      </c>
      <c r="E259" t="str">
        <f>VLOOKUP(H259,'EXPORT IRIS PROD 13-11-2024'!F:F,1,0)</f>
        <v>ALR_MOVIMENTO_BYPASS</v>
      </c>
      <c r="F259" t="str">
        <f>VLOOKUP(I259,'EXPORT IRIS PROD 13-11-2024'!D:D,1,0)</f>
        <v>Allarme movimento in bypass</v>
      </c>
      <c r="G259" s="37" t="s">
        <v>471</v>
      </c>
      <c r="H259" s="38" t="s">
        <v>519</v>
      </c>
      <c r="I259" s="45" t="s">
        <v>520</v>
      </c>
      <c r="J259" s="46" t="s">
        <v>201</v>
      </c>
      <c r="K259" s="46" t="s">
        <v>521</v>
      </c>
      <c r="L259" s="47" t="s">
        <v>31</v>
      </c>
      <c r="M259" s="48" t="s">
        <v>32</v>
      </c>
      <c r="N259" s="43">
        <v>1</v>
      </c>
      <c r="O259" s="43" t="s">
        <v>33</v>
      </c>
      <c r="P259" s="43" t="s">
        <v>34</v>
      </c>
      <c r="Q259" s="43" t="s">
        <v>31</v>
      </c>
      <c r="R259" s="56"/>
    </row>
    <row r="260" spans="1:18" customFormat="1" ht="15" customHeight="1" x14ac:dyDescent="0.25">
      <c r="A260" t="str">
        <f t="shared" si="8"/>
        <v>Impianto Canalizzazione_PMV/Frecciacroce _ALR_MSG_NON_VISIBILE_PER_ANOMALIA-Allarme messaggio non visibile per anomalia</v>
      </c>
      <c r="B260" t="str">
        <f t="shared" si="9"/>
        <v>ALR_MSG_NON_VISIBILE_PER_ANOMALIA-Allarme messaggio non visibile per anomalia</v>
      </c>
      <c r="C260" t="str">
        <f>VLOOKUP(B260,'[2]Classi allarmi RMT-STIG_rev4'!$C:$C,1,0)</f>
        <v>ALR_MSG_NON_VISIBILE_PER_ANOMALIA-Allarme messaggio non visibile per anomalia</v>
      </c>
      <c r="D260" t="str">
        <f>VLOOKUP(B260,'EXPORT IRIS PROD 13-11-2024'!A:A,1,0)</f>
        <v>ALR_MSG_NON_VISIBILE_PER_ANOMALIA-Allarme messaggio non visibile per anomalia</v>
      </c>
      <c r="E260" t="str">
        <f>VLOOKUP(H260,'EXPORT IRIS PROD 13-11-2024'!F:F,1,0)</f>
        <v>ALR_MSG_NON_VISIBILE_PER_ANOMALIA</v>
      </c>
      <c r="F260" t="str">
        <f>VLOOKUP(I260,'EXPORT IRIS PROD 13-11-2024'!D:D,1,0)</f>
        <v>Allarme messaggio non visibile per anomalia</v>
      </c>
      <c r="G260" s="37" t="s">
        <v>109</v>
      </c>
      <c r="H260" s="38" t="s">
        <v>522</v>
      </c>
      <c r="I260" s="38" t="s">
        <v>523</v>
      </c>
      <c r="J260" s="39" t="s">
        <v>111</v>
      </c>
      <c r="K260" s="39" t="s">
        <v>524</v>
      </c>
      <c r="L260" s="40" t="s">
        <v>21</v>
      </c>
      <c r="M260" s="41" t="s">
        <v>22</v>
      </c>
      <c r="N260" s="42" t="s">
        <v>23</v>
      </c>
      <c r="O260" s="43" t="s">
        <v>24</v>
      </c>
      <c r="P260" s="42" t="s">
        <v>25</v>
      </c>
      <c r="Q260" s="42" t="s">
        <v>21</v>
      </c>
      <c r="R260" s="44"/>
    </row>
    <row r="261" spans="1:18" customFormat="1" ht="15" customHeight="1" x14ac:dyDescent="0.25">
      <c r="A261" t="str">
        <f t="shared" si="8"/>
        <v>Impianto Illuminazione_Risparmio Energetico_ALR_NON_CONGRUENTE-Allarme risparmio energetico illuminazione</v>
      </c>
      <c r="B261" t="str">
        <f t="shared" si="9"/>
        <v>ALR_NON_CONGRUENTE-Allarme risparmio energetico illuminazione</v>
      </c>
      <c r="C261" t="str">
        <f>VLOOKUP(B261,'[2]Classi allarmi RMT-STIG_rev4'!$C:$C,1,0)</f>
        <v>ALR_NON_CONGRUENTE-Allarme risparmio energetico illuminazione</v>
      </c>
      <c r="D261" t="str">
        <f>VLOOKUP(B261,'EXPORT IRIS PROD 13-11-2024'!A:A,1,0)</f>
        <v>ALR_NON_CONGRUENTE-Allarme risparmio energetico illuminazione</v>
      </c>
      <c r="E261" t="str">
        <f>VLOOKUP(H261,'EXPORT IRIS PROD 13-11-2024'!F:F,1,0)</f>
        <v>ALR_NON_CONGRUENTE</v>
      </c>
      <c r="F261" t="str">
        <f>VLOOKUP(I261,'EXPORT IRIS PROD 13-11-2024'!D:D,1,0)</f>
        <v>Allarme risparmio energetico illuminazione</v>
      </c>
      <c r="G261" s="37" t="s">
        <v>115</v>
      </c>
      <c r="H261" s="38" t="s">
        <v>525</v>
      </c>
      <c r="I261" s="38" t="s">
        <v>526</v>
      </c>
      <c r="J261" s="39" t="s">
        <v>116</v>
      </c>
      <c r="K261" s="39" t="s">
        <v>527</v>
      </c>
      <c r="L261" s="40" t="s">
        <v>21</v>
      </c>
      <c r="M261" s="41" t="s">
        <v>22</v>
      </c>
      <c r="N261" s="42" t="s">
        <v>23</v>
      </c>
      <c r="O261" s="43" t="s">
        <v>24</v>
      </c>
      <c r="P261" s="42" t="s">
        <v>25</v>
      </c>
      <c r="Q261" s="42" t="s">
        <v>21</v>
      </c>
      <c r="R261" s="44"/>
    </row>
    <row r="262" spans="1:18" customFormat="1" ht="15" customHeight="1" x14ac:dyDescent="0.25">
      <c r="A262" t="str">
        <f t="shared" si="8"/>
        <v>Impianto Videosorveglianza_Telecamera attiva_ALR_OGGETTO_DISPERSO-Allarme oggetto disperso</v>
      </c>
      <c r="B262" t="str">
        <f t="shared" si="9"/>
        <v>ALR_OGGETTO_DISPERSO-Allarme oggetto disperso</v>
      </c>
      <c r="C262" t="str">
        <f>VLOOKUP(B262,'[2]Classi allarmi RMT-STIG_rev4'!$C:$C,1,0)</f>
        <v>ALR_OGGETTO_DISPERSO-Allarme oggetto disperso</v>
      </c>
      <c r="D262" t="str">
        <f>VLOOKUP(B262,'EXPORT IRIS PROD 13-11-2024'!A:A,1,0)</f>
        <v>ALR_OGGETTO_DISPERSO-Allarme oggetto disperso</v>
      </c>
      <c r="E262" t="str">
        <f>VLOOKUP(H262,'EXPORT IRIS PROD 13-11-2024'!F:F,1,0)</f>
        <v>ALR_OGGETTO_DISPERSO</v>
      </c>
      <c r="F262" t="str">
        <f>VLOOKUP(I262,'EXPORT IRIS PROD 13-11-2024'!D:D,1,0)</f>
        <v>Allarme oggetto disperso</v>
      </c>
      <c r="G262" s="37" t="s">
        <v>528</v>
      </c>
      <c r="H262" s="38" t="s">
        <v>529</v>
      </c>
      <c r="I262" s="45" t="s">
        <v>530</v>
      </c>
      <c r="J262" s="46" t="s">
        <v>201</v>
      </c>
      <c r="K262" s="46" t="s">
        <v>380</v>
      </c>
      <c r="L262" s="47" t="s">
        <v>31</v>
      </c>
      <c r="M262" s="48" t="s">
        <v>32</v>
      </c>
      <c r="N262" s="43">
        <v>1</v>
      </c>
      <c r="O262" s="43" t="s">
        <v>33</v>
      </c>
      <c r="P262" s="43" t="s">
        <v>34</v>
      </c>
      <c r="Q262" s="43" t="s">
        <v>31</v>
      </c>
      <c r="R262" s="49"/>
    </row>
    <row r="263" spans="1:18" customFormat="1" ht="15" customHeight="1" x14ac:dyDescent="0.25">
      <c r="A263" t="str">
        <f t="shared" si="8"/>
        <v>Impianto Videosorveglianza_Telecamera passiva_ALR_OGGETTO_DISPERSO-Allarme oggetto disperso</v>
      </c>
      <c r="B263" t="str">
        <f t="shared" si="9"/>
        <v>ALR_OGGETTO_DISPERSO-Allarme oggetto disperso</v>
      </c>
      <c r="C263" t="str">
        <f>VLOOKUP(B263,'[2]Classi allarmi RMT-STIG_rev4'!$C:$C,1,0)</f>
        <v>ALR_OGGETTO_DISPERSO-Allarme oggetto disperso</v>
      </c>
      <c r="D263" t="str">
        <f>VLOOKUP(B263,'EXPORT IRIS PROD 13-11-2024'!A:A,1,0)</f>
        <v>ALR_OGGETTO_DISPERSO-Allarme oggetto disperso</v>
      </c>
      <c r="E263" t="str">
        <f>VLOOKUP(H263,'EXPORT IRIS PROD 13-11-2024'!F:F,1,0)</f>
        <v>ALR_OGGETTO_DISPERSO</v>
      </c>
      <c r="F263" t="str">
        <f>VLOOKUP(I263,'EXPORT IRIS PROD 13-11-2024'!D:D,1,0)</f>
        <v>Allarme oggetto disperso</v>
      </c>
      <c r="G263" s="37" t="s">
        <v>528</v>
      </c>
      <c r="H263" s="38" t="s">
        <v>529</v>
      </c>
      <c r="I263" s="45" t="s">
        <v>530</v>
      </c>
      <c r="J263" s="46" t="s">
        <v>201</v>
      </c>
      <c r="K263" s="46" t="s">
        <v>263</v>
      </c>
      <c r="L263" s="47" t="s">
        <v>31</v>
      </c>
      <c r="M263" s="48" t="s">
        <v>32</v>
      </c>
      <c r="N263" s="43">
        <v>1</v>
      </c>
      <c r="O263" s="43" t="s">
        <v>33</v>
      </c>
      <c r="P263" s="43" t="s">
        <v>34</v>
      </c>
      <c r="Q263" s="43" t="s">
        <v>31</v>
      </c>
      <c r="R263" s="49"/>
    </row>
    <row r="264" spans="1:18" customFormat="1" ht="15" customHeight="1" x14ac:dyDescent="0.25">
      <c r="A264" t="str">
        <f t="shared" si="8"/>
        <v>Impianto Videosorveglianza_Telecamera Attiva_ALR_OGGETTO_DISPERSO_CORSIA_2-Allarme oggetto disperso corsia di marcia</v>
      </c>
      <c r="B264" t="str">
        <f t="shared" si="9"/>
        <v>ALR_OGGETTO_DISPERSO_CORSIA_2-Allarme oggetto disperso corsia di marcia</v>
      </c>
      <c r="C264" t="str">
        <f>VLOOKUP(B264,'[2]Classi allarmi RMT-STIG_rev4'!$C:$C,1,0)</f>
        <v>ALR_OGGETTO_DISPERSO_CORSIA_2-Allarme oggetto disperso corsia di marcia</v>
      </c>
      <c r="D264" t="str">
        <f>VLOOKUP(B264,'EXPORT IRIS PROD 13-11-2024'!A:A,1,0)</f>
        <v>ALR_OGGETTO_DISPERSO_CORSIA_2-Allarme oggetto disperso corsia di marcia</v>
      </c>
      <c r="E264" t="str">
        <f>VLOOKUP(H264,'EXPORT IRIS PROD 13-11-2024'!F:F,1,0)</f>
        <v>ALR_OGGETTO_DISPERSO_CORSIA_2</v>
      </c>
      <c r="F264" t="str">
        <f>VLOOKUP(I264,'EXPORT IRIS PROD 13-11-2024'!D:D,1,0)</f>
        <v>Allarme oggetto disperso corsia di marcia</v>
      </c>
      <c r="G264" s="37" t="s">
        <v>528</v>
      </c>
      <c r="H264" s="38" t="s">
        <v>531</v>
      </c>
      <c r="I264" s="45" t="s">
        <v>532</v>
      </c>
      <c r="J264" s="46" t="s">
        <v>201</v>
      </c>
      <c r="K264" s="46" t="s">
        <v>533</v>
      </c>
      <c r="L264" s="47" t="s">
        <v>31</v>
      </c>
      <c r="M264" s="48" t="s">
        <v>32</v>
      </c>
      <c r="N264" s="43">
        <v>1</v>
      </c>
      <c r="O264" s="43" t="s">
        <v>33</v>
      </c>
      <c r="P264" s="43" t="s">
        <v>34</v>
      </c>
      <c r="Q264" s="43" t="s">
        <v>31</v>
      </c>
      <c r="R264" s="49"/>
    </row>
    <row r="265" spans="1:18" customFormat="1" ht="15" customHeight="1" x14ac:dyDescent="0.25">
      <c r="A265" t="str">
        <f t="shared" si="8"/>
        <v>Impianto Videosorveglianza_Telecamera Attiva_ALR_OGGETTO_DISPERSO_CORSIA_3-Allarme oggetto disperso corsia di sorpasso</v>
      </c>
      <c r="B265" t="str">
        <f t="shared" si="9"/>
        <v>ALR_OGGETTO_DISPERSO_CORSIA_3-Allarme oggetto disperso corsia di sorpasso</v>
      </c>
      <c r="C265" t="str">
        <f>VLOOKUP(B265,'[2]Classi allarmi RMT-STIG_rev4'!$C:$C,1,0)</f>
        <v>ALR_OGGETTO_DISPERSO_CORSIA_3-Allarme oggetto disperso corsia di sorpasso</v>
      </c>
      <c r="D265" t="str">
        <f>VLOOKUP(B265,'EXPORT IRIS PROD 13-11-2024'!A:A,1,0)</f>
        <v>ALR_OGGETTO_DISPERSO_CORSIA_3-Allarme oggetto disperso corsia di sorpasso</v>
      </c>
      <c r="E265" t="str">
        <f>VLOOKUP(H265,'EXPORT IRIS PROD 13-11-2024'!F:F,1,0)</f>
        <v>ALR_OGGETTO_DISPERSO_CORSIA_3</v>
      </c>
      <c r="F265" t="str">
        <f>VLOOKUP(I265,'EXPORT IRIS PROD 13-11-2024'!D:D,1,0)</f>
        <v>Allarme oggetto disperso corsia di sorpasso</v>
      </c>
      <c r="G265" s="37" t="s">
        <v>528</v>
      </c>
      <c r="H265" s="38" t="s">
        <v>534</v>
      </c>
      <c r="I265" s="45" t="s">
        <v>535</v>
      </c>
      <c r="J265" s="46" t="s">
        <v>201</v>
      </c>
      <c r="K265" s="46" t="s">
        <v>533</v>
      </c>
      <c r="L265" s="47" t="s">
        <v>31</v>
      </c>
      <c r="M265" s="48" t="s">
        <v>32</v>
      </c>
      <c r="N265" s="43">
        <v>1</v>
      </c>
      <c r="O265" s="43" t="s">
        <v>33</v>
      </c>
      <c r="P265" s="43" t="s">
        <v>34</v>
      </c>
      <c r="Q265" s="43" t="s">
        <v>31</v>
      </c>
      <c r="R265" s="49"/>
    </row>
    <row r="266" spans="1:18" customFormat="1" ht="15" customHeight="1" x14ac:dyDescent="0.25">
      <c r="A266" t="str">
        <f t="shared" si="8"/>
        <v>Impianto Ventilazione_OP_ALR_OP_DIR_NORD_CASO_A-Allarme OP caso A dir. nord</v>
      </c>
      <c r="B266" t="str">
        <f t="shared" si="9"/>
        <v>ALR_OP_DIR_NORD_CASO_A-Allarme OP caso A dir. nord</v>
      </c>
      <c r="C266" t="str">
        <f>VLOOKUP(B266,'[2]Classi allarmi RMT-STIG_rev4'!$C:$C,1,0)</f>
        <v>ALR_OP_DIR_NORD_CASO_A-Allarme OP caso A dir. nord</v>
      </c>
      <c r="D266" t="str">
        <f>VLOOKUP(B266,'EXPORT IRIS PROD 13-11-2024'!A:A,1,0)</f>
        <v>ALR_OP_DIR_NORD_CASO_A-Allarme OP caso A dir. nord</v>
      </c>
      <c r="E266" t="str">
        <f>VLOOKUP(H266,'EXPORT IRIS PROD 13-11-2024'!F:F,1,0)</f>
        <v>ALR_OP_DIR_NORD_CASO_A</v>
      </c>
      <c r="F266" t="str">
        <f>VLOOKUP(I266,'EXPORT IRIS PROD 13-11-2024'!D:D,1,0)</f>
        <v>Allarme OP caso A dir. nord</v>
      </c>
      <c r="G266" s="37" t="s">
        <v>213</v>
      </c>
      <c r="H266" s="38" t="s">
        <v>536</v>
      </c>
      <c r="I266" s="38" t="s">
        <v>537</v>
      </c>
      <c r="J266" s="39" t="s">
        <v>50</v>
      </c>
      <c r="K266" s="39" t="s">
        <v>52</v>
      </c>
      <c r="L266" s="40" t="s">
        <v>31</v>
      </c>
      <c r="M266" s="48" t="s">
        <v>32</v>
      </c>
      <c r="N266" s="42">
        <v>3</v>
      </c>
      <c r="O266" s="43" t="s">
        <v>24</v>
      </c>
      <c r="P266" s="43" t="s">
        <v>25</v>
      </c>
      <c r="Q266" s="42" t="s">
        <v>21</v>
      </c>
      <c r="R266" s="44"/>
    </row>
    <row r="267" spans="1:18" customFormat="1" ht="15" customHeight="1" x14ac:dyDescent="0.25">
      <c r="A267" t="str">
        <f t="shared" si="8"/>
        <v>Impianto Ventilazione_OP_ALR_OP_DIR_NORD_CASO_B-Allarme OP caso B dir. nord</v>
      </c>
      <c r="B267" t="str">
        <f t="shared" si="9"/>
        <v>ALR_OP_DIR_NORD_CASO_B-Allarme OP caso B dir. nord</v>
      </c>
      <c r="C267" t="str">
        <f>VLOOKUP(B267,'[2]Classi allarmi RMT-STIG_rev4'!$C:$C,1,0)</f>
        <v>ALR_OP_DIR_NORD_CASO_B-Allarme OP caso B dir. nord</v>
      </c>
      <c r="D267" t="str">
        <f>VLOOKUP(B267,'EXPORT IRIS PROD 13-11-2024'!A:A,1,0)</f>
        <v>ALR_OP_DIR_NORD_CASO_B-Allarme OP caso B dir. nord</v>
      </c>
      <c r="E267" t="str">
        <f>VLOOKUP(H267,'EXPORT IRIS PROD 13-11-2024'!F:F,1,0)</f>
        <v>ALR_OP_DIR_NORD_CASO_B</v>
      </c>
      <c r="F267" t="str">
        <f>VLOOKUP(I267,'EXPORT IRIS PROD 13-11-2024'!D:D,1,0)</f>
        <v>Allarme OP caso B dir. nord</v>
      </c>
      <c r="G267" s="37" t="s">
        <v>213</v>
      </c>
      <c r="H267" s="38" t="s">
        <v>538</v>
      </c>
      <c r="I267" s="38" t="s">
        <v>539</v>
      </c>
      <c r="J267" s="39" t="s">
        <v>50</v>
      </c>
      <c r="K267" s="39" t="s">
        <v>52</v>
      </c>
      <c r="L267" s="40" t="s">
        <v>31</v>
      </c>
      <c r="M267" s="48" t="s">
        <v>32</v>
      </c>
      <c r="N267" s="42">
        <v>3</v>
      </c>
      <c r="O267" s="43" t="s">
        <v>157</v>
      </c>
      <c r="P267" s="43" t="s">
        <v>158</v>
      </c>
      <c r="Q267" s="42" t="s">
        <v>21</v>
      </c>
      <c r="R267" s="44"/>
    </row>
    <row r="268" spans="1:18" customFormat="1" ht="15" customHeight="1" x14ac:dyDescent="0.25">
      <c r="A268" t="str">
        <f t="shared" si="8"/>
        <v>Impianto Ventilazione_OP_ALR_OP_DIR_NORD_CASO_C-Allarme OP caso C dir. nord</v>
      </c>
      <c r="B268" t="str">
        <f t="shared" si="9"/>
        <v>ALR_OP_DIR_NORD_CASO_C-Allarme OP caso C dir. nord</v>
      </c>
      <c r="C268" t="str">
        <f>VLOOKUP(B268,'[2]Classi allarmi RMT-STIG_rev4'!$C:$C,1,0)</f>
        <v>ALR_OP_DIR_NORD_CASO_C-Allarme OP caso C dir. nord</v>
      </c>
      <c r="D268" t="str">
        <f>VLOOKUP(B268,'EXPORT IRIS PROD 13-11-2024'!A:A,1,0)</f>
        <v>ALR_OP_DIR_NORD_CASO_C-Allarme OP caso C dir. nord</v>
      </c>
      <c r="E268" t="str">
        <f>VLOOKUP(H268,'EXPORT IRIS PROD 13-11-2024'!F:F,1,0)</f>
        <v>ALR_OP_DIR_NORD_CASO_C</v>
      </c>
      <c r="F268" t="str">
        <f>VLOOKUP(I268,'EXPORT IRIS PROD 13-11-2024'!D:D,1,0)</f>
        <v>Allarme OP caso C dir. nord</v>
      </c>
      <c r="G268" s="37" t="s">
        <v>213</v>
      </c>
      <c r="H268" s="38" t="s">
        <v>540</v>
      </c>
      <c r="I268" s="38" t="s">
        <v>541</v>
      </c>
      <c r="J268" s="39" t="s">
        <v>50</v>
      </c>
      <c r="K268" s="39" t="s">
        <v>52</v>
      </c>
      <c r="L268" s="40" t="s">
        <v>31</v>
      </c>
      <c r="M268" s="48" t="s">
        <v>32</v>
      </c>
      <c r="N268" s="43">
        <v>2</v>
      </c>
      <c r="O268" s="43" t="s">
        <v>45</v>
      </c>
      <c r="P268" s="43" t="s">
        <v>46</v>
      </c>
      <c r="Q268" s="43" t="s">
        <v>31</v>
      </c>
      <c r="R268" s="49"/>
    </row>
    <row r="269" spans="1:18" customFormat="1" ht="15" customHeight="1" x14ac:dyDescent="0.25">
      <c r="A269" t="str">
        <f t="shared" si="8"/>
        <v>Impianto Ventilazione_OP_ALR_OP_DIR_SUD_CASO_A-Allarme OP caso A dir. sud</v>
      </c>
      <c r="B269" t="str">
        <f t="shared" si="9"/>
        <v>ALR_OP_DIR_SUD_CASO_A-Allarme OP caso A dir. sud</v>
      </c>
      <c r="C269" t="str">
        <f>VLOOKUP(B269,'[2]Classi allarmi RMT-STIG_rev4'!$C:$C,1,0)</f>
        <v>ALR_OP_DIR_SUD_CASO_A-Allarme OP caso A dir. sud</v>
      </c>
      <c r="D269" t="str">
        <f>VLOOKUP(B269,'EXPORT IRIS PROD 13-11-2024'!A:A,1,0)</f>
        <v>ALR_OP_DIR_SUD_CASO_A-Allarme OP caso A dir. sud</v>
      </c>
      <c r="E269" t="str">
        <f>VLOOKUP(H269,'EXPORT IRIS PROD 13-11-2024'!F:F,1,0)</f>
        <v>ALR_OP_DIR_SUD_CASO_A</v>
      </c>
      <c r="F269" t="str">
        <f>VLOOKUP(I269,'EXPORT IRIS PROD 13-11-2024'!D:D,1,0)</f>
        <v>Allarme OP caso A dir. sud</v>
      </c>
      <c r="G269" s="37" t="s">
        <v>213</v>
      </c>
      <c r="H269" s="38" t="s">
        <v>542</v>
      </c>
      <c r="I269" s="38" t="s">
        <v>543</v>
      </c>
      <c r="J269" s="39" t="s">
        <v>50</v>
      </c>
      <c r="K269" s="39" t="s">
        <v>52</v>
      </c>
      <c r="L269" s="40" t="s">
        <v>31</v>
      </c>
      <c r="M269" s="48" t="s">
        <v>32</v>
      </c>
      <c r="N269" s="42">
        <v>3</v>
      </c>
      <c r="O269" s="43" t="s">
        <v>24</v>
      </c>
      <c r="P269" s="43" t="s">
        <v>25</v>
      </c>
      <c r="Q269" s="42" t="s">
        <v>21</v>
      </c>
      <c r="R269" s="44"/>
    </row>
    <row r="270" spans="1:18" ht="15" customHeight="1" x14ac:dyDescent="0.25">
      <c r="A270" t="str">
        <f t="shared" si="8"/>
        <v>Impianto Ventilazione_OP_ALR_OP_DIR_SUD_CASO_B-Allarme OP caso B dir. sud</v>
      </c>
      <c r="B270" t="str">
        <f t="shared" si="9"/>
        <v>ALR_OP_DIR_SUD_CASO_B-Allarme OP caso B dir. sud</v>
      </c>
      <c r="C270" t="str">
        <f>VLOOKUP(B270,'[2]Classi allarmi RMT-STIG_rev4'!$C:$C,1,0)</f>
        <v>ALR_OP_DIR_SUD_CASO_B-Allarme OP caso B dir. sud</v>
      </c>
      <c r="D270" t="str">
        <f>VLOOKUP(B270,'EXPORT IRIS PROD 13-11-2024'!A:A,1,0)</f>
        <v>ALR_OP_DIR_SUD_CASO_B-Allarme OP caso B dir. sud</v>
      </c>
      <c r="E270" t="str">
        <f>VLOOKUP(H270,'EXPORT IRIS PROD 13-11-2024'!F:F,1,0)</f>
        <v>ALR_OP_DIR_SUD_CASO_B</v>
      </c>
      <c r="F270" t="str">
        <f>VLOOKUP(I270,'EXPORT IRIS PROD 13-11-2024'!D:D,1,0)</f>
        <v>Allarme OP caso B dir. sud</v>
      </c>
      <c r="G270" s="37" t="s">
        <v>213</v>
      </c>
      <c r="H270" s="38" t="s">
        <v>544</v>
      </c>
      <c r="I270" s="38" t="s">
        <v>545</v>
      </c>
      <c r="J270" s="39" t="s">
        <v>50</v>
      </c>
      <c r="K270" s="39" t="s">
        <v>52</v>
      </c>
      <c r="L270" s="40" t="s">
        <v>31</v>
      </c>
      <c r="M270" s="48" t="s">
        <v>32</v>
      </c>
      <c r="N270" s="42">
        <v>3</v>
      </c>
      <c r="O270" s="43" t="s">
        <v>157</v>
      </c>
      <c r="P270" s="43" t="s">
        <v>158</v>
      </c>
      <c r="Q270" s="42" t="s">
        <v>21</v>
      </c>
      <c r="R270" s="44"/>
    </row>
    <row r="271" spans="1:18" customFormat="1" ht="15" customHeight="1" x14ac:dyDescent="0.25">
      <c r="A271" t="str">
        <f t="shared" si="8"/>
        <v>Impianto Ventilazione_OP_ALR_OP_DIR_SUD_CASO_C-Allarme OP caso C dir. sud</v>
      </c>
      <c r="B271" t="str">
        <f t="shared" si="9"/>
        <v>ALR_OP_DIR_SUD_CASO_C-Allarme OP caso C dir. sud</v>
      </c>
      <c r="C271" t="str">
        <f>VLOOKUP(B271,'[2]Classi allarmi RMT-STIG_rev4'!$C:$C,1,0)</f>
        <v>ALR_OP_DIR_SUD_CASO_C-Allarme OP caso C dir. sud</v>
      </c>
      <c r="D271" t="str">
        <f>VLOOKUP(B271,'EXPORT IRIS PROD 13-11-2024'!A:A,1,0)</f>
        <v>ALR_OP_DIR_SUD_CASO_C-Allarme OP caso C dir. sud</v>
      </c>
      <c r="E271" t="str">
        <f>VLOOKUP(H271,'EXPORT IRIS PROD 13-11-2024'!F:F,1,0)</f>
        <v>ALR_OP_DIR_SUD_CASO_C</v>
      </c>
      <c r="F271" t="str">
        <f>VLOOKUP(I271,'EXPORT IRIS PROD 13-11-2024'!D:D,1,0)</f>
        <v>Allarme OP caso C dir. sud</v>
      </c>
      <c r="G271" s="37" t="s">
        <v>213</v>
      </c>
      <c r="H271" s="38" t="s">
        <v>546</v>
      </c>
      <c r="I271" s="38" t="s">
        <v>547</v>
      </c>
      <c r="J271" s="39" t="s">
        <v>50</v>
      </c>
      <c r="K271" s="39" t="s">
        <v>52</v>
      </c>
      <c r="L271" s="40" t="s">
        <v>31</v>
      </c>
      <c r="M271" s="48" t="s">
        <v>32</v>
      </c>
      <c r="N271" s="43">
        <v>2</v>
      </c>
      <c r="O271" s="43" t="s">
        <v>45</v>
      </c>
      <c r="P271" s="43" t="s">
        <v>46</v>
      </c>
      <c r="Q271" s="43" t="s">
        <v>31</v>
      </c>
      <c r="R271" s="49"/>
    </row>
    <row r="272" spans="1:18" customFormat="1" ht="15" customHeight="1" x14ac:dyDescent="0.25">
      <c r="A272" t="str">
        <f t="shared" si="8"/>
        <v>Impianto Ventilazione_OP_ALR_OPACITA-Allarme guasto sensore OP</v>
      </c>
      <c r="B272" t="str">
        <f t="shared" si="9"/>
        <v>ALR_OPACITA-Allarme guasto sensore OP</v>
      </c>
      <c r="C272" t="str">
        <f>VLOOKUP(B272,'[2]Classi allarmi RMT-STIG_rev4'!$C:$C,1,0)</f>
        <v>ALR_OPACITA-Allarme guasto sensore OP</v>
      </c>
      <c r="D272" t="str">
        <f>VLOOKUP(B272,'EXPORT IRIS PROD 13-11-2024'!A:A,1,0)</f>
        <v>ALR_OPACITA-Allarme guasto sensore OP</v>
      </c>
      <c r="E272" t="str">
        <f>VLOOKUP(H272,'EXPORT IRIS PROD 13-11-2024'!F:F,1,0)</f>
        <v>ALR_OPACITA</v>
      </c>
      <c r="F272" t="str">
        <f>VLOOKUP(I272,'EXPORT IRIS PROD 13-11-2024'!D:D,1,0)</f>
        <v>Allarme guasto sensore OP</v>
      </c>
      <c r="G272" s="37" t="s">
        <v>85</v>
      </c>
      <c r="H272" s="38" t="s">
        <v>548</v>
      </c>
      <c r="I272" s="38" t="s">
        <v>549</v>
      </c>
      <c r="J272" s="39" t="s">
        <v>50</v>
      </c>
      <c r="K272" s="39" t="s">
        <v>52</v>
      </c>
      <c r="L272" s="40" t="s">
        <v>21</v>
      </c>
      <c r="M272" s="41" t="s">
        <v>22</v>
      </c>
      <c r="N272" s="42" t="s">
        <v>23</v>
      </c>
      <c r="O272" s="43" t="s">
        <v>24</v>
      </c>
      <c r="P272" s="42" t="s">
        <v>25</v>
      </c>
      <c r="Q272" s="42" t="s">
        <v>21</v>
      </c>
      <c r="R272" s="44"/>
    </row>
    <row r="273" spans="1:18" customFormat="1" ht="15" customHeight="1" x14ac:dyDescent="0.25">
      <c r="A273" t="str">
        <f t="shared" si="8"/>
        <v>Impianto Elettrico_Serbatoio gasolio_ALR_PERDITA_COMBUSTIBILE-Allarme perdita serbatoio gasolio</v>
      </c>
      <c r="B273" t="str">
        <f t="shared" si="9"/>
        <v>ALR_PERDITA_COMBUSTIBILE-Allarme perdita serbatoio gasolio</v>
      </c>
      <c r="C273" t="str">
        <f>VLOOKUP(B273,'[2]Classi allarmi RMT-STIG_rev4'!$C:$C,1,0)</f>
        <v>ALR_PERDITA_COMBUSTIBILE-Allarme perdita serbatoio gasolio</v>
      </c>
      <c r="D273" t="str">
        <f>VLOOKUP(B273,'EXPORT IRIS PROD 13-11-2024'!A:A,1,0)</f>
        <v>ALR_PERDITA_COMBUSTIBILE-Allarme perdita serbatoio gasolio</v>
      </c>
      <c r="E273" t="str">
        <f>VLOOKUP(H273,'EXPORT IRIS PROD 13-11-2024'!F:F,1,0)</f>
        <v>ALR_PERDITA_COMBUSTIBILE</v>
      </c>
      <c r="F273" t="str">
        <f>VLOOKUP(I273,'EXPORT IRIS PROD 13-11-2024'!D:D,1,0)</f>
        <v>Allarme perdita serbatoio gasolio</v>
      </c>
      <c r="G273" s="37" t="s">
        <v>53</v>
      </c>
      <c r="H273" s="38" t="s">
        <v>550</v>
      </c>
      <c r="I273" s="38" t="s">
        <v>551</v>
      </c>
      <c r="J273" s="39" t="s">
        <v>56</v>
      </c>
      <c r="K273" s="39" t="s">
        <v>156</v>
      </c>
      <c r="L273" s="40" t="s">
        <v>21</v>
      </c>
      <c r="M273" s="41" t="s">
        <v>22</v>
      </c>
      <c r="N273" s="42" t="s">
        <v>23</v>
      </c>
      <c r="O273" s="43" t="s">
        <v>157</v>
      </c>
      <c r="P273" s="42" t="s">
        <v>158</v>
      </c>
      <c r="Q273" s="42" t="s">
        <v>21</v>
      </c>
      <c r="R273" s="44"/>
    </row>
    <row r="274" spans="1:18" x14ac:dyDescent="0.25">
      <c r="A274" t="str">
        <f t="shared" si="8"/>
        <v>Impianto Elettrico_Serbatoio gasolio_ALR_PERDITA_GASOLIO-Allarme perdita cisterna gasolio</v>
      </c>
      <c r="B274" t="str">
        <f t="shared" si="9"/>
        <v>ALR_PERDITA_GASOLIO-Allarme perdita cisterna gasolio</v>
      </c>
      <c r="C274" t="str">
        <f>VLOOKUP(B274,'[2]Classi allarmi RMT-STIG_rev4'!$C:$C,1,0)</f>
        <v>ALR_PERDITA_GASOLIO-Allarme perdita cisterna gasolio</v>
      </c>
      <c r="D274" t="str">
        <f>VLOOKUP(B274,'EXPORT IRIS PROD 13-11-2024'!A:A,1,0)</f>
        <v>ALR_PERDITA_GASOLIO-Allarme perdita cisterna gasolio</v>
      </c>
      <c r="E274" t="str">
        <f>VLOOKUP(H274,'EXPORT IRIS PROD 13-11-2024'!F:F,1,0)</f>
        <v>ALR_PERDITA_GASOLIO</v>
      </c>
      <c r="F274" t="str">
        <f>VLOOKUP(I274,'EXPORT IRIS PROD 13-11-2024'!D:D,1,0)</f>
        <v>Allarme perdita cisterna gasolio</v>
      </c>
      <c r="G274" s="37" t="s">
        <v>53</v>
      </c>
      <c r="H274" s="38" t="s">
        <v>552</v>
      </c>
      <c r="I274" s="38" t="s">
        <v>553</v>
      </c>
      <c r="J274" s="39" t="s">
        <v>56</v>
      </c>
      <c r="K274" s="39" t="s">
        <v>156</v>
      </c>
      <c r="L274" s="40" t="s">
        <v>21</v>
      </c>
      <c r="M274" s="41" t="s">
        <v>22</v>
      </c>
      <c r="N274" s="42" t="s">
        <v>23</v>
      </c>
      <c r="O274" s="43" t="s">
        <v>157</v>
      </c>
      <c r="P274" s="42" t="s">
        <v>158</v>
      </c>
      <c r="Q274" s="42" t="s">
        <v>21</v>
      </c>
      <c r="R274" s="44"/>
    </row>
    <row r="275" spans="1:18" x14ac:dyDescent="0.25">
      <c r="A275" t="str">
        <f t="shared" si="8"/>
        <v>Impianto Videosorveglianza_Telecamera passiva_ALR_PERDITA_VIDEO-Allarme perdita video</v>
      </c>
      <c r="B275" t="str">
        <f t="shared" si="9"/>
        <v>ALR_PERDITA_VIDEO-Allarme perdita video</v>
      </c>
      <c r="C275" t="str">
        <f>VLOOKUP(B275,'[2]Classi allarmi RMT-STIG_rev4'!$C:$C,1,0)</f>
        <v>ALR_PERDITA_VIDEO-Allarme perdita video</v>
      </c>
      <c r="D275" t="str">
        <f>VLOOKUP(B275,'EXPORT IRIS PROD 13-11-2024'!A:A,1,0)</f>
        <v>ALR_PERDITA_VIDEO-Allarme perdita video</v>
      </c>
      <c r="E275" t="str">
        <f>VLOOKUP(H275,'EXPORT IRIS PROD 13-11-2024'!F:F,1,0)</f>
        <v>ALR_PERDITA_VIDEO</v>
      </c>
      <c r="F275" t="str">
        <f>VLOOKUP(I275,'EXPORT IRIS PROD 13-11-2024'!D:D,1,0)</f>
        <v>Allarme perdita video</v>
      </c>
      <c r="G275" s="37" t="s">
        <v>198</v>
      </c>
      <c r="H275" s="38" t="s">
        <v>554</v>
      </c>
      <c r="I275" s="38" t="s">
        <v>555</v>
      </c>
      <c r="J275" s="39" t="s">
        <v>201</v>
      </c>
      <c r="K275" s="39" t="s">
        <v>263</v>
      </c>
      <c r="L275" s="40" t="s">
        <v>21</v>
      </c>
      <c r="M275" s="41" t="s">
        <v>22</v>
      </c>
      <c r="N275" s="42" t="s">
        <v>23</v>
      </c>
      <c r="O275" s="43" t="s">
        <v>24</v>
      </c>
      <c r="P275" s="42" t="s">
        <v>25</v>
      </c>
      <c r="Q275" s="42" t="s">
        <v>21</v>
      </c>
      <c r="R275" s="44"/>
    </row>
    <row r="276" spans="1:18" customFormat="1" x14ac:dyDescent="0.25">
      <c r="A276" t="str">
        <f t="shared" si="8"/>
        <v>Impianto Videosorveglianza_Telecamera attiva_ALR_PERDITA_VIDEO_CORSIA_1-Allarme perdita video corsia di emergenza</v>
      </c>
      <c r="B276" t="str">
        <f t="shared" si="9"/>
        <v>ALR_PERDITA_VIDEO_CORSIA_1-Allarme perdita video corsia di emergenza</v>
      </c>
      <c r="C276" t="str">
        <f>VLOOKUP(B276,'[2]Classi allarmi RMT-STIG_rev4'!$C:$C,1,0)</f>
        <v>ALR_PERDITA_VIDEO_CORSIA_1-Allarme perdita video corsia di emergenza</v>
      </c>
      <c r="D276" t="str">
        <f>VLOOKUP(B276,'EXPORT IRIS PROD 13-11-2024'!A:A,1,0)</f>
        <v>ALR_PERDITA_VIDEO_CORSIA_1-Allarme perdita video corsia di emergenza</v>
      </c>
      <c r="E276" t="str">
        <f>VLOOKUP(H276,'EXPORT IRIS PROD 13-11-2024'!F:F,1,0)</f>
        <v>ALR_PERDITA_VIDEO_CORSIA_1</v>
      </c>
      <c r="F276" t="str">
        <f>VLOOKUP(I276,'EXPORT IRIS PROD 13-11-2024'!D:D,1,0)</f>
        <v>Allarme perdita video corsia di emergenza</v>
      </c>
      <c r="G276" s="37" t="s">
        <v>198</v>
      </c>
      <c r="H276" s="38" t="s">
        <v>556</v>
      </c>
      <c r="I276" s="38" t="s">
        <v>557</v>
      </c>
      <c r="J276" s="39" t="s">
        <v>201</v>
      </c>
      <c r="K276" s="39" t="s">
        <v>380</v>
      </c>
      <c r="L276" s="40" t="s">
        <v>21</v>
      </c>
      <c r="M276" s="41" t="s">
        <v>22</v>
      </c>
      <c r="N276" s="42" t="s">
        <v>23</v>
      </c>
      <c r="O276" s="43" t="s">
        <v>24</v>
      </c>
      <c r="P276" s="42" t="s">
        <v>25</v>
      </c>
      <c r="Q276" s="42" t="s">
        <v>21</v>
      </c>
      <c r="R276" s="44"/>
    </row>
    <row r="277" spans="1:18" customFormat="1" x14ac:dyDescent="0.25">
      <c r="A277" t="str">
        <f t="shared" si="8"/>
        <v>Impianto Videosorveglianza_Telecamera passiva_ALR_PERDITA_VIDEO_CORSIA_1-Allarme perdita video corsia di emergenza</v>
      </c>
      <c r="B277" t="str">
        <f t="shared" si="9"/>
        <v>ALR_PERDITA_VIDEO_CORSIA_1-Allarme perdita video corsia di emergenza</v>
      </c>
      <c r="C277" t="str">
        <f>VLOOKUP(B277,'[2]Classi allarmi RMT-STIG_rev4'!$C:$C,1,0)</f>
        <v>ALR_PERDITA_VIDEO_CORSIA_1-Allarme perdita video corsia di emergenza</v>
      </c>
      <c r="D277" t="str">
        <f>VLOOKUP(B277,'EXPORT IRIS PROD 13-11-2024'!A:A,1,0)</f>
        <v>ALR_PERDITA_VIDEO_CORSIA_1-Allarme perdita video corsia di emergenza</v>
      </c>
      <c r="E277" t="str">
        <f>VLOOKUP(H277,'EXPORT IRIS PROD 13-11-2024'!F:F,1,0)</f>
        <v>ALR_PERDITA_VIDEO_CORSIA_1</v>
      </c>
      <c r="F277" t="str">
        <f>VLOOKUP(I277,'EXPORT IRIS PROD 13-11-2024'!D:D,1,0)</f>
        <v>Allarme perdita video corsia di emergenza</v>
      </c>
      <c r="G277" s="37" t="s">
        <v>198</v>
      </c>
      <c r="H277" s="38" t="s">
        <v>556</v>
      </c>
      <c r="I277" s="38" t="s">
        <v>557</v>
      </c>
      <c r="J277" s="39" t="s">
        <v>201</v>
      </c>
      <c r="K277" s="39" t="s">
        <v>263</v>
      </c>
      <c r="L277" s="40" t="s">
        <v>21</v>
      </c>
      <c r="M277" s="41" t="s">
        <v>22</v>
      </c>
      <c r="N277" s="42" t="s">
        <v>23</v>
      </c>
      <c r="O277" s="43" t="s">
        <v>24</v>
      </c>
      <c r="P277" s="42" t="s">
        <v>25</v>
      </c>
      <c r="Q277" s="42" t="s">
        <v>21</v>
      </c>
      <c r="R277" s="44"/>
    </row>
    <row r="278" spans="1:18" customFormat="1" x14ac:dyDescent="0.25">
      <c r="A278" t="str">
        <f t="shared" si="8"/>
        <v>Impianto Videosorveglianza_Telecamera attiva_ALR_PERDITA_VIDEO_CORSIA_2-Allarme perdita video corsia di marcia</v>
      </c>
      <c r="B278" t="str">
        <f t="shared" si="9"/>
        <v>ALR_PERDITA_VIDEO_CORSIA_2-Allarme perdita video corsia di marcia</v>
      </c>
      <c r="C278" t="str">
        <f>VLOOKUP(B278,'[2]Classi allarmi RMT-STIG_rev4'!$C:$C,1,0)</f>
        <v>ALR_PERDITA_VIDEO_CORSIA_2-Allarme perdita video corsia di marcia</v>
      </c>
      <c r="D278" t="str">
        <f>VLOOKUP(B278,'EXPORT IRIS PROD 13-11-2024'!A:A,1,0)</f>
        <v>ALR_PERDITA_VIDEO_CORSIA_2-Allarme perdita video corsia di marcia</v>
      </c>
      <c r="E278" t="str">
        <f>VLOOKUP(H278,'EXPORT IRIS PROD 13-11-2024'!F:F,1,0)</f>
        <v>ALR_PERDITA_VIDEO_CORSIA_2</v>
      </c>
      <c r="F278" t="str">
        <f>VLOOKUP(I278,'EXPORT IRIS PROD 13-11-2024'!D:D,1,0)</f>
        <v>Allarme perdita video corsia di marcia</v>
      </c>
      <c r="G278" s="37" t="s">
        <v>198</v>
      </c>
      <c r="H278" s="38" t="s">
        <v>558</v>
      </c>
      <c r="I278" s="38" t="s">
        <v>559</v>
      </c>
      <c r="J278" s="39" t="s">
        <v>201</v>
      </c>
      <c r="K278" s="39" t="s">
        <v>380</v>
      </c>
      <c r="L278" s="40" t="s">
        <v>21</v>
      </c>
      <c r="M278" s="41" t="s">
        <v>22</v>
      </c>
      <c r="N278" s="42" t="s">
        <v>23</v>
      </c>
      <c r="O278" s="43" t="s">
        <v>24</v>
      </c>
      <c r="P278" s="42" t="s">
        <v>25</v>
      </c>
      <c r="Q278" s="42" t="s">
        <v>21</v>
      </c>
      <c r="R278" s="44"/>
    </row>
    <row r="279" spans="1:18" x14ac:dyDescent="0.25">
      <c r="A279" t="str">
        <f t="shared" si="8"/>
        <v>Impianto Videosorveglianza_Telecamera passiva_ALR_PERDITA_VIDEO_CORSIA_2-Allarme perdita video corsia di marcia</v>
      </c>
      <c r="B279" t="str">
        <f t="shared" si="9"/>
        <v>ALR_PERDITA_VIDEO_CORSIA_2-Allarme perdita video corsia di marcia</v>
      </c>
      <c r="C279" t="str">
        <f>VLOOKUP(B279,'[2]Classi allarmi RMT-STIG_rev4'!$C:$C,1,0)</f>
        <v>ALR_PERDITA_VIDEO_CORSIA_2-Allarme perdita video corsia di marcia</v>
      </c>
      <c r="D279" t="str">
        <f>VLOOKUP(B279,'EXPORT IRIS PROD 13-11-2024'!A:A,1,0)</f>
        <v>ALR_PERDITA_VIDEO_CORSIA_2-Allarme perdita video corsia di marcia</v>
      </c>
      <c r="E279" t="str">
        <f>VLOOKUP(H279,'EXPORT IRIS PROD 13-11-2024'!F:F,1,0)</f>
        <v>ALR_PERDITA_VIDEO_CORSIA_2</v>
      </c>
      <c r="F279" t="str">
        <f>VLOOKUP(I279,'EXPORT IRIS PROD 13-11-2024'!D:D,1,0)</f>
        <v>Allarme perdita video corsia di marcia</v>
      </c>
      <c r="G279" s="37" t="s">
        <v>198</v>
      </c>
      <c r="H279" s="38" t="s">
        <v>558</v>
      </c>
      <c r="I279" s="38" t="s">
        <v>559</v>
      </c>
      <c r="J279" s="39" t="s">
        <v>201</v>
      </c>
      <c r="K279" s="39" t="s">
        <v>263</v>
      </c>
      <c r="L279" s="40" t="s">
        <v>21</v>
      </c>
      <c r="M279" s="41" t="s">
        <v>22</v>
      </c>
      <c r="N279" s="42" t="s">
        <v>23</v>
      </c>
      <c r="O279" s="43" t="s">
        <v>24</v>
      </c>
      <c r="P279" s="42" t="s">
        <v>25</v>
      </c>
      <c r="Q279" s="42" t="s">
        <v>21</v>
      </c>
      <c r="R279" s="44"/>
    </row>
    <row r="280" spans="1:18" customFormat="1" x14ac:dyDescent="0.25">
      <c r="A280" t="str">
        <f t="shared" si="8"/>
        <v>Impianto Videosorveglianza_Telecamera attiva_ALR_PERDITA_VIDEO_CORSIA_3-Allarme perdita video corsia veloce</v>
      </c>
      <c r="B280" t="str">
        <f t="shared" si="9"/>
        <v>ALR_PERDITA_VIDEO_CORSIA_3-Allarme perdita video corsia veloce</v>
      </c>
      <c r="C280" t="str">
        <f>VLOOKUP(B280,'[2]Classi allarmi RMT-STIG_rev4'!$C:$C,1,0)</f>
        <v>ALR_PERDITA_VIDEO_CORSIA_3-Allarme perdita video corsia veloce</v>
      </c>
      <c r="D280" t="str">
        <f>VLOOKUP(B280,'EXPORT IRIS PROD 13-11-2024'!A:A,1,0)</f>
        <v>ALR_PERDITA_VIDEO_CORSIA_3-Allarme perdita video corsia veloce</v>
      </c>
      <c r="E280" t="str">
        <f>VLOOKUP(H280,'EXPORT IRIS PROD 13-11-2024'!F:F,1,0)</f>
        <v>ALR_PERDITA_VIDEO_CORSIA_3</v>
      </c>
      <c r="F280" t="str">
        <f>VLOOKUP(I280,'EXPORT IRIS PROD 13-11-2024'!D:D,1,0)</f>
        <v>Allarme perdita video corsia veloce</v>
      </c>
      <c r="G280" s="37" t="s">
        <v>198</v>
      </c>
      <c r="H280" s="38" t="s">
        <v>560</v>
      </c>
      <c r="I280" s="38" t="s">
        <v>561</v>
      </c>
      <c r="J280" s="39" t="s">
        <v>201</v>
      </c>
      <c r="K280" s="39" t="s">
        <v>380</v>
      </c>
      <c r="L280" s="40" t="s">
        <v>21</v>
      </c>
      <c r="M280" s="41" t="s">
        <v>22</v>
      </c>
      <c r="N280" s="42" t="s">
        <v>23</v>
      </c>
      <c r="O280" s="43" t="s">
        <v>24</v>
      </c>
      <c r="P280" s="42" t="s">
        <v>25</v>
      </c>
      <c r="Q280" s="42" t="s">
        <v>21</v>
      </c>
      <c r="R280" s="44"/>
    </row>
    <row r="281" spans="1:18" customFormat="1" x14ac:dyDescent="0.25">
      <c r="A281" t="str">
        <f t="shared" si="8"/>
        <v>Impianto Videosorveglianza_Telecamera passiva_ALR_PERDITA_VIDEO_CORSIA_3-Allarme perdita video corsia veloce</v>
      </c>
      <c r="B281" t="str">
        <f t="shared" si="9"/>
        <v>ALR_PERDITA_VIDEO_CORSIA_3-Allarme perdita video corsia veloce</v>
      </c>
      <c r="C281" t="str">
        <f>VLOOKUP(B281,'[2]Classi allarmi RMT-STIG_rev4'!$C:$C,1,0)</f>
        <v>ALR_PERDITA_VIDEO_CORSIA_3-Allarme perdita video corsia veloce</v>
      </c>
      <c r="D281" t="str">
        <f>VLOOKUP(B281,'EXPORT IRIS PROD 13-11-2024'!A:A,1,0)</f>
        <v>ALR_PERDITA_VIDEO_CORSIA_3-Allarme perdita video corsia veloce</v>
      </c>
      <c r="E281" t="str">
        <f>VLOOKUP(H281,'EXPORT IRIS PROD 13-11-2024'!F:F,1,0)</f>
        <v>ALR_PERDITA_VIDEO_CORSIA_3</v>
      </c>
      <c r="F281" t="str">
        <f>VLOOKUP(I281,'EXPORT IRIS PROD 13-11-2024'!D:D,1,0)</f>
        <v>Allarme perdita video corsia veloce</v>
      </c>
      <c r="G281" s="37" t="s">
        <v>198</v>
      </c>
      <c r="H281" s="38" t="s">
        <v>560</v>
      </c>
      <c r="I281" s="38" t="s">
        <v>561</v>
      </c>
      <c r="J281" s="39" t="s">
        <v>201</v>
      </c>
      <c r="K281" s="39" t="s">
        <v>263</v>
      </c>
      <c r="L281" s="40" t="s">
        <v>21</v>
      </c>
      <c r="M281" s="41" t="s">
        <v>22</v>
      </c>
      <c r="N281" s="42" t="s">
        <v>23</v>
      </c>
      <c r="O281" s="43" t="s">
        <v>24</v>
      </c>
      <c r="P281" s="42" t="s">
        <v>25</v>
      </c>
      <c r="Q281" s="42" t="s">
        <v>21</v>
      </c>
      <c r="R281" s="44"/>
    </row>
    <row r="282" spans="1:18" customFormat="1" x14ac:dyDescent="0.25">
      <c r="A282" t="str">
        <f t="shared" si="8"/>
        <v>Impianto Rete dati_PLC_ALR_PLC_IN_STOP-Allarme PLC RIO in stop</v>
      </c>
      <c r="B282" t="str">
        <f t="shared" si="9"/>
        <v>ALR_PLC_IN_STOP-Allarme PLC RIO in stop</v>
      </c>
      <c r="C282" t="str">
        <f>VLOOKUP(B282,'[2]Classi allarmi RMT-STIG_rev4'!$C:$C,1,0)</f>
        <v>ALR_PLC_IN_STOP-Allarme PLC RIO in stop</v>
      </c>
      <c r="D282" t="str">
        <f>VLOOKUP(B282,'EXPORT IRIS PROD 13-11-2024'!A:A,1,0)</f>
        <v>ALR_PLC_IN_STOP-Allarme PLC RIO in stop</v>
      </c>
      <c r="E282" t="str">
        <f>VLOOKUP(H282,'EXPORT IRIS PROD 13-11-2024'!F:F,1,0)</f>
        <v>ALR_PLC_IN_STOP</v>
      </c>
      <c r="F282" t="str">
        <f>VLOOKUP(I282,'EXPORT IRIS PROD 13-11-2024'!D:D,1,0)</f>
        <v>Allarme PLC RIO in stop</v>
      </c>
      <c r="G282" s="37" t="s">
        <v>249</v>
      </c>
      <c r="H282" s="38" t="s">
        <v>562</v>
      </c>
      <c r="I282" s="38" t="s">
        <v>563</v>
      </c>
      <c r="J282" s="39" t="s">
        <v>19</v>
      </c>
      <c r="K282" s="39" t="s">
        <v>167</v>
      </c>
      <c r="L282" s="40" t="s">
        <v>31</v>
      </c>
      <c r="M282" s="41" t="s">
        <v>32</v>
      </c>
      <c r="N282" s="42">
        <v>3</v>
      </c>
      <c r="O282" s="43" t="s">
        <v>33</v>
      </c>
      <c r="P282" s="42" t="s">
        <v>34</v>
      </c>
      <c r="Q282" s="42" t="s">
        <v>31</v>
      </c>
      <c r="R282" s="44"/>
    </row>
    <row r="283" spans="1:18" customFormat="1" x14ac:dyDescent="0.25">
      <c r="A283" t="str">
        <f t="shared" si="8"/>
        <v>Impianto Antincendio_Elettropompa_ALR_POMPA_AVVIATA-Allarme pompa avviata</v>
      </c>
      <c r="B283" t="str">
        <f t="shared" si="9"/>
        <v>ALR_POMPA_AVVIATA-Allarme pompa avviata</v>
      </c>
      <c r="C283" t="str">
        <f>VLOOKUP(B283,'[2]Classi allarmi RMT-STIG_rev4'!$C:$C,1,0)</f>
        <v>ALR_POMPA_AVVIATA-Allarme pompa avviata</v>
      </c>
      <c r="D283" t="str">
        <f>VLOOKUP(B283,'EXPORT IRIS PROD 13-11-2024'!A:A,1,0)</f>
        <v>ALR_POMPA_AVVIATA-Allarme pompa avviata</v>
      </c>
      <c r="E283" t="str">
        <f>VLOOKUP(H283,'EXPORT IRIS PROD 13-11-2024'!F:F,1,0)</f>
        <v>ALR_POMPA_AVVIATA</v>
      </c>
      <c r="F283" t="str">
        <f>VLOOKUP(I283,'EXPORT IRIS PROD 13-11-2024'!D:D,1,0)</f>
        <v>Allarme pompa avviata</v>
      </c>
      <c r="G283" s="37" t="s">
        <v>298</v>
      </c>
      <c r="H283" s="38" t="s">
        <v>564</v>
      </c>
      <c r="I283" s="38" t="s">
        <v>565</v>
      </c>
      <c r="J283" s="39" t="s">
        <v>38</v>
      </c>
      <c r="K283" s="39" t="s">
        <v>301</v>
      </c>
      <c r="L283" s="40" t="s">
        <v>31</v>
      </c>
      <c r="M283" s="41" t="s">
        <v>32</v>
      </c>
      <c r="N283" s="43">
        <v>2</v>
      </c>
      <c r="O283" s="43" t="s">
        <v>33</v>
      </c>
      <c r="P283" s="42" t="s">
        <v>34</v>
      </c>
      <c r="Q283" s="42" t="s">
        <v>31</v>
      </c>
      <c r="R283" s="44"/>
    </row>
    <row r="284" spans="1:18" customFormat="1" x14ac:dyDescent="0.25">
      <c r="A284" t="str">
        <f t="shared" si="8"/>
        <v>Impianto Antincendio_Motopompa_ALR_POMPA_AVVIATA-Allarme pompa avviata</v>
      </c>
      <c r="B284" t="str">
        <f t="shared" si="9"/>
        <v>ALR_POMPA_AVVIATA-Allarme pompa avviata</v>
      </c>
      <c r="C284" t="str">
        <f>VLOOKUP(B284,'[2]Classi allarmi RMT-STIG_rev4'!$C:$C,1,0)</f>
        <v>ALR_POMPA_AVVIATA-Allarme pompa avviata</v>
      </c>
      <c r="D284" t="str">
        <f>VLOOKUP(B284,'EXPORT IRIS PROD 13-11-2024'!A:A,1,0)</f>
        <v>ALR_POMPA_AVVIATA-Allarme pompa avviata</v>
      </c>
      <c r="E284" t="str">
        <f>VLOOKUP(H284,'EXPORT IRIS PROD 13-11-2024'!F:F,1,0)</f>
        <v>ALR_POMPA_AVVIATA</v>
      </c>
      <c r="F284" t="str">
        <f>VLOOKUP(I284,'EXPORT IRIS PROD 13-11-2024'!D:D,1,0)</f>
        <v>Allarme pompa avviata</v>
      </c>
      <c r="G284" s="37" t="s">
        <v>298</v>
      </c>
      <c r="H284" s="38" t="s">
        <v>564</v>
      </c>
      <c r="I284" s="38" t="s">
        <v>565</v>
      </c>
      <c r="J284" s="39" t="s">
        <v>38</v>
      </c>
      <c r="K284" s="39" t="s">
        <v>172</v>
      </c>
      <c r="L284" s="40" t="s">
        <v>31</v>
      </c>
      <c r="M284" s="41" t="s">
        <v>32</v>
      </c>
      <c r="N284" s="43">
        <v>2</v>
      </c>
      <c r="O284" s="43" t="s">
        <v>33</v>
      </c>
      <c r="P284" s="42" t="s">
        <v>34</v>
      </c>
      <c r="Q284" s="42" t="s">
        <v>31</v>
      </c>
      <c r="R284" s="44"/>
    </row>
    <row r="285" spans="1:18" customFormat="1" x14ac:dyDescent="0.25">
      <c r="A285" t="str">
        <f t="shared" si="8"/>
        <v>Impianto Antincendio_Pompa Jolly_ALR_POMPA_AVVIATA-Allarme pompa avviata</v>
      </c>
      <c r="B285" t="str">
        <f t="shared" si="9"/>
        <v>ALR_POMPA_AVVIATA-Allarme pompa avviata</v>
      </c>
      <c r="C285" t="str">
        <f>VLOOKUP(B285,'[2]Classi allarmi RMT-STIG_rev4'!$C:$C,1,0)</f>
        <v>ALR_POMPA_AVVIATA-Allarme pompa avviata</v>
      </c>
      <c r="D285" t="str">
        <f>VLOOKUP(B285,'EXPORT IRIS PROD 13-11-2024'!A:A,1,0)</f>
        <v>ALR_POMPA_AVVIATA-Allarme pompa avviata</v>
      </c>
      <c r="E285" t="str">
        <f>VLOOKUP(H285,'EXPORT IRIS PROD 13-11-2024'!F:F,1,0)</f>
        <v>ALR_POMPA_AVVIATA</v>
      </c>
      <c r="F285" t="str">
        <f>VLOOKUP(I285,'EXPORT IRIS PROD 13-11-2024'!D:D,1,0)</f>
        <v>Allarme pompa avviata</v>
      </c>
      <c r="G285" s="37" t="s">
        <v>298</v>
      </c>
      <c r="H285" s="38" t="s">
        <v>564</v>
      </c>
      <c r="I285" s="38" t="s">
        <v>565</v>
      </c>
      <c r="J285" s="39" t="s">
        <v>38</v>
      </c>
      <c r="K285" s="39" t="s">
        <v>566</v>
      </c>
      <c r="L285" s="40" t="s">
        <v>31</v>
      </c>
      <c r="M285" s="41" t="s">
        <v>32</v>
      </c>
      <c r="N285" s="43">
        <v>2</v>
      </c>
      <c r="O285" s="43" t="s">
        <v>33</v>
      </c>
      <c r="P285" s="42" t="s">
        <v>34</v>
      </c>
      <c r="Q285" s="42" t="s">
        <v>31</v>
      </c>
      <c r="R285" s="44"/>
    </row>
    <row r="286" spans="1:18" customFormat="1" x14ac:dyDescent="0.25">
      <c r="A286" t="str">
        <f t="shared" si="8"/>
        <v>Impianto Antincendio_Pompa Ricircolo_ALR_POMPA_AVVIATA-Allarme pompa avviata</v>
      </c>
      <c r="B286" t="str">
        <f t="shared" si="9"/>
        <v>ALR_POMPA_AVVIATA-Allarme pompa avviata</v>
      </c>
      <c r="C286" t="str">
        <f>VLOOKUP(B286,'[2]Classi allarmi RMT-STIG_rev4'!$C:$C,1,0)</f>
        <v>ALR_POMPA_AVVIATA-Allarme pompa avviata</v>
      </c>
      <c r="D286" t="str">
        <f>VLOOKUP(B286,'EXPORT IRIS PROD 13-11-2024'!A:A,1,0)</f>
        <v>ALR_POMPA_AVVIATA-Allarme pompa avviata</v>
      </c>
      <c r="E286" t="str">
        <f>VLOOKUP(H286,'EXPORT IRIS PROD 13-11-2024'!F:F,1,0)</f>
        <v>ALR_POMPA_AVVIATA</v>
      </c>
      <c r="F286" t="str">
        <f>VLOOKUP(I286,'EXPORT IRIS PROD 13-11-2024'!D:D,1,0)</f>
        <v>Allarme pompa avviata</v>
      </c>
      <c r="G286" s="37" t="s">
        <v>298</v>
      </c>
      <c r="H286" s="38" t="s">
        <v>564</v>
      </c>
      <c r="I286" s="38" t="s">
        <v>565</v>
      </c>
      <c r="J286" s="39" t="s">
        <v>38</v>
      </c>
      <c r="K286" s="39" t="s">
        <v>567</v>
      </c>
      <c r="L286" s="40" t="s">
        <v>31</v>
      </c>
      <c r="M286" s="41" t="s">
        <v>32</v>
      </c>
      <c r="N286" s="43">
        <v>2</v>
      </c>
      <c r="O286" s="43" t="s">
        <v>33</v>
      </c>
      <c r="P286" s="42" t="s">
        <v>34</v>
      </c>
      <c r="Q286" s="42" t="s">
        <v>31</v>
      </c>
      <c r="R286" s="44"/>
    </row>
    <row r="287" spans="1:18" customFormat="1" x14ac:dyDescent="0.25">
      <c r="A287" t="str">
        <f t="shared" si="8"/>
        <v>Impianto Antincendio_Pompa generica_ALR_POMPA_GASOLIO-Allarme pompa gasolio</v>
      </c>
      <c r="B287" t="str">
        <f t="shared" si="9"/>
        <v>ALR_POMPA_GASOLIO-Allarme pompa gasolio</v>
      </c>
      <c r="C287" t="str">
        <f>VLOOKUP(B287,'[2]Classi allarmi RMT-STIG_rev4'!$C:$C,1,0)</f>
        <v>ALR_POMPA_GASOLIO-Allarme pompa gasolio</v>
      </c>
      <c r="D287" t="str">
        <f>VLOOKUP(B287,'EXPORT IRIS PROD 13-11-2024'!A:A,1,0)</f>
        <v>ALR_POMPA_GASOLIO-Allarme pompa gasolio</v>
      </c>
      <c r="E287" t="str">
        <f>VLOOKUP(H287,'EXPORT IRIS PROD 13-11-2024'!F:F,1,0)</f>
        <v>ALR_POMPA_GASOLIO</v>
      </c>
      <c r="F287" t="str">
        <f>VLOOKUP(I287,'EXPORT IRIS PROD 13-11-2024'!D:D,1,0)</f>
        <v>Allarme pompa gasolio</v>
      </c>
      <c r="G287" s="37" t="s">
        <v>35</v>
      </c>
      <c r="H287" s="38" t="s">
        <v>568</v>
      </c>
      <c r="I287" s="38" t="s">
        <v>569</v>
      </c>
      <c r="J287" s="39" t="s">
        <v>38</v>
      </c>
      <c r="K287" s="39" t="s">
        <v>570</v>
      </c>
      <c r="L287" s="40" t="s">
        <v>21</v>
      </c>
      <c r="M287" s="41" t="s">
        <v>22</v>
      </c>
      <c r="N287" s="42" t="s">
        <v>23</v>
      </c>
      <c r="O287" s="43" t="s">
        <v>24</v>
      </c>
      <c r="P287" s="42" t="s">
        <v>25</v>
      </c>
      <c r="Q287" s="42" t="s">
        <v>21</v>
      </c>
      <c r="R287" s="44"/>
    </row>
    <row r="288" spans="1:18" customFormat="1" x14ac:dyDescent="0.25">
      <c r="A288" t="str">
        <f t="shared" si="8"/>
        <v>Impianto Antincendio_Pompa pilota_ALR_POMPA_PILOTA-Allarme generico pompa pilota</v>
      </c>
      <c r="B288" t="str">
        <f t="shared" si="9"/>
        <v>ALR_POMPA_PILOTA-Allarme generico pompa pilota</v>
      </c>
      <c r="C288" t="str">
        <f>VLOOKUP(B288,'[2]Classi allarmi RMT-STIG_rev4'!$C:$C,1,0)</f>
        <v>ALR_POMPA_PILOTA-Allarme generico pompa pilota</v>
      </c>
      <c r="D288" t="str">
        <f>VLOOKUP(B288,'EXPORT IRIS PROD 13-11-2024'!A:A,1,0)</f>
        <v>ALR_POMPA_PILOTA-Allarme generico pompa pilota</v>
      </c>
      <c r="E288" t="str">
        <f>VLOOKUP(H288,'EXPORT IRIS PROD 13-11-2024'!F:F,1,0)</f>
        <v>ALR_POMPA_PILOTA</v>
      </c>
      <c r="F288" t="str">
        <f>VLOOKUP(I288,'EXPORT IRIS PROD 13-11-2024'!D:D,1,0)</f>
        <v>Allarme generico pompa pilota</v>
      </c>
      <c r="G288" s="37" t="s">
        <v>35</v>
      </c>
      <c r="H288" s="38" t="s">
        <v>571</v>
      </c>
      <c r="I288" s="38" t="s">
        <v>572</v>
      </c>
      <c r="J288" s="39" t="s">
        <v>38</v>
      </c>
      <c r="K288" s="39" t="s">
        <v>573</v>
      </c>
      <c r="L288" s="40" t="s">
        <v>21</v>
      </c>
      <c r="M288" s="41" t="s">
        <v>22</v>
      </c>
      <c r="N288" s="42" t="s">
        <v>23</v>
      </c>
      <c r="O288" s="43" t="s">
        <v>24</v>
      </c>
      <c r="P288" s="42" t="s">
        <v>25</v>
      </c>
      <c r="Q288" s="42" t="s">
        <v>21</v>
      </c>
      <c r="R288" s="44"/>
    </row>
    <row r="289" spans="1:18" customFormat="1" x14ac:dyDescent="0.25">
      <c r="A289" t="str">
        <f t="shared" si="8"/>
        <v>Impianto Antincendio_Pompa pilota_ALR_POMPA_PILOTA_AVVIATA-Allarme pompa pilota avviata</v>
      </c>
      <c r="B289" t="str">
        <f t="shared" si="9"/>
        <v>ALR_POMPA_PILOTA_AVVIATA-Allarme pompa pilota avviata</v>
      </c>
      <c r="C289" t="str">
        <f>VLOOKUP(B289,'[2]Classi allarmi RMT-STIG_rev4'!$C:$C,1,0)</f>
        <v>ALR_POMPA_PILOTA_AVVIATA-Allarme pompa pilota avviata</v>
      </c>
      <c r="D289" t="str">
        <f>VLOOKUP(B289,'EXPORT IRIS PROD 13-11-2024'!A:A,1,0)</f>
        <v>ALR_POMPA_PILOTA_AVVIATA-Allarme pompa pilota avviata</v>
      </c>
      <c r="E289" t="str">
        <f>VLOOKUP(H289,'EXPORT IRIS PROD 13-11-2024'!F:F,1,0)</f>
        <v>ALR_POMPA_PILOTA_AVVIATA</v>
      </c>
      <c r="F289" t="str">
        <f>VLOOKUP(I289,'EXPORT IRIS PROD 13-11-2024'!D:D,1,0)</f>
        <v>Allarme pompa pilota avviata</v>
      </c>
      <c r="G289" s="37" t="s">
        <v>298</v>
      </c>
      <c r="H289" s="38" t="s">
        <v>574</v>
      </c>
      <c r="I289" s="38" t="s">
        <v>575</v>
      </c>
      <c r="J289" s="39" t="s">
        <v>38</v>
      </c>
      <c r="K289" s="39" t="s">
        <v>573</v>
      </c>
      <c r="L289" s="40" t="s">
        <v>31</v>
      </c>
      <c r="M289" s="41" t="s">
        <v>32</v>
      </c>
      <c r="N289" s="43">
        <v>2</v>
      </c>
      <c r="O289" s="43" t="s">
        <v>33</v>
      </c>
      <c r="P289" s="42" t="s">
        <v>34</v>
      </c>
      <c r="Q289" s="42" t="s">
        <v>31</v>
      </c>
      <c r="R289" s="44"/>
    </row>
    <row r="290" spans="1:18" customFormat="1" x14ac:dyDescent="0.25">
      <c r="A290" t="str">
        <f t="shared" si="8"/>
        <v>Impianto Bypass_Porta bypass_ALR_PORTA-Allarme porta aperta bypass</v>
      </c>
      <c r="B290" t="str">
        <f t="shared" si="9"/>
        <v>ALR_PORTA-Allarme porta aperta bypass</v>
      </c>
      <c r="C290" t="str">
        <f>VLOOKUP(B290,'[2]Classi allarmi RMT-STIG_rev4'!$C:$C,1,0)</f>
        <v>ALR_PORTA-Allarme porta aperta bypass</v>
      </c>
      <c r="D290" t="str">
        <f>VLOOKUP(B290,'EXPORT IRIS PROD 13-11-2024'!A:A,1,0)</f>
        <v>ALR_PORTA-Allarme porta aperta bypass</v>
      </c>
      <c r="E290" t="str">
        <f>VLOOKUP(H290,'EXPORT IRIS PROD 13-11-2024'!F:F,1,0)</f>
        <v>ALR_PORTA</v>
      </c>
      <c r="F290" t="str">
        <f>VLOOKUP(I290,'EXPORT IRIS PROD 13-11-2024'!D:D,1,0)</f>
        <v>Allarme porta aperta bypass</v>
      </c>
      <c r="G290" s="37" t="s">
        <v>576</v>
      </c>
      <c r="H290" s="38" t="s">
        <v>577</v>
      </c>
      <c r="I290" s="45" t="s">
        <v>578</v>
      </c>
      <c r="J290" s="46" t="s">
        <v>274</v>
      </c>
      <c r="K290" s="46" t="s">
        <v>579</v>
      </c>
      <c r="L290" s="47" t="s">
        <v>31</v>
      </c>
      <c r="M290" s="48" t="s">
        <v>32</v>
      </c>
      <c r="N290" s="43">
        <v>2</v>
      </c>
      <c r="O290" s="43" t="s">
        <v>157</v>
      </c>
      <c r="P290" s="43" t="s">
        <v>158</v>
      </c>
      <c r="Q290" s="42" t="s">
        <v>21</v>
      </c>
      <c r="R290" s="49"/>
    </row>
    <row r="291" spans="1:18" customFormat="1" x14ac:dyDescent="0.25">
      <c r="A291" t="str">
        <f t="shared" si="8"/>
        <v>Impianto SOS_Colonnina Sos_ALR_PORTA_ESTINTORI-Allarme porta estintore aperta</v>
      </c>
      <c r="B291" t="str">
        <f t="shared" si="9"/>
        <v>ALR_PORTA_ESTINTORI-Allarme porta estintore aperta</v>
      </c>
      <c r="C291" t="str">
        <f>VLOOKUP(B291,'[2]Classi allarmi RMT-STIG_rev4'!$C:$C,1,0)</f>
        <v>ALR_PORTA_ESTINTORI-Allarme porta estintore aperta</v>
      </c>
      <c r="D291" t="str">
        <f>VLOOKUP(B291,'EXPORT IRIS PROD 13-11-2024'!A:A,1,0)</f>
        <v>ALR_PORTA_ESTINTORI-Allarme porta estintore aperta</v>
      </c>
      <c r="E291" t="str">
        <f>VLOOKUP(H291,'EXPORT IRIS PROD 13-11-2024'!F:F,1,0)</f>
        <v>ALR_PORTA_ESTINTORI</v>
      </c>
      <c r="F291" t="str">
        <f>VLOOKUP(I291,'EXPORT IRIS PROD 13-11-2024'!D:D,1,0)</f>
        <v>Allarme porta estintore aperta</v>
      </c>
      <c r="G291" s="37" t="s">
        <v>26</v>
      </c>
      <c r="H291" s="38" t="s">
        <v>580</v>
      </c>
      <c r="I291" s="38" t="s">
        <v>581</v>
      </c>
      <c r="J291" s="39" t="s">
        <v>29</v>
      </c>
      <c r="K291" s="50" t="s">
        <v>30</v>
      </c>
      <c r="L291" s="40" t="s">
        <v>31</v>
      </c>
      <c r="M291" s="41" t="s">
        <v>32</v>
      </c>
      <c r="N291" s="43">
        <v>1</v>
      </c>
      <c r="O291" s="43" t="s">
        <v>24</v>
      </c>
      <c r="P291" s="42" t="s">
        <v>25</v>
      </c>
      <c r="Q291" s="42" t="s">
        <v>21</v>
      </c>
      <c r="R291" s="52"/>
    </row>
    <row r="292" spans="1:18" customFormat="1" x14ac:dyDescent="0.25">
      <c r="A292" t="str">
        <f t="shared" si="8"/>
        <v>Impianto Rete dati_PLC Rack_ALR_PORTA_IN_ERRORE-Allarme porta in errore RACK</v>
      </c>
      <c r="B292" t="str">
        <f t="shared" si="9"/>
        <v>ALR_PORTA_IN_ERRORE-Allarme porta in errore RACK</v>
      </c>
      <c r="C292" t="str">
        <f>VLOOKUP(B292,'[2]Classi allarmi RMT-STIG_rev4'!$C:$C,1,0)</f>
        <v>ALR_PORTA_IN_ERRORE-Allarme porta in errore RACK</v>
      </c>
      <c r="D292" t="str">
        <f>VLOOKUP(B292,'EXPORT IRIS PROD 13-11-2024'!A:A,1,0)</f>
        <v>ALR_PORTA_IN_ERRORE-Allarme porta in errore RACK</v>
      </c>
      <c r="E292" t="str">
        <f>VLOOKUP(H292,'EXPORT IRIS PROD 13-11-2024'!F:F,1,0)</f>
        <v>ALR_PORTA_IN_ERRORE</v>
      </c>
      <c r="F292" t="str">
        <f>VLOOKUP(I292,'EXPORT IRIS PROD 13-11-2024'!D:D,1,0)</f>
        <v>Allarme porta in errore RACK</v>
      </c>
      <c r="G292" s="37" t="s">
        <v>16</v>
      </c>
      <c r="H292" s="38" t="s">
        <v>582</v>
      </c>
      <c r="I292" s="38" t="s">
        <v>583</v>
      </c>
      <c r="J292" s="39" t="s">
        <v>19</v>
      </c>
      <c r="K292" s="39" t="s">
        <v>584</v>
      </c>
      <c r="L292" s="40" t="s">
        <v>21</v>
      </c>
      <c r="M292" s="41" t="s">
        <v>22</v>
      </c>
      <c r="N292" s="42" t="s">
        <v>23</v>
      </c>
      <c r="O292" s="43" t="s">
        <v>24</v>
      </c>
      <c r="P292" s="42" t="s">
        <v>25</v>
      </c>
      <c r="Q292" s="42" t="s">
        <v>21</v>
      </c>
      <c r="R292" s="44"/>
    </row>
    <row r="293" spans="1:18" customFormat="1" x14ac:dyDescent="0.25">
      <c r="A293" t="str">
        <f t="shared" si="8"/>
        <v>Cabina Elettrica_Porta locali tecnici_ALR_PORTA_LOCALI-Allarme porta aperta locali</v>
      </c>
      <c r="B293" t="str">
        <f t="shared" si="9"/>
        <v>ALR_PORTA_LOCALI-Allarme porta aperta locali</v>
      </c>
      <c r="C293" t="str">
        <f>VLOOKUP(B293,'[2]Classi allarmi RMT-STIG_rev4'!$C:$C,1,0)</f>
        <v>ALR_PORTA_LOCALI-Allarme porta aperta locali</v>
      </c>
      <c r="D293" t="str">
        <f>VLOOKUP(B293,'EXPORT IRIS PROD 13-11-2024'!A:A,1,0)</f>
        <v>ALR_PORTA_LOCALI-Allarme porta aperta locali</v>
      </c>
      <c r="E293" t="str">
        <f>VLOOKUP(H293,'EXPORT IRIS PROD 13-11-2024'!F:F,1,0)</f>
        <v>ALR_PORTA_LOCALI</v>
      </c>
      <c r="F293" t="str">
        <f>VLOOKUP(I293,'EXPORT IRIS PROD 13-11-2024'!D:D,1,0)</f>
        <v>Allarme porta aperta locali</v>
      </c>
      <c r="G293" s="37" t="s">
        <v>468</v>
      </c>
      <c r="H293" s="38" t="s">
        <v>585</v>
      </c>
      <c r="I293" s="38" t="s">
        <v>586</v>
      </c>
      <c r="J293" s="39" t="s">
        <v>385</v>
      </c>
      <c r="K293" s="39" t="s">
        <v>587</v>
      </c>
      <c r="L293" s="40" t="s">
        <v>31</v>
      </c>
      <c r="M293" s="41" t="s">
        <v>32</v>
      </c>
      <c r="N293" s="43">
        <v>2</v>
      </c>
      <c r="O293" s="43" t="s">
        <v>33</v>
      </c>
      <c r="P293" s="42" t="s">
        <v>34</v>
      </c>
      <c r="Q293" s="42" t="s">
        <v>31</v>
      </c>
      <c r="R293" s="44"/>
    </row>
    <row r="294" spans="1:18" customFormat="1" x14ac:dyDescent="0.25">
      <c r="A294" t="str">
        <f t="shared" si="8"/>
        <v>Impianto SOS_Colonnina Sos_ALR_PORTA_MANICHETTA-Allarme porta manichetta aperta</v>
      </c>
      <c r="B294" t="str">
        <f t="shared" si="9"/>
        <v>ALR_PORTA_MANICHETTA-Allarme porta manichetta aperta</v>
      </c>
      <c r="C294" t="str">
        <f>VLOOKUP(B294,'[2]Classi allarmi RMT-STIG_rev4'!$C:$C,1,0)</f>
        <v>ALR_PORTA_MANICHETTA-Allarme porta manichetta aperta</v>
      </c>
      <c r="D294" t="str">
        <f>VLOOKUP(B294,'EXPORT IRIS PROD 13-11-2024'!A:A,1,0)</f>
        <v>ALR_PORTA_MANICHETTA-Allarme porta manichetta aperta</v>
      </c>
      <c r="E294" t="str">
        <f>VLOOKUP(H294,'EXPORT IRIS PROD 13-11-2024'!F:F,1,0)</f>
        <v>ALR_PORTA_MANICHETTA</v>
      </c>
      <c r="F294" t="str">
        <f>VLOOKUP(I294,'EXPORT IRIS PROD 13-11-2024'!D:D,1,0)</f>
        <v>Allarme porta manichetta aperta</v>
      </c>
      <c r="G294" s="37" t="s">
        <v>26</v>
      </c>
      <c r="H294" s="38" t="s">
        <v>588</v>
      </c>
      <c r="I294" s="45" t="s">
        <v>589</v>
      </c>
      <c r="J294" s="46" t="s">
        <v>29</v>
      </c>
      <c r="K294" s="46" t="s">
        <v>30</v>
      </c>
      <c r="L294" s="47" t="s">
        <v>31</v>
      </c>
      <c r="M294" s="48" t="s">
        <v>32</v>
      </c>
      <c r="N294" s="43">
        <v>1</v>
      </c>
      <c r="O294" s="43" t="s">
        <v>24</v>
      </c>
      <c r="P294" s="43" t="s">
        <v>25</v>
      </c>
      <c r="Q294" s="42" t="s">
        <v>21</v>
      </c>
      <c r="R294" s="49"/>
    </row>
    <row r="295" spans="1:18" customFormat="1" x14ac:dyDescent="0.25">
      <c r="A295" t="str">
        <f t="shared" si="8"/>
        <v>Impianto SOS_Porta manichetta_ALR_PORTA_MANICHETTA-Allarme porta manichetta aperta</v>
      </c>
      <c r="B295" t="str">
        <f t="shared" si="9"/>
        <v>ALR_PORTA_MANICHETTA-Allarme porta manichetta aperta</v>
      </c>
      <c r="C295" t="str">
        <f>VLOOKUP(B295,'[2]Classi allarmi RMT-STIG_rev4'!$C:$C,1,0)</f>
        <v>ALR_PORTA_MANICHETTA-Allarme porta manichetta aperta</v>
      </c>
      <c r="D295" t="str">
        <f>VLOOKUP(B295,'EXPORT IRIS PROD 13-11-2024'!A:A,1,0)</f>
        <v>ALR_PORTA_MANICHETTA-Allarme porta manichetta aperta</v>
      </c>
      <c r="E295" t="str">
        <f>VLOOKUP(H295,'EXPORT IRIS PROD 13-11-2024'!F:F,1,0)</f>
        <v>ALR_PORTA_MANICHETTA</v>
      </c>
      <c r="F295" t="str">
        <f>VLOOKUP(I295,'EXPORT IRIS PROD 13-11-2024'!D:D,1,0)</f>
        <v>Allarme porta manichetta aperta</v>
      </c>
      <c r="G295" s="37" t="s">
        <v>26</v>
      </c>
      <c r="H295" s="38" t="s">
        <v>588</v>
      </c>
      <c r="I295" s="45" t="s">
        <v>589</v>
      </c>
      <c r="J295" s="46" t="s">
        <v>29</v>
      </c>
      <c r="K295" s="46" t="s">
        <v>590</v>
      </c>
      <c r="L295" s="47" t="s">
        <v>31</v>
      </c>
      <c r="M295" s="48" t="s">
        <v>32</v>
      </c>
      <c r="N295" s="43">
        <v>1</v>
      </c>
      <c r="O295" s="43" t="s">
        <v>24</v>
      </c>
      <c r="P295" s="43" t="s">
        <v>25</v>
      </c>
      <c r="Q295" s="42" t="s">
        <v>21</v>
      </c>
      <c r="R295" s="49"/>
    </row>
    <row r="296" spans="1:18" customFormat="1" x14ac:dyDescent="0.25">
      <c r="A296" t="str">
        <f t="shared" si="8"/>
        <v>Impianto SOS_Colonnina Sos_ALR_PORTA_PLC-Allarme porta PLC RIO aperta</v>
      </c>
      <c r="B296" t="str">
        <f t="shared" si="9"/>
        <v>ALR_PORTA_PLC-Allarme porta PLC RIO aperta</v>
      </c>
      <c r="C296" t="str">
        <f>VLOOKUP(B296,'[2]Classi allarmi RMT-STIG_rev4'!$C:$C,1,0)</f>
        <v>ALR_PORTA_PLC-Allarme porta PLC RIO aperta</v>
      </c>
      <c r="D296" t="str">
        <f>VLOOKUP(B296,'EXPORT IRIS PROD 13-11-2024'!A:A,1,0)</f>
        <v>ALR_PORTA_PLC-Allarme porta PLC RIO aperta</v>
      </c>
      <c r="E296" t="str">
        <f>VLOOKUP(H296,'EXPORT IRIS PROD 13-11-2024'!F:F,1,0)</f>
        <v>ALR_PORTA_PLC</v>
      </c>
      <c r="F296" t="str">
        <f>VLOOKUP(I296,'EXPORT IRIS PROD 13-11-2024'!D:D,1,0)</f>
        <v>Allarme porta PLC RIO aperta</v>
      </c>
      <c r="G296" s="37" t="s">
        <v>89</v>
      </c>
      <c r="H296" s="38" t="s">
        <v>591</v>
      </c>
      <c r="I296" s="38" t="s">
        <v>592</v>
      </c>
      <c r="J296" s="39" t="s">
        <v>29</v>
      </c>
      <c r="K296" s="39" t="s">
        <v>30</v>
      </c>
      <c r="L296" s="40" t="s">
        <v>21</v>
      </c>
      <c r="M296" s="41" t="s">
        <v>22</v>
      </c>
      <c r="N296" s="42" t="s">
        <v>23</v>
      </c>
      <c r="O296" s="43" t="s">
        <v>24</v>
      </c>
      <c r="P296" s="42" t="s">
        <v>25</v>
      </c>
      <c r="Q296" s="42" t="s">
        <v>21</v>
      </c>
      <c r="R296" s="44"/>
    </row>
    <row r="297" spans="1:18" customFormat="1" x14ac:dyDescent="0.25">
      <c r="A297" t="str">
        <f t="shared" si="8"/>
        <v>Impianto SOS_Colonnina Sos_ALR_PORTA_TELEFONO-Allarme porta telefono aperta</v>
      </c>
      <c r="B297" t="str">
        <f t="shared" si="9"/>
        <v>ALR_PORTA_TELEFONO-Allarme porta telefono aperta</v>
      </c>
      <c r="C297" t="str">
        <f>VLOOKUP(B297,'[2]Classi allarmi RMT-STIG_rev4'!$C:$C,1,0)</f>
        <v>ALR_PORTA_TELEFONO-Allarme porta telefono aperta</v>
      </c>
      <c r="D297" t="str">
        <f>VLOOKUP(B297,'EXPORT IRIS PROD 13-11-2024'!A:A,1,0)</f>
        <v>ALR_PORTA_TELEFONO-Allarme porta telefono aperta</v>
      </c>
      <c r="E297" t="str">
        <f>VLOOKUP(H297,'EXPORT IRIS PROD 13-11-2024'!F:F,1,0)</f>
        <v>ALR_PORTA_TELEFONO</v>
      </c>
      <c r="F297" t="str">
        <f>VLOOKUP(I297,'EXPORT IRIS PROD 13-11-2024'!D:D,1,0)</f>
        <v>Allarme porta telefono aperta</v>
      </c>
      <c r="G297" s="37" t="s">
        <v>89</v>
      </c>
      <c r="H297" s="38" t="s">
        <v>593</v>
      </c>
      <c r="I297" s="38" t="s">
        <v>594</v>
      </c>
      <c r="J297" s="39" t="s">
        <v>29</v>
      </c>
      <c r="K297" s="39" t="s">
        <v>30</v>
      </c>
      <c r="L297" s="40" t="s">
        <v>21</v>
      </c>
      <c r="M297" s="41" t="s">
        <v>22</v>
      </c>
      <c r="N297" s="42" t="s">
        <v>23</v>
      </c>
      <c r="O297" s="43" t="s">
        <v>24</v>
      </c>
      <c r="P297" s="42" t="s">
        <v>25</v>
      </c>
      <c r="Q297" s="42" t="s">
        <v>21</v>
      </c>
      <c r="R297" s="44"/>
    </row>
    <row r="298" spans="1:18" customFormat="1" ht="15.6" customHeight="1" x14ac:dyDescent="0.25">
      <c r="A298" t="str">
        <f t="shared" si="8"/>
        <v>Impianto Elettrico_Gruppo elettrogeno_ALR_POTENZA_INVERSA_ALTERNATORE-Allarme potenza inversa alternatore</v>
      </c>
      <c r="B298" t="str">
        <f t="shared" si="9"/>
        <v>ALR_POTENZA_INVERSA_ALTERNATORE-Allarme potenza inversa alternatore</v>
      </c>
      <c r="C298" t="str">
        <f>VLOOKUP(B298,'[2]Classi allarmi RMT-STIG_rev4'!$C:$C,1,0)</f>
        <v>ALR_POTENZA_INVERSA_ALTERNATORE-Allarme potenza inversa alternatore</v>
      </c>
      <c r="D298" t="str">
        <f>VLOOKUP(B298,'EXPORT IRIS PROD 13-11-2024'!A:A,1,0)</f>
        <v>ALR_POTENZA_INVERSA_ALTERNATORE-Allarme potenza inversa alternatore</v>
      </c>
      <c r="E298" t="str">
        <f>VLOOKUP(H298,'EXPORT IRIS PROD 13-11-2024'!F:F,1,0)</f>
        <v>ALR_POTENZA_INVERSA_ALTERNATORE</v>
      </c>
      <c r="F298" t="str">
        <f>VLOOKUP(I298,'EXPORT IRIS PROD 13-11-2024'!D:D,1,0)</f>
        <v>Allarme potenza inversa alternatore</v>
      </c>
      <c r="G298" s="37" t="s">
        <v>53</v>
      </c>
      <c r="H298" s="38" t="s">
        <v>595</v>
      </c>
      <c r="I298" s="38" t="s">
        <v>596</v>
      </c>
      <c r="J298" s="39" t="s">
        <v>56</v>
      </c>
      <c r="K298" s="39" t="s">
        <v>57</v>
      </c>
      <c r="L298" s="40" t="s">
        <v>21</v>
      </c>
      <c r="M298" s="41" t="s">
        <v>22</v>
      </c>
      <c r="N298" s="42" t="s">
        <v>23</v>
      </c>
      <c r="O298" s="43" t="s">
        <v>24</v>
      </c>
      <c r="P298" s="42" t="s">
        <v>25</v>
      </c>
      <c r="Q298" s="42" t="s">
        <v>21</v>
      </c>
      <c r="R298" s="44"/>
    </row>
    <row r="299" spans="1:18" customFormat="1" x14ac:dyDescent="0.25">
      <c r="A299" t="str">
        <f t="shared" si="8"/>
        <v>Impianto Allagamento_Sensore allagamento_ALR_PREALLARME_ALLAGAMENTO-Preallarme allagamento</v>
      </c>
      <c r="B299" t="str">
        <f t="shared" si="9"/>
        <v>ALR_PREALLARME_ALLAGAMENTO-Preallarme allagamento</v>
      </c>
      <c r="C299" t="str">
        <f>VLOOKUP(B299,'[2]Classi allarmi RMT-STIG_rev4'!$C:$C,1,0)</f>
        <v>ALR_PREALLARME_ALLAGAMENTO-Preallarme allagamento</v>
      </c>
      <c r="D299" t="str">
        <f>VLOOKUP(B299,'EXPORT IRIS PROD 13-11-2024'!A:A,1,0)</f>
        <v>ALR_PREALLARME_ALLAGAMENTO-Preallarme allagamento</v>
      </c>
      <c r="E299" t="str">
        <f>VLOOKUP(H299,'EXPORT IRIS PROD 13-11-2024'!F:F,1,0)</f>
        <v>ALR_PREALLARME_ALLAGAMENTO</v>
      </c>
      <c r="F299" t="str">
        <f>VLOOKUP(I299,'EXPORT IRIS PROD 13-11-2024'!D:D,1,0)</f>
        <v>Preallarme allagamento</v>
      </c>
      <c r="G299" s="37" t="s">
        <v>70</v>
      </c>
      <c r="H299" s="38" t="s">
        <v>597</v>
      </c>
      <c r="I299" s="45" t="s">
        <v>598</v>
      </c>
      <c r="J299" s="46" t="s">
        <v>73</v>
      </c>
      <c r="K299" s="46" t="s">
        <v>599</v>
      </c>
      <c r="L299" s="47" t="s">
        <v>31</v>
      </c>
      <c r="M299" s="48" t="s">
        <v>32</v>
      </c>
      <c r="N299" s="43">
        <v>2</v>
      </c>
      <c r="O299" s="43" t="s">
        <v>157</v>
      </c>
      <c r="P299" s="43" t="s">
        <v>158</v>
      </c>
      <c r="Q299" s="42" t="s">
        <v>21</v>
      </c>
      <c r="R299" s="49"/>
    </row>
    <row r="300" spans="1:18" customFormat="1" x14ac:dyDescent="0.25">
      <c r="A300" t="str">
        <f t="shared" si="8"/>
        <v>Impianto Elettrico_Trasformatore_ALR_PREALLARME_TRAFO-Preallarme temperatura trafo</v>
      </c>
      <c r="B300" t="str">
        <f t="shared" si="9"/>
        <v>ALR_PREALLARME_TRAFO-Preallarme temperatura trafo</v>
      </c>
      <c r="C300" t="str">
        <f>VLOOKUP(B300,'[2]Classi allarmi RMT-STIG_rev4'!$C:$C,1,0)</f>
        <v>ALR_PREALLARME_TRAFO-Preallarme temperatura trafo</v>
      </c>
      <c r="D300" t="str">
        <f>VLOOKUP(B300,'EXPORT IRIS PROD 13-11-2024'!A:A,1,0)</f>
        <v>ALR_PREALLARME_TRAFO-Preallarme temperatura trafo</v>
      </c>
      <c r="E300" t="str">
        <f>VLOOKUP(H300,'EXPORT IRIS PROD 13-11-2024'!F:F,1,0)</f>
        <v>ALR_PREALLARME_TRAFO</v>
      </c>
      <c r="F300" t="str">
        <f>VLOOKUP(I300,'EXPORT IRIS PROD 13-11-2024'!D:D,1,0)</f>
        <v>Preallarme temperatura trafo</v>
      </c>
      <c r="G300" s="37" t="s">
        <v>53</v>
      </c>
      <c r="H300" s="38" t="s">
        <v>600</v>
      </c>
      <c r="I300" s="38" t="s">
        <v>601</v>
      </c>
      <c r="J300" s="39" t="s">
        <v>56</v>
      </c>
      <c r="K300" s="39" t="s">
        <v>208</v>
      </c>
      <c r="L300" s="40" t="s">
        <v>21</v>
      </c>
      <c r="M300" s="41" t="s">
        <v>22</v>
      </c>
      <c r="N300" s="42" t="s">
        <v>23</v>
      </c>
      <c r="O300" s="43" t="s">
        <v>24</v>
      </c>
      <c r="P300" s="42" t="s">
        <v>25</v>
      </c>
      <c r="Q300" s="42" t="s">
        <v>21</v>
      </c>
      <c r="R300" s="44"/>
    </row>
    <row r="301" spans="1:18" customFormat="1" x14ac:dyDescent="0.25">
      <c r="A301" t="str">
        <f t="shared" si="8"/>
        <v>Impianto Elettrico_Gruppo elettrogeno_ALR_PRESSIONE-Allarme alta pressione Gruppo Elettrogeno Allarme pressione</v>
      </c>
      <c r="B301" t="str">
        <f t="shared" si="9"/>
        <v>ALR_PRESSIONE-Allarme alta pressione Gruppo Elettrogeno Allarme pressione</v>
      </c>
      <c r="C301" t="e">
        <f>VLOOKUP(B301,'[2]Classi allarmi RMT-STIG_rev4'!$C:$C,1,0)</f>
        <v>#N/A</v>
      </c>
      <c r="D301" s="86" t="e">
        <f>VLOOKUP(B301,'EXPORT IRIS PROD 13-11-2024'!A:A,1,0)</f>
        <v>#N/A</v>
      </c>
      <c r="E301" t="str">
        <f>VLOOKUP(H301,'EXPORT IRIS PROD 13-11-2024'!F:F,1,0)</f>
        <v>ALR_PRESSIONE</v>
      </c>
      <c r="F301" t="e">
        <f>VLOOKUP(I301,'EXPORT IRIS PROD 13-11-2024'!D:D,1,0)</f>
        <v>#N/A</v>
      </c>
      <c r="G301" s="37" t="s">
        <v>53</v>
      </c>
      <c r="H301" s="38" t="s">
        <v>602</v>
      </c>
      <c r="I301" s="38" t="s">
        <v>603</v>
      </c>
      <c r="J301" s="39" t="s">
        <v>56</v>
      </c>
      <c r="K301" s="39" t="s">
        <v>57</v>
      </c>
      <c r="L301" s="40" t="s">
        <v>21</v>
      </c>
      <c r="M301" s="41" t="s">
        <v>22</v>
      </c>
      <c r="N301" s="42" t="s">
        <v>23</v>
      </c>
      <c r="O301" s="43" t="s">
        <v>24</v>
      </c>
      <c r="P301" s="42" t="s">
        <v>25</v>
      </c>
      <c r="Q301" s="42" t="s">
        <v>21</v>
      </c>
      <c r="R301" s="44"/>
    </row>
    <row r="302" spans="1:18" customFormat="1" x14ac:dyDescent="0.25">
      <c r="A302" t="str">
        <f t="shared" si="8"/>
        <v>Impianto Rilevazione Incendio_Centralina rilevazione incendio_ALR_PROGRAMMA_CENTRALINA-Allarme programma centralina</v>
      </c>
      <c r="B302" t="str">
        <f t="shared" si="9"/>
        <v>ALR_PROGRAMMA_CENTRALINA-Allarme programma centralina</v>
      </c>
      <c r="C302" t="str">
        <f>VLOOKUP(B302,'[2]Classi allarmi RMT-STIG_rev4'!$C:$C,1,0)</f>
        <v>ALR_PROGRAMMA_CENTRALINA-Allarme programma centralina</v>
      </c>
      <c r="D302" t="str">
        <f>VLOOKUP(B302,'EXPORT IRIS PROD 13-11-2024'!A:A,1,0)</f>
        <v>ALR_PROGRAMMA_CENTRALINA-Allarme programma centralina</v>
      </c>
      <c r="E302" t="str">
        <f>VLOOKUP(H302,'EXPORT IRIS PROD 13-11-2024'!F:F,1,0)</f>
        <v>ALR_PROGRAMMA_CENTRALINA</v>
      </c>
      <c r="F302" t="str">
        <f>VLOOKUP(I302,'EXPORT IRIS PROD 13-11-2024'!D:D,1,0)</f>
        <v>Allarme programma centralina</v>
      </c>
      <c r="G302" s="37" t="s">
        <v>105</v>
      </c>
      <c r="H302" s="38" t="s">
        <v>604</v>
      </c>
      <c r="I302" s="38" t="s">
        <v>605</v>
      </c>
      <c r="J302" s="39" t="s">
        <v>43</v>
      </c>
      <c r="K302" s="39" t="s">
        <v>108</v>
      </c>
      <c r="L302" s="40" t="s">
        <v>21</v>
      </c>
      <c r="M302" s="41" t="s">
        <v>22</v>
      </c>
      <c r="N302" s="42" t="s">
        <v>23</v>
      </c>
      <c r="O302" s="43" t="s">
        <v>24</v>
      </c>
      <c r="P302" s="42" t="s">
        <v>25</v>
      </c>
      <c r="Q302" s="42" t="s">
        <v>21</v>
      </c>
      <c r="R302" s="44"/>
    </row>
    <row r="303" spans="1:18" customFormat="1" x14ac:dyDescent="0.25">
      <c r="A303" t="str">
        <f t="shared" si="8"/>
        <v>Impianto Ventilazione_Ventilatore_ALR_PROTEZIONE_COMANDO_AVANTI-Allarme protezione comando avanti</v>
      </c>
      <c r="B303" t="str">
        <f t="shared" si="9"/>
        <v>ALR_PROTEZIONE_COMANDO_AVANTI-Allarme protezione comando avanti</v>
      </c>
      <c r="C303" t="str">
        <f>VLOOKUP(B303,'[2]Classi allarmi RMT-STIG_rev4'!$C:$C,1,0)</f>
        <v>ALR_PROTEZIONE_COMANDO_AVANTI-Allarme protezione comando avanti</v>
      </c>
      <c r="D303" t="str">
        <f>VLOOKUP(B303,'EXPORT IRIS PROD 13-11-2024'!A:A,1,0)</f>
        <v>ALR_PROTEZIONE_COMANDO_AVANTI-Allarme protezione comando avanti</v>
      </c>
      <c r="E303" t="str">
        <f>VLOOKUP(H303,'EXPORT IRIS PROD 13-11-2024'!F:F,1,0)</f>
        <v>ALR_PROTEZIONE_COMANDO_AVANTI</v>
      </c>
      <c r="F303" t="str">
        <f>VLOOKUP(I303,'EXPORT IRIS PROD 13-11-2024'!D:D,1,0)</f>
        <v>Allarme protezione comando avanti</v>
      </c>
      <c r="G303" s="37" t="s">
        <v>85</v>
      </c>
      <c r="H303" s="38" t="s">
        <v>606</v>
      </c>
      <c r="I303" s="38" t="s">
        <v>607</v>
      </c>
      <c r="J303" s="39" t="s">
        <v>50</v>
      </c>
      <c r="K303" s="39" t="s">
        <v>124</v>
      </c>
      <c r="L303" s="40" t="s">
        <v>21</v>
      </c>
      <c r="M303" s="41" t="s">
        <v>22</v>
      </c>
      <c r="N303" s="42" t="s">
        <v>23</v>
      </c>
      <c r="O303" s="43" t="s">
        <v>24</v>
      </c>
      <c r="P303" s="42" t="s">
        <v>25</v>
      </c>
      <c r="Q303" s="42" t="s">
        <v>21</v>
      </c>
      <c r="R303" s="44"/>
    </row>
    <row r="304" spans="1:18" customFormat="1" x14ac:dyDescent="0.25">
      <c r="A304" t="str">
        <f t="shared" si="8"/>
        <v>Impianto Ventilazione_Ventilatore_ALR_PROTEZIONE_COMANDO_INDIETRO-Allarme protezione comando indietro</v>
      </c>
      <c r="B304" t="str">
        <f t="shared" si="9"/>
        <v>ALR_PROTEZIONE_COMANDO_INDIETRO-Allarme protezione comando indietro</v>
      </c>
      <c r="C304" t="str">
        <f>VLOOKUP(B304,'[2]Classi allarmi RMT-STIG_rev4'!$C:$C,1,0)</f>
        <v>ALR_PROTEZIONE_COMANDO_INDIETRO-Allarme protezione comando indietro</v>
      </c>
      <c r="D304" t="str">
        <f>VLOOKUP(B304,'EXPORT IRIS PROD 13-11-2024'!A:A,1,0)</f>
        <v>ALR_PROTEZIONE_COMANDO_INDIETRO-Allarme protezione comando indietro</v>
      </c>
      <c r="E304" t="str">
        <f>VLOOKUP(H304,'EXPORT IRIS PROD 13-11-2024'!F:F,1,0)</f>
        <v>ALR_PROTEZIONE_COMANDO_INDIETRO</v>
      </c>
      <c r="F304" t="str">
        <f>VLOOKUP(I304,'EXPORT IRIS PROD 13-11-2024'!D:D,1,0)</f>
        <v>Allarme protezione comando indietro</v>
      </c>
      <c r="G304" s="37" t="s">
        <v>85</v>
      </c>
      <c r="H304" s="38" t="s">
        <v>608</v>
      </c>
      <c r="I304" s="38" t="s">
        <v>609</v>
      </c>
      <c r="J304" s="39" t="s">
        <v>50</v>
      </c>
      <c r="K304" s="39" t="s">
        <v>124</v>
      </c>
      <c r="L304" s="40" t="s">
        <v>21</v>
      </c>
      <c r="M304" s="41" t="s">
        <v>22</v>
      </c>
      <c r="N304" s="42" t="s">
        <v>23</v>
      </c>
      <c r="O304" s="43" t="s">
        <v>24</v>
      </c>
      <c r="P304" s="42" t="s">
        <v>25</v>
      </c>
      <c r="Q304" s="42" t="s">
        <v>21</v>
      </c>
      <c r="R304" s="44"/>
    </row>
    <row r="305" spans="1:18" customFormat="1" x14ac:dyDescent="0.25">
      <c r="A305" t="str">
        <f t="shared" si="8"/>
        <v>Impianto Elettrico_Quadro elettrico_ALR_PROTEZIONE_GALLERIA_CANNA_NORD-Allarme protezione galleria canna Nord</v>
      </c>
      <c r="B305" t="str">
        <f t="shared" si="9"/>
        <v>ALR_PROTEZIONE_GALLERIA_CANNA_NORD-Allarme protezione galleria canna Nord</v>
      </c>
      <c r="C305" t="str">
        <f>VLOOKUP(B305,'[2]Classi allarmi RMT-STIG_rev4'!$C:$C,1,0)</f>
        <v>ALR_PROTEZIONE_GALLERIA_CANNA_NORD-Allarme protezione galleria canna Nord</v>
      </c>
      <c r="D305" t="str">
        <f>VLOOKUP(B305,'EXPORT IRIS PROD 13-11-2024'!A:A,1,0)</f>
        <v>ALR_PROTEZIONE_GALLERIA_CANNA_NORD-Allarme protezione galleria canna Nord</v>
      </c>
      <c r="E305" t="str">
        <f>VLOOKUP(H305,'EXPORT IRIS PROD 13-11-2024'!F:F,1,0)</f>
        <v>ALR_PROTEZIONE_GALLERIA_CANNA_NORD</v>
      </c>
      <c r="F305" t="str">
        <f>VLOOKUP(I305,'EXPORT IRIS PROD 13-11-2024'!D:D,1,0)</f>
        <v>Allarme protezione galleria canna Nord</v>
      </c>
      <c r="G305" s="37" t="s">
        <v>53</v>
      </c>
      <c r="H305" s="38" t="s">
        <v>610</v>
      </c>
      <c r="I305" s="38" t="s">
        <v>611</v>
      </c>
      <c r="J305" s="39" t="s">
        <v>56</v>
      </c>
      <c r="K305" s="39" t="s">
        <v>114</v>
      </c>
      <c r="L305" s="40" t="s">
        <v>21</v>
      </c>
      <c r="M305" s="41" t="s">
        <v>22</v>
      </c>
      <c r="N305" s="42" t="s">
        <v>23</v>
      </c>
      <c r="O305" s="43" t="s">
        <v>24</v>
      </c>
      <c r="P305" s="42" t="s">
        <v>25</v>
      </c>
      <c r="Q305" s="42" t="s">
        <v>21</v>
      </c>
      <c r="R305" s="44"/>
    </row>
    <row r="306" spans="1:18" customFormat="1" x14ac:dyDescent="0.25">
      <c r="A306" t="str">
        <f t="shared" si="8"/>
        <v>Impianto Elettrico_Quadro elettrico_ALR_PROTEZIONE_GALLERIA_CANNA_SUD-Allarme protezione galleria canna Sud</v>
      </c>
      <c r="B306" t="str">
        <f t="shared" si="9"/>
        <v>ALR_PROTEZIONE_GALLERIA_CANNA_SUD-Allarme protezione galleria canna Sud</v>
      </c>
      <c r="C306" t="str">
        <f>VLOOKUP(B306,'[2]Classi allarmi RMT-STIG_rev4'!$C:$C,1,0)</f>
        <v>ALR_PROTEZIONE_GALLERIA_CANNA_SUD-Allarme protezione galleria canna Sud</v>
      </c>
      <c r="D306" t="str">
        <f>VLOOKUP(B306,'EXPORT IRIS PROD 13-11-2024'!A:A,1,0)</f>
        <v>ALR_PROTEZIONE_GALLERIA_CANNA_SUD-Allarme protezione galleria canna Sud</v>
      </c>
      <c r="E306" t="str">
        <f>VLOOKUP(H306,'EXPORT IRIS PROD 13-11-2024'!F:F,1,0)</f>
        <v>ALR_PROTEZIONE_GALLERIA_CANNA_SUD</v>
      </c>
      <c r="F306" t="str">
        <f>VLOOKUP(I306,'EXPORT IRIS PROD 13-11-2024'!D:D,1,0)</f>
        <v>Allarme protezione galleria canna Sud</v>
      </c>
      <c r="G306" s="37" t="s">
        <v>53</v>
      </c>
      <c r="H306" s="38" t="s">
        <v>612</v>
      </c>
      <c r="I306" s="38" t="s">
        <v>613</v>
      </c>
      <c r="J306" s="39" t="s">
        <v>56</v>
      </c>
      <c r="K306" s="39" t="s">
        <v>114</v>
      </c>
      <c r="L306" s="40" t="s">
        <v>21</v>
      </c>
      <c r="M306" s="41" t="s">
        <v>22</v>
      </c>
      <c r="N306" s="42" t="s">
        <v>23</v>
      </c>
      <c r="O306" s="43" t="s">
        <v>24</v>
      </c>
      <c r="P306" s="42" t="s">
        <v>25</v>
      </c>
      <c r="Q306" s="42" t="s">
        <v>21</v>
      </c>
      <c r="R306" s="44"/>
    </row>
    <row r="307" spans="1:18" customFormat="1" x14ac:dyDescent="0.25">
      <c r="A307" t="str">
        <f t="shared" si="8"/>
        <v>Impianto Elettrico_Quadro elettrico_ALR_PROTEZIONE_USCITA_CANNA_NORD-Allarme protezione uscita canna Nord</v>
      </c>
      <c r="B307" t="str">
        <f t="shared" si="9"/>
        <v>ALR_PROTEZIONE_USCITA_CANNA_NORD-Allarme protezione uscita canna Nord</v>
      </c>
      <c r="C307" t="str">
        <f>VLOOKUP(B307,'[2]Classi allarmi RMT-STIG_rev4'!$C:$C,1,0)</f>
        <v>ALR_PROTEZIONE_USCITA_CANNA_NORD-Allarme protezione uscita canna Nord</v>
      </c>
      <c r="D307" t="str">
        <f>VLOOKUP(B307,'EXPORT IRIS PROD 13-11-2024'!A:A,1,0)</f>
        <v>ALR_PROTEZIONE_USCITA_CANNA_NORD-Allarme protezione uscita canna Nord</v>
      </c>
      <c r="E307" t="str">
        <f>VLOOKUP(H307,'EXPORT IRIS PROD 13-11-2024'!F:F,1,0)</f>
        <v>ALR_PROTEZIONE_USCITA_CANNA_NORD</v>
      </c>
      <c r="F307" t="str">
        <f>VLOOKUP(I307,'EXPORT IRIS PROD 13-11-2024'!D:D,1,0)</f>
        <v>Allarme protezione uscita canna Nord</v>
      </c>
      <c r="G307" s="37" t="s">
        <v>53</v>
      </c>
      <c r="H307" s="38" t="s">
        <v>614</v>
      </c>
      <c r="I307" s="38" t="s">
        <v>615</v>
      </c>
      <c r="J307" s="39" t="s">
        <v>56</v>
      </c>
      <c r="K307" s="39" t="s">
        <v>114</v>
      </c>
      <c r="L307" s="40" t="s">
        <v>21</v>
      </c>
      <c r="M307" s="41" t="s">
        <v>22</v>
      </c>
      <c r="N307" s="42" t="s">
        <v>23</v>
      </c>
      <c r="O307" s="43" t="s">
        <v>24</v>
      </c>
      <c r="P307" s="42" t="s">
        <v>25</v>
      </c>
      <c r="Q307" s="42" t="s">
        <v>21</v>
      </c>
      <c r="R307" s="44"/>
    </row>
    <row r="308" spans="1:18" customFormat="1" x14ac:dyDescent="0.25">
      <c r="A308" t="str">
        <f t="shared" si="8"/>
        <v>Impianto Elettrico_Quadro elettrico_ALR_PROTEZIONE_USCITA_CANNA_SUD-Allarme protezione uscita canna Sud</v>
      </c>
      <c r="B308" t="str">
        <f t="shared" si="9"/>
        <v>ALR_PROTEZIONE_USCITA_CANNA_SUD-Allarme protezione uscita canna Sud</v>
      </c>
      <c r="C308" t="str">
        <f>VLOOKUP(B308,'[2]Classi allarmi RMT-STIG_rev4'!$C:$C,1,0)</f>
        <v>ALR_PROTEZIONE_USCITA_CANNA_SUD-Allarme protezione uscita canna Sud</v>
      </c>
      <c r="D308" t="str">
        <f>VLOOKUP(B308,'EXPORT IRIS PROD 13-11-2024'!A:A,1,0)</f>
        <v>ALR_PROTEZIONE_USCITA_CANNA_SUD-Allarme protezione uscita canna Sud</v>
      </c>
      <c r="E308" t="str">
        <f>VLOOKUP(H308,'EXPORT IRIS PROD 13-11-2024'!F:F,1,0)</f>
        <v>ALR_PROTEZIONE_USCITA_CANNA_SUD</v>
      </c>
      <c r="F308" t="str">
        <f>VLOOKUP(I308,'EXPORT IRIS PROD 13-11-2024'!D:D,1,0)</f>
        <v>Allarme protezione uscita canna Sud</v>
      </c>
      <c r="G308" s="37" t="s">
        <v>53</v>
      </c>
      <c r="H308" s="38" t="s">
        <v>616</v>
      </c>
      <c r="I308" s="38" t="s">
        <v>617</v>
      </c>
      <c r="J308" s="39" t="s">
        <v>56</v>
      </c>
      <c r="K308" s="39" t="s">
        <v>114</v>
      </c>
      <c r="L308" s="40" t="s">
        <v>21</v>
      </c>
      <c r="M308" s="41" t="s">
        <v>22</v>
      </c>
      <c r="N308" s="42" t="s">
        <v>23</v>
      </c>
      <c r="O308" s="43" t="s">
        <v>24</v>
      </c>
      <c r="P308" s="42" t="s">
        <v>25</v>
      </c>
      <c r="Q308" s="42" t="s">
        <v>21</v>
      </c>
      <c r="R308" s="44"/>
    </row>
    <row r="309" spans="1:18" x14ac:dyDescent="0.25">
      <c r="A309" t="str">
        <f t="shared" si="8"/>
        <v>Impianto Illuminazione_Regolatore di flusso_ALR_REGOLATORE-Allarme guasto regolatore</v>
      </c>
      <c r="B309" t="str">
        <f t="shared" si="9"/>
        <v>ALR_REGOLATORE-Allarme guasto regolatore</v>
      </c>
      <c r="C309" t="str">
        <f>VLOOKUP(B309,'[2]Classi allarmi RMT-STIG_rev4'!$C:$C,1,0)</f>
        <v>ALR_REGOLATORE-Allarme guasto regolatore</v>
      </c>
      <c r="D309" t="str">
        <f>VLOOKUP(B309,'EXPORT IRIS PROD 13-11-2024'!A:A,1,0)</f>
        <v>ALR_REGOLATORE-Allarme guasto regolatore</v>
      </c>
      <c r="E309" t="str">
        <f>VLOOKUP(H309,'EXPORT IRIS PROD 13-11-2024'!F:F,1,0)</f>
        <v>ALR_REGOLATORE</v>
      </c>
      <c r="F309" t="str">
        <f>VLOOKUP(I309,'EXPORT IRIS PROD 13-11-2024'!D:D,1,0)</f>
        <v>Allarme guasto regolatore</v>
      </c>
      <c r="G309" s="37" t="s">
        <v>115</v>
      </c>
      <c r="H309" s="38" t="s">
        <v>618</v>
      </c>
      <c r="I309" s="38" t="s">
        <v>619</v>
      </c>
      <c r="J309" s="39" t="s">
        <v>116</v>
      </c>
      <c r="K309" s="39" t="s">
        <v>256</v>
      </c>
      <c r="L309" s="40" t="s">
        <v>21</v>
      </c>
      <c r="M309" s="41" t="s">
        <v>22</v>
      </c>
      <c r="N309" s="42" t="s">
        <v>23</v>
      </c>
      <c r="O309" s="43" t="s">
        <v>24</v>
      </c>
      <c r="P309" s="42" t="s">
        <v>25</v>
      </c>
      <c r="Q309" s="42" t="s">
        <v>21</v>
      </c>
      <c r="R309" s="44"/>
    </row>
    <row r="310" spans="1:18" customFormat="1" x14ac:dyDescent="0.25">
      <c r="A310" t="str">
        <f t="shared" si="8"/>
        <v>Impianto Illuminazione_Regolatore di flusso_ALR_REGOLATORE_GUASTO-Allarme regolatore di flusso guasto</v>
      </c>
      <c r="B310" t="str">
        <f t="shared" si="9"/>
        <v>ALR_REGOLATORE_GUASTO-Allarme regolatore di flusso guasto</v>
      </c>
      <c r="C310" t="str">
        <f>VLOOKUP(B310,'[2]Classi allarmi RMT-STIG_rev4'!$C:$C,1,0)</f>
        <v>ALR_REGOLATORE_GUASTO-Allarme regolatore di flusso guasto</v>
      </c>
      <c r="D310" t="str">
        <f>VLOOKUP(B310,'EXPORT IRIS PROD 13-11-2024'!A:A,1,0)</f>
        <v>ALR_REGOLATORE_GUASTO-Allarme regolatore di flusso guasto</v>
      </c>
      <c r="E310" t="str">
        <f>VLOOKUP(H310,'EXPORT IRIS PROD 13-11-2024'!F:F,1,0)</f>
        <v>ALR_REGOLATORE_GUASTO</v>
      </c>
      <c r="F310" t="str">
        <f>VLOOKUP(I310,'EXPORT IRIS PROD 13-11-2024'!D:D,1,0)</f>
        <v>Allarme regolatore di flusso guasto</v>
      </c>
      <c r="G310" s="37" t="s">
        <v>115</v>
      </c>
      <c r="H310" s="38" t="s">
        <v>620</v>
      </c>
      <c r="I310" s="38" t="s">
        <v>621</v>
      </c>
      <c r="J310" s="39" t="s">
        <v>116</v>
      </c>
      <c r="K310" s="39" t="s">
        <v>256</v>
      </c>
      <c r="L310" s="40" t="s">
        <v>21</v>
      </c>
      <c r="M310" s="41" t="s">
        <v>22</v>
      </c>
      <c r="N310" s="42" t="s">
        <v>23</v>
      </c>
      <c r="O310" s="43" t="s">
        <v>24</v>
      </c>
      <c r="P310" s="42" t="s">
        <v>25</v>
      </c>
      <c r="Q310" s="42" t="s">
        <v>21</v>
      </c>
      <c r="R310" s="44"/>
    </row>
    <row r="311" spans="1:18" customFormat="1" x14ac:dyDescent="0.25">
      <c r="A311" t="str">
        <f t="shared" si="8"/>
        <v>Impianto Elettrico_Rele_ALR_RELE_SEQUENZA_FASI_LINEA-Allarme sequenza fasi linea</v>
      </c>
      <c r="B311" t="str">
        <f t="shared" si="9"/>
        <v>ALR_RELE_SEQUENZA_FASI_LINEA-Allarme sequenza fasi linea</v>
      </c>
      <c r="C311" t="str">
        <f>VLOOKUP(B311,'[2]Classi allarmi RMT-STIG_rev4'!$C:$C,1,0)</f>
        <v>ALR_RELE_SEQUENZA_FASI_LINEA-Allarme sequenza fasi linea</v>
      </c>
      <c r="D311" t="str">
        <f>VLOOKUP(B311,'EXPORT IRIS PROD 13-11-2024'!A:A,1,0)</f>
        <v>ALR_RELE_SEQUENZA_FASI_LINEA-Allarme sequenza fasi linea</v>
      </c>
      <c r="E311" t="str">
        <f>VLOOKUP(H311,'EXPORT IRIS PROD 13-11-2024'!F:F,1,0)</f>
        <v>ALR_RELE_SEQUENZA_FASI_LINEA</v>
      </c>
      <c r="F311" t="str">
        <f>VLOOKUP(I311,'EXPORT IRIS PROD 13-11-2024'!D:D,1,0)</f>
        <v>Allarme sequenza fasi linea</v>
      </c>
      <c r="G311" s="37" t="s">
        <v>53</v>
      </c>
      <c r="H311" s="38" t="s">
        <v>622</v>
      </c>
      <c r="I311" s="38" t="s">
        <v>623</v>
      </c>
      <c r="J311" s="39" t="s">
        <v>56</v>
      </c>
      <c r="K311" s="39" t="s">
        <v>402</v>
      </c>
      <c r="L311" s="40" t="s">
        <v>21</v>
      </c>
      <c r="M311" s="41" t="s">
        <v>22</v>
      </c>
      <c r="N311" s="42" t="s">
        <v>23</v>
      </c>
      <c r="O311" s="43" t="s">
        <v>24</v>
      </c>
      <c r="P311" s="42" t="s">
        <v>25</v>
      </c>
      <c r="Q311" s="42" t="s">
        <v>21</v>
      </c>
      <c r="R311" s="44"/>
    </row>
    <row r="312" spans="1:18" customFormat="1" x14ac:dyDescent="0.25">
      <c r="A312" t="str">
        <f t="shared" si="8"/>
        <v>Impianto Elettrico_Rele_ALR_RELE_SEQUENZA_FASI_PREFERENZIALE-Allarme sequenza fasi preferenziale</v>
      </c>
      <c r="B312" t="str">
        <f t="shared" si="9"/>
        <v>ALR_RELE_SEQUENZA_FASI_PREFERENZIALE-Allarme sequenza fasi preferenziale</v>
      </c>
      <c r="C312" t="str">
        <f>VLOOKUP(B312,'[2]Classi allarmi RMT-STIG_rev4'!$C:$C,1,0)</f>
        <v>ALR_RELE_SEQUENZA_FASI_PREFERENZIALE-Allarme sequenza fasi preferenziale</v>
      </c>
      <c r="D312" t="str">
        <f>VLOOKUP(B312,'EXPORT IRIS PROD 13-11-2024'!A:A,1,0)</f>
        <v>ALR_RELE_SEQUENZA_FASI_PREFERENZIALE-Allarme sequenza fasi preferenziale</v>
      </c>
      <c r="E312" t="str">
        <f>VLOOKUP(H312,'EXPORT IRIS PROD 13-11-2024'!F:F,1,0)</f>
        <v>ALR_RELE_SEQUENZA_FASI_PREFERENZIALE</v>
      </c>
      <c r="F312" t="str">
        <f>VLOOKUP(I312,'EXPORT IRIS PROD 13-11-2024'!D:D,1,0)</f>
        <v>Allarme sequenza fasi preferenziale</v>
      </c>
      <c r="G312" s="37" t="s">
        <v>53</v>
      </c>
      <c r="H312" s="38" t="s">
        <v>624</v>
      </c>
      <c r="I312" s="38" t="s">
        <v>625</v>
      </c>
      <c r="J312" s="39" t="s">
        <v>56</v>
      </c>
      <c r="K312" s="39" t="s">
        <v>402</v>
      </c>
      <c r="L312" s="40" t="s">
        <v>21</v>
      </c>
      <c r="M312" s="41" t="s">
        <v>22</v>
      </c>
      <c r="N312" s="42" t="s">
        <v>23</v>
      </c>
      <c r="O312" s="43" t="s">
        <v>24</v>
      </c>
      <c r="P312" s="42" t="s">
        <v>25</v>
      </c>
      <c r="Q312" s="42" t="s">
        <v>21</v>
      </c>
      <c r="R312" s="44"/>
    </row>
    <row r="313" spans="1:18" customFormat="1" x14ac:dyDescent="0.25">
      <c r="A313" t="str">
        <f t="shared" si="8"/>
        <v>Impianto Elettrico_Interruttore del ventilatore_ALR_RESET-Allarme reset</v>
      </c>
      <c r="B313" t="str">
        <f t="shared" si="9"/>
        <v>ALR_RESET-Allarme reset</v>
      </c>
      <c r="C313" t="str">
        <f>VLOOKUP(B313,'[2]Classi allarmi RMT-STIG_rev4'!$C:$C,1,0)</f>
        <v>ALR_RESET-Allarme reset</v>
      </c>
      <c r="D313" t="str">
        <f>VLOOKUP(B313,'EXPORT IRIS PROD 13-11-2024'!A:A,1,0)</f>
        <v>ALR_RESET-Allarme reset</v>
      </c>
      <c r="E313" t="str">
        <f>VLOOKUP(H313,'EXPORT IRIS PROD 13-11-2024'!F:F,1,0)</f>
        <v>ALR_RESET</v>
      </c>
      <c r="F313" t="str">
        <f>VLOOKUP(I313,'EXPORT IRIS PROD 13-11-2024'!D:D,1,0)</f>
        <v>Allarme reset</v>
      </c>
      <c r="G313" s="37" t="s">
        <v>53</v>
      </c>
      <c r="H313" s="38" t="s">
        <v>626</v>
      </c>
      <c r="I313" s="38" t="s">
        <v>627</v>
      </c>
      <c r="J313" s="39" t="s">
        <v>56</v>
      </c>
      <c r="K313" s="39" t="s">
        <v>462</v>
      </c>
      <c r="L313" s="40" t="s">
        <v>21</v>
      </c>
      <c r="M313" s="41" t="s">
        <v>22</v>
      </c>
      <c r="N313" s="42" t="s">
        <v>23</v>
      </c>
      <c r="O313" s="43" t="s">
        <v>24</v>
      </c>
      <c r="P313" s="42" t="s">
        <v>25</v>
      </c>
      <c r="Q313" s="42" t="s">
        <v>21</v>
      </c>
      <c r="R313" s="44"/>
    </row>
    <row r="314" spans="1:18" customFormat="1" x14ac:dyDescent="0.25">
      <c r="A314" t="str">
        <f t="shared" si="8"/>
        <v>Impianto Videosorveglianza_Centralina Contamezzi_ALR_RICHIESTA_MANUTENZIONE-Allarme richiesta manutenzione</v>
      </c>
      <c r="B314" t="str">
        <f t="shared" si="9"/>
        <v>ALR_RICHIESTA_MANUTENZIONE-Allarme richiesta manutenzione</v>
      </c>
      <c r="C314" t="str">
        <f>VLOOKUP(B314,'[2]Classi allarmi RMT-STIG_rev4'!$C:$C,1,0)</f>
        <v>ALR_RICHIESTA_MANUTENZIONE-Allarme richiesta manutenzione</v>
      </c>
      <c r="D314" t="str">
        <f>VLOOKUP(B314,'EXPORT IRIS PROD 13-11-2024'!A:A,1,0)</f>
        <v>ALR_RICHIESTA_MANUTENZIONE-Allarme richiesta manutenzione</v>
      </c>
      <c r="E314" t="str">
        <f>VLOOKUP(H314,'EXPORT IRIS PROD 13-11-2024'!F:F,1,0)</f>
        <v>ALR_RICHIESTA_MANUTENZIONE</v>
      </c>
      <c r="F314" t="str">
        <f>VLOOKUP(I314,'EXPORT IRIS PROD 13-11-2024'!D:D,1,0)</f>
        <v>Allarme richiesta manutenzione</v>
      </c>
      <c r="G314" s="37" t="s">
        <v>198</v>
      </c>
      <c r="H314" s="38" t="s">
        <v>628</v>
      </c>
      <c r="I314" s="38" t="s">
        <v>629</v>
      </c>
      <c r="J314" s="39" t="s">
        <v>201</v>
      </c>
      <c r="K314" s="39" t="s">
        <v>202</v>
      </c>
      <c r="L314" s="40" t="s">
        <v>21</v>
      </c>
      <c r="M314" s="41" t="s">
        <v>22</v>
      </c>
      <c r="N314" s="42" t="s">
        <v>23</v>
      </c>
      <c r="O314" s="43" t="s">
        <v>24</v>
      </c>
      <c r="P314" s="42" t="s">
        <v>25</v>
      </c>
      <c r="Q314" s="42" t="s">
        <v>21</v>
      </c>
      <c r="R314" s="44"/>
    </row>
    <row r="315" spans="1:18" customFormat="1" x14ac:dyDescent="0.25">
      <c r="A315" t="str">
        <f t="shared" si="8"/>
        <v>Impianto Ventilazione_CO_ALR_RICHIESTA_MANUTENZIONE-Allarme richiesta manutenzione</v>
      </c>
      <c r="B315" t="str">
        <f t="shared" si="9"/>
        <v>ALR_RICHIESTA_MANUTENZIONE-Allarme richiesta manutenzione</v>
      </c>
      <c r="C315" t="str">
        <f>VLOOKUP(B315,'[2]Classi allarmi RMT-STIG_rev4'!$C:$C,1,0)</f>
        <v>ALR_RICHIESTA_MANUTENZIONE-Allarme richiesta manutenzione</v>
      </c>
      <c r="D315" t="str">
        <f>VLOOKUP(B315,'EXPORT IRIS PROD 13-11-2024'!A:A,1,0)</f>
        <v>ALR_RICHIESTA_MANUTENZIONE-Allarme richiesta manutenzione</v>
      </c>
      <c r="E315" t="str">
        <f>VLOOKUP(H315,'EXPORT IRIS PROD 13-11-2024'!F:F,1,0)</f>
        <v>ALR_RICHIESTA_MANUTENZIONE</v>
      </c>
      <c r="F315" t="str">
        <f>VLOOKUP(I315,'EXPORT IRIS PROD 13-11-2024'!D:D,1,0)</f>
        <v>Allarme richiesta manutenzione</v>
      </c>
      <c r="G315" s="37" t="s">
        <v>85</v>
      </c>
      <c r="H315" s="38" t="s">
        <v>628</v>
      </c>
      <c r="I315" s="38" t="s">
        <v>629</v>
      </c>
      <c r="J315" s="39" t="s">
        <v>50</v>
      </c>
      <c r="K315" s="39" t="s">
        <v>51</v>
      </c>
      <c r="L315" s="40" t="s">
        <v>21</v>
      </c>
      <c r="M315" s="41" t="s">
        <v>22</v>
      </c>
      <c r="N315" s="42" t="s">
        <v>23</v>
      </c>
      <c r="O315" s="43" t="s">
        <v>24</v>
      </c>
      <c r="P315" s="42" t="s">
        <v>25</v>
      </c>
      <c r="Q315" s="42" t="s">
        <v>21</v>
      </c>
      <c r="R315" s="44"/>
    </row>
    <row r="316" spans="1:18" customFormat="1" x14ac:dyDescent="0.25">
      <c r="A316" t="str">
        <f t="shared" si="8"/>
        <v>Impianto Ventilazione_NO_ALR_RICHIESTA_MANUTENZIONE-Allarme richiesta manutenzione</v>
      </c>
      <c r="B316" t="str">
        <f t="shared" si="9"/>
        <v>ALR_RICHIESTA_MANUTENZIONE-Allarme richiesta manutenzione</v>
      </c>
      <c r="C316" t="str">
        <f>VLOOKUP(B316,'[2]Classi allarmi RMT-STIG_rev4'!$C:$C,1,0)</f>
        <v>ALR_RICHIESTA_MANUTENZIONE-Allarme richiesta manutenzione</v>
      </c>
      <c r="D316" t="str">
        <f>VLOOKUP(B316,'EXPORT IRIS PROD 13-11-2024'!A:A,1,0)</f>
        <v>ALR_RICHIESTA_MANUTENZIONE-Allarme richiesta manutenzione</v>
      </c>
      <c r="E316" t="str">
        <f>VLOOKUP(H316,'EXPORT IRIS PROD 13-11-2024'!F:F,1,0)</f>
        <v>ALR_RICHIESTA_MANUTENZIONE</v>
      </c>
      <c r="F316" t="str">
        <f>VLOOKUP(I316,'EXPORT IRIS PROD 13-11-2024'!D:D,1,0)</f>
        <v>Allarme richiesta manutenzione</v>
      </c>
      <c r="G316" s="37" t="s">
        <v>85</v>
      </c>
      <c r="H316" s="38" t="s">
        <v>628</v>
      </c>
      <c r="I316" s="38" t="s">
        <v>629</v>
      </c>
      <c r="J316" s="39" t="s">
        <v>50</v>
      </c>
      <c r="K316" s="39" t="s">
        <v>21</v>
      </c>
      <c r="L316" s="40" t="s">
        <v>21</v>
      </c>
      <c r="M316" s="41" t="s">
        <v>22</v>
      </c>
      <c r="N316" s="42" t="s">
        <v>23</v>
      </c>
      <c r="O316" s="43" t="s">
        <v>24</v>
      </c>
      <c r="P316" s="42" t="s">
        <v>25</v>
      </c>
      <c r="Q316" s="42" t="s">
        <v>21</v>
      </c>
      <c r="R316" s="44"/>
    </row>
    <row r="317" spans="1:18" customFormat="1" x14ac:dyDescent="0.25">
      <c r="A317" t="str">
        <f t="shared" si="8"/>
        <v>Impianto Ventilazione_OP_ALR_RICHIESTA_MANUTENZIONE-Allarme richiesta manutenzione</v>
      </c>
      <c r="B317" t="str">
        <f t="shared" si="9"/>
        <v>ALR_RICHIESTA_MANUTENZIONE-Allarme richiesta manutenzione</v>
      </c>
      <c r="C317" t="str">
        <f>VLOOKUP(B317,'[2]Classi allarmi RMT-STIG_rev4'!$C:$C,1,0)</f>
        <v>ALR_RICHIESTA_MANUTENZIONE-Allarme richiesta manutenzione</v>
      </c>
      <c r="D317" t="str">
        <f>VLOOKUP(B317,'EXPORT IRIS PROD 13-11-2024'!A:A,1,0)</f>
        <v>ALR_RICHIESTA_MANUTENZIONE-Allarme richiesta manutenzione</v>
      </c>
      <c r="E317" t="str">
        <f>VLOOKUP(H317,'EXPORT IRIS PROD 13-11-2024'!F:F,1,0)</f>
        <v>ALR_RICHIESTA_MANUTENZIONE</v>
      </c>
      <c r="F317" t="str">
        <f>VLOOKUP(I317,'EXPORT IRIS PROD 13-11-2024'!D:D,1,0)</f>
        <v>Allarme richiesta manutenzione</v>
      </c>
      <c r="G317" s="37" t="s">
        <v>85</v>
      </c>
      <c r="H317" s="38" t="s">
        <v>628</v>
      </c>
      <c r="I317" s="38" t="s">
        <v>629</v>
      </c>
      <c r="J317" s="39" t="s">
        <v>50</v>
      </c>
      <c r="K317" s="39" t="s">
        <v>52</v>
      </c>
      <c r="L317" s="40" t="s">
        <v>21</v>
      </c>
      <c r="M317" s="41" t="s">
        <v>22</v>
      </c>
      <c r="N317" s="42" t="s">
        <v>23</v>
      </c>
      <c r="O317" s="43" t="s">
        <v>24</v>
      </c>
      <c r="P317" s="42" t="s">
        <v>25</v>
      </c>
      <c r="Q317" s="42" t="s">
        <v>21</v>
      </c>
      <c r="R317" s="44"/>
    </row>
    <row r="318" spans="1:18" customFormat="1" x14ac:dyDescent="0.25">
      <c r="A318" t="str">
        <f t="shared" si="8"/>
        <v>Impianto Antincendio_Elettropompa_ALR_RICHIESTO_AVVIO_ELETTROPOMPA-Allarme richiesto avviamento elettropompa</v>
      </c>
      <c r="B318" t="str">
        <f t="shared" si="9"/>
        <v>ALR_RICHIESTO_AVVIO_ELETTROPOMPA-Allarme richiesto avviamento elettropompa</v>
      </c>
      <c r="C318" t="str">
        <f>VLOOKUP(B318,'[2]Classi allarmi RMT-STIG_rev4'!$C:$C,1,0)</f>
        <v>ALR_RICHIESTO_AVVIO_ELETTROPOMPA-Allarme richiesto avviamento elettropompa</v>
      </c>
      <c r="D318" t="str">
        <f>VLOOKUP(B318,'EXPORT IRIS PROD 13-11-2024'!A:A,1,0)</f>
        <v>ALR_RICHIESTO_AVVIO_ELETTROPOMPA-Allarme richiesto avviamento elettropompa</v>
      </c>
      <c r="E318" t="str">
        <f>VLOOKUP(H318,'EXPORT IRIS PROD 13-11-2024'!F:F,1,0)</f>
        <v>ALR_RICHIESTO_AVVIO_ELETTROPOMPA</v>
      </c>
      <c r="F318" t="str">
        <f>VLOOKUP(I318,'EXPORT IRIS PROD 13-11-2024'!D:D,1,0)</f>
        <v>Allarme richiesto avviamento elettropompa</v>
      </c>
      <c r="G318" s="37" t="s">
        <v>298</v>
      </c>
      <c r="H318" s="38" t="s">
        <v>630</v>
      </c>
      <c r="I318" s="38" t="s">
        <v>631</v>
      </c>
      <c r="J318" s="39" t="s">
        <v>38</v>
      </c>
      <c r="K318" s="39" t="s">
        <v>301</v>
      </c>
      <c r="L318" s="40" t="s">
        <v>21</v>
      </c>
      <c r="M318" s="41" t="s">
        <v>22</v>
      </c>
      <c r="N318" s="42" t="s">
        <v>23</v>
      </c>
      <c r="O318" s="43" t="s">
        <v>24</v>
      </c>
      <c r="P318" s="42" t="s">
        <v>25</v>
      </c>
      <c r="Q318" s="42" t="s">
        <v>21</v>
      </c>
      <c r="R318" s="52"/>
    </row>
    <row r="319" spans="1:18" customFormat="1" x14ac:dyDescent="0.25">
      <c r="A319" t="str">
        <f t="shared" si="8"/>
        <v>Impianto Antincendio_Motopompa_ALR_RISERVA_GASOLIO_MOTOPOMPA-Allarme riserva gasolio motopompa</v>
      </c>
      <c r="B319" t="str">
        <f t="shared" si="9"/>
        <v>ALR_RISERVA_GASOLIO_MOTOPOMPA-Allarme riserva gasolio motopompa</v>
      </c>
      <c r="C319" t="str">
        <f>VLOOKUP(B319,'[2]Classi allarmi RMT-STIG_rev4'!$C:$C,1,0)</f>
        <v>ALR_RISERVA_GASOLIO_MOTOPOMPA-Allarme riserva gasolio motopompa</v>
      </c>
      <c r="D319" t="str">
        <f>VLOOKUP(B319,'EXPORT IRIS PROD 13-11-2024'!A:A,1,0)</f>
        <v>ALR_RISERVA_GASOLIO_MOTOPOMPA-Allarme riserva gasolio motopompa</v>
      </c>
      <c r="E319" t="str">
        <f>VLOOKUP(H319,'EXPORT IRIS PROD 13-11-2024'!F:F,1,0)</f>
        <v>ALR_RISERVA_GASOLIO_MOTOPOMPA</v>
      </c>
      <c r="F319" t="str">
        <f>VLOOKUP(I319,'EXPORT IRIS PROD 13-11-2024'!D:D,1,0)</f>
        <v>Allarme riserva gasolio motopompa</v>
      </c>
      <c r="G319" s="37" t="s">
        <v>35</v>
      </c>
      <c r="H319" s="38" t="s">
        <v>632</v>
      </c>
      <c r="I319" s="38" t="s">
        <v>633</v>
      </c>
      <c r="J319" s="39" t="s">
        <v>38</v>
      </c>
      <c r="K319" s="39" t="s">
        <v>172</v>
      </c>
      <c r="L319" s="40" t="s">
        <v>21</v>
      </c>
      <c r="M319" s="41" t="s">
        <v>22</v>
      </c>
      <c r="N319" s="42" t="s">
        <v>23</v>
      </c>
      <c r="O319" s="43" t="s">
        <v>24</v>
      </c>
      <c r="P319" s="42" t="s">
        <v>25</v>
      </c>
      <c r="Q319" s="42" t="s">
        <v>21</v>
      </c>
      <c r="R319" s="44"/>
    </row>
    <row r="320" spans="1:18" customFormat="1" x14ac:dyDescent="0.25">
      <c r="A320" t="str">
        <f t="shared" si="8"/>
        <v>Impianto Antincendio_Elettropompa_ALR_RISERVA_IDRICA_ELETTROPOMPA-Allarme riserva idrica elettropompa</v>
      </c>
      <c r="B320" t="str">
        <f t="shared" si="9"/>
        <v>ALR_RISERVA_IDRICA_ELETTROPOMPA-Allarme riserva idrica elettropompa</v>
      </c>
      <c r="C320" t="str">
        <f>VLOOKUP(B320,'[2]Classi allarmi RMT-STIG_rev4'!$C:$C,1,0)</f>
        <v>ALR_RISERVA_IDRICA_ELETTROPOMPA-Allarme riserva idrica elettropompa</v>
      </c>
      <c r="D320" t="str">
        <f>VLOOKUP(B320,'EXPORT IRIS PROD 13-11-2024'!A:A,1,0)</f>
        <v>ALR_RISERVA_IDRICA_ELETTROPOMPA-Allarme riserva idrica elettropompa</v>
      </c>
      <c r="E320" t="str">
        <f>VLOOKUP(H320,'EXPORT IRIS PROD 13-11-2024'!F:F,1,0)</f>
        <v>ALR_RISERVA_IDRICA_ELETTROPOMPA</v>
      </c>
      <c r="F320" t="str">
        <f>VLOOKUP(I320,'EXPORT IRIS PROD 13-11-2024'!D:D,1,0)</f>
        <v>Allarme riserva idrica elettropompa</v>
      </c>
      <c r="G320" s="37" t="s">
        <v>35</v>
      </c>
      <c r="H320" s="38" t="s">
        <v>634</v>
      </c>
      <c r="I320" s="38" t="s">
        <v>635</v>
      </c>
      <c r="J320" s="39" t="s">
        <v>38</v>
      </c>
      <c r="K320" s="39" t="s">
        <v>301</v>
      </c>
      <c r="L320" s="40" t="s">
        <v>21</v>
      </c>
      <c r="M320" s="41" t="s">
        <v>22</v>
      </c>
      <c r="N320" s="42" t="s">
        <v>23</v>
      </c>
      <c r="O320" s="43" t="s">
        <v>157</v>
      </c>
      <c r="P320" s="42" t="s">
        <v>158</v>
      </c>
      <c r="Q320" s="42" t="s">
        <v>21</v>
      </c>
      <c r="R320" s="44"/>
    </row>
    <row r="321" spans="1:18" customFormat="1" x14ac:dyDescent="0.25">
      <c r="A321" t="str">
        <f t="shared" si="8"/>
        <v>Impianto Rilevazione Incendio_Centralina rilevazione incendio/fibrolaser_ALR_ROTTURA_CAVO-Allarme rottura cavo termosensibile</v>
      </c>
      <c r="B321" t="str">
        <f t="shared" si="9"/>
        <v>ALR_ROTTURA_CAVO-Allarme rottura cavo termosensibile</v>
      </c>
      <c r="C321" t="str">
        <f>VLOOKUP(B321,'[2]Classi allarmi RMT-STIG_rev4'!$C:$C,1,0)</f>
        <v>ALR_ROTTURA_CAVO-Allarme rottura cavo termosensibile</v>
      </c>
      <c r="D321" t="str">
        <f>VLOOKUP(B321,'EXPORT IRIS PROD 13-11-2024'!A:A,1,0)</f>
        <v>ALR_ROTTURA_CAVO-Allarme rottura cavo termosensibile</v>
      </c>
      <c r="E321" t="str">
        <f>VLOOKUP(H321,'EXPORT IRIS PROD 13-11-2024'!F:F,1,0)</f>
        <v>ALR_ROTTURA_CAVO</v>
      </c>
      <c r="F321" t="str">
        <f>VLOOKUP(I321,'EXPORT IRIS PROD 13-11-2024'!D:D,1,0)</f>
        <v>Allarme rottura cavo termosensibile</v>
      </c>
      <c r="G321" s="37" t="s">
        <v>105</v>
      </c>
      <c r="H321" s="38" t="s">
        <v>636</v>
      </c>
      <c r="I321" s="38" t="s">
        <v>637</v>
      </c>
      <c r="J321" s="39" t="s">
        <v>43</v>
      </c>
      <c r="K321" s="39" t="s">
        <v>394</v>
      </c>
      <c r="L321" s="40" t="s">
        <v>31</v>
      </c>
      <c r="M321" s="41" t="s">
        <v>32</v>
      </c>
      <c r="N321" s="42">
        <v>3</v>
      </c>
      <c r="O321" s="43" t="s">
        <v>33</v>
      </c>
      <c r="P321" s="42" t="s">
        <v>34</v>
      </c>
      <c r="Q321" s="42" t="s">
        <v>31</v>
      </c>
      <c r="R321" s="44"/>
    </row>
    <row r="322" spans="1:18" customFormat="1" x14ac:dyDescent="0.25">
      <c r="A322" t="str">
        <f t="shared" ref="A322:A385" si="10">CONCATENATE(J322,"_",K322,"_",B322)</f>
        <v>Impianto Elettrico_Interruttore scaricatore_ALR_SCARICATORI_SOVRATENSIONE-Allarme scaricatori di sovratensione</v>
      </c>
      <c r="B322" t="str">
        <f t="shared" si="9"/>
        <v>ALR_SCARICATORI_SOVRATENSIONE-Allarme scaricatori di sovratensione</v>
      </c>
      <c r="C322" t="str">
        <f>VLOOKUP(B322,'[2]Classi allarmi RMT-STIG_rev4'!$C:$C,1,0)</f>
        <v>ALR_SCARICATORI_SOVRATENSIONE-Allarme scaricatori di sovratensione</v>
      </c>
      <c r="D322" t="str">
        <f>VLOOKUP(B322,'EXPORT IRIS PROD 13-11-2024'!A:A,1,0)</f>
        <v>ALR_SCARICATORI_SOVRATENSIONE-Allarme scaricatori di sovratensione</v>
      </c>
      <c r="E322" t="str">
        <f>VLOOKUP(H322,'EXPORT IRIS PROD 13-11-2024'!F:F,1,0)</f>
        <v>ALR_SCARICATORI_SOVRATENSIONE</v>
      </c>
      <c r="F322" t="str">
        <f>VLOOKUP(I322,'EXPORT IRIS PROD 13-11-2024'!D:D,1,0)</f>
        <v>Allarme scaricatori di sovratensione</v>
      </c>
      <c r="G322" s="37" t="s">
        <v>53</v>
      </c>
      <c r="H322" s="38" t="s">
        <v>638</v>
      </c>
      <c r="I322" s="38" t="s">
        <v>639</v>
      </c>
      <c r="J322" s="39" t="s">
        <v>56</v>
      </c>
      <c r="K322" s="39" t="s">
        <v>640</v>
      </c>
      <c r="L322" s="40" t="s">
        <v>21</v>
      </c>
      <c r="M322" s="41" t="s">
        <v>22</v>
      </c>
      <c r="N322" s="42" t="s">
        <v>23</v>
      </c>
      <c r="O322" s="43" t="s">
        <v>24</v>
      </c>
      <c r="P322" s="42" t="s">
        <v>25</v>
      </c>
      <c r="Q322" s="42" t="s">
        <v>21</v>
      </c>
      <c r="R322" s="44"/>
    </row>
    <row r="323" spans="1:18" customFormat="1" x14ac:dyDescent="0.25">
      <c r="A323" t="str">
        <f t="shared" si="10"/>
        <v>Impianto Elettrico_Gruppo elettrogeno_ALR_SENSO_CICLO_INVERSO-Allarme senso ciclo inverso</v>
      </c>
      <c r="B323" t="str">
        <f t="shared" ref="B323:B386" si="11">CONCATENATE(H323,"-",I323)</f>
        <v>ALR_SENSO_CICLO_INVERSO-Allarme senso ciclo inverso</v>
      </c>
      <c r="C323" t="str">
        <f>VLOOKUP(B323,'[2]Classi allarmi RMT-STIG_rev4'!$C:$C,1,0)</f>
        <v>ALR_SENSO_CICLO_INVERSO-Allarme senso ciclo inverso</v>
      </c>
      <c r="D323" t="str">
        <f>VLOOKUP(B323,'EXPORT IRIS PROD 13-11-2024'!A:A,1,0)</f>
        <v>ALR_SENSO_CICLO_INVERSO-Allarme senso ciclo inverso</v>
      </c>
      <c r="E323" t="str">
        <f>VLOOKUP(H323,'EXPORT IRIS PROD 13-11-2024'!F:F,1,0)</f>
        <v>ALR_SENSO_CICLO_INVERSO</v>
      </c>
      <c r="F323" t="str">
        <f>VLOOKUP(I323,'EXPORT IRIS PROD 13-11-2024'!D:D,1,0)</f>
        <v>Allarme senso ciclo inverso</v>
      </c>
      <c r="G323" s="37" t="s">
        <v>53</v>
      </c>
      <c r="H323" s="38" t="s">
        <v>641</v>
      </c>
      <c r="I323" s="38" t="s">
        <v>642</v>
      </c>
      <c r="J323" s="39" t="s">
        <v>56</v>
      </c>
      <c r="K323" s="39" t="s">
        <v>57</v>
      </c>
      <c r="L323" s="40" t="s">
        <v>21</v>
      </c>
      <c r="M323" s="41" t="s">
        <v>22</v>
      </c>
      <c r="N323" s="42" t="s">
        <v>23</v>
      </c>
      <c r="O323" s="43" t="s">
        <v>24</v>
      </c>
      <c r="P323" s="42" t="s">
        <v>25</v>
      </c>
      <c r="Q323" s="42" t="s">
        <v>21</v>
      </c>
      <c r="R323" s="44"/>
    </row>
    <row r="324" spans="1:18" customFormat="1" x14ac:dyDescent="0.25">
      <c r="A324" t="str">
        <f t="shared" si="10"/>
        <v>Impianto Bypass_Serranda_ALR_SERRANDA-Allarme Serranda</v>
      </c>
      <c r="B324" t="str">
        <f t="shared" si="11"/>
        <v>ALR_SERRANDA-Allarme Serranda</v>
      </c>
      <c r="C324" t="str">
        <f>VLOOKUP(B324,'[2]Classi allarmi RMT-STIG_rev4'!$C:$C,1,0)</f>
        <v>ALR_SERRANDA-Allarme Serranda</v>
      </c>
      <c r="D324" t="str">
        <f>VLOOKUP(B324,'EXPORT IRIS PROD 13-11-2024'!A:A,1,0)</f>
        <v>ALR_SERRANDA-Allarme Serranda</v>
      </c>
      <c r="E324" t="str">
        <f>VLOOKUP(H324,'EXPORT IRIS PROD 13-11-2024'!F:F,1,0)</f>
        <v>ALR_SERRANDA</v>
      </c>
      <c r="F324" t="str">
        <f>VLOOKUP(I324,'EXPORT IRIS PROD 13-11-2024'!D:D,1,0)</f>
        <v>Allarme Serranda</v>
      </c>
      <c r="G324" s="37" t="s">
        <v>576</v>
      </c>
      <c r="H324" s="38" t="s">
        <v>643</v>
      </c>
      <c r="I324" s="38" t="s">
        <v>644</v>
      </c>
      <c r="J324" s="39" t="s">
        <v>274</v>
      </c>
      <c r="K324" s="39" t="s">
        <v>275</v>
      </c>
      <c r="L324" s="40" t="s">
        <v>21</v>
      </c>
      <c r="M324" s="41" t="s">
        <v>22</v>
      </c>
      <c r="N324" s="42" t="s">
        <v>23</v>
      </c>
      <c r="O324" s="43" t="s">
        <v>24</v>
      </c>
      <c r="P324" s="42" t="s">
        <v>25</v>
      </c>
      <c r="Q324" s="42" t="s">
        <v>21</v>
      </c>
      <c r="R324" s="44"/>
    </row>
    <row r="325" spans="1:18" customFormat="1" x14ac:dyDescent="0.25">
      <c r="A325" t="str">
        <f t="shared" si="10"/>
        <v>Impianto Bypass_Serranda_ALR_SERRANDA_APERTA-Allarme serranda aperta</v>
      </c>
      <c r="B325" t="str">
        <f t="shared" si="11"/>
        <v>ALR_SERRANDA_APERTA-Allarme serranda aperta</v>
      </c>
      <c r="C325" t="str">
        <f>VLOOKUP(B325,'[2]Classi allarmi RMT-STIG_rev4'!$C:$C,1,0)</f>
        <v>ALR_SERRANDA_APERTA-Allarme serranda aperta</v>
      </c>
      <c r="D325" t="str">
        <f>VLOOKUP(B325,'EXPORT IRIS PROD 13-11-2024'!A:A,1,0)</f>
        <v>ALR_SERRANDA_APERTA-Allarme serranda aperta</v>
      </c>
      <c r="E325" t="str">
        <f>VLOOKUP(H325,'EXPORT IRIS PROD 13-11-2024'!F:F,1,0)</f>
        <v>ALR_SERRANDA_APERTA</v>
      </c>
      <c r="F325" t="str">
        <f>VLOOKUP(I325,'EXPORT IRIS PROD 13-11-2024'!D:D,1,0)</f>
        <v>Allarme serranda aperta</v>
      </c>
      <c r="G325" s="37" t="s">
        <v>576</v>
      </c>
      <c r="H325" s="38" t="s">
        <v>645</v>
      </c>
      <c r="I325" s="38" t="s">
        <v>646</v>
      </c>
      <c r="J325" s="39" t="s">
        <v>274</v>
      </c>
      <c r="K325" s="39" t="s">
        <v>275</v>
      </c>
      <c r="L325" s="40" t="s">
        <v>21</v>
      </c>
      <c r="M325" s="41" t="s">
        <v>22</v>
      </c>
      <c r="N325" s="42" t="s">
        <v>23</v>
      </c>
      <c r="O325" s="43" t="s">
        <v>24</v>
      </c>
      <c r="P325" s="42" t="s">
        <v>25</v>
      </c>
      <c r="Q325" s="42" t="s">
        <v>21</v>
      </c>
      <c r="R325" s="44"/>
    </row>
    <row r="326" spans="1:18" customFormat="1" x14ac:dyDescent="0.25">
      <c r="A326" t="str">
        <f t="shared" si="10"/>
        <v>Impianto Elettrico_Sezionatore_ALR_SEZ_VUOTO-Allarme sezionatore a vuoto</v>
      </c>
      <c r="B326" t="str">
        <f t="shared" si="11"/>
        <v>ALR_SEZ_VUOTO-Allarme sezionatore a vuoto</v>
      </c>
      <c r="C326" t="str">
        <f>VLOOKUP(B326,'[2]Classi allarmi RMT-STIG_rev4'!$C:$C,1,0)</f>
        <v>ALR_SEZ_VUOTO-Allarme sezionatore a vuoto</v>
      </c>
      <c r="D326" t="str">
        <f>VLOOKUP(B326,'EXPORT IRIS PROD 13-11-2024'!A:A,1,0)</f>
        <v>ALR_SEZ_VUOTO-Allarme sezionatore a vuoto</v>
      </c>
      <c r="E326" t="str">
        <f>VLOOKUP(H326,'EXPORT IRIS PROD 13-11-2024'!F:F,1,0)</f>
        <v>ALR_SEZ_VUOTO</v>
      </c>
      <c r="F326" t="str">
        <f>VLOOKUP(I326,'EXPORT IRIS PROD 13-11-2024'!D:D,1,0)</f>
        <v>Allarme sezionatore a vuoto</v>
      </c>
      <c r="G326" s="37" t="s">
        <v>53</v>
      </c>
      <c r="H326" s="38" t="s">
        <v>647</v>
      </c>
      <c r="I326" s="38" t="s">
        <v>648</v>
      </c>
      <c r="J326" s="39" t="s">
        <v>56</v>
      </c>
      <c r="K326" s="39" t="s">
        <v>463</v>
      </c>
      <c r="L326" s="40" t="s">
        <v>21</v>
      </c>
      <c r="M326" s="41" t="s">
        <v>22</v>
      </c>
      <c r="N326" s="42" t="s">
        <v>23</v>
      </c>
      <c r="O326" s="43" t="s">
        <v>24</v>
      </c>
      <c r="P326" s="42" t="s">
        <v>25</v>
      </c>
      <c r="Q326" s="42" t="s">
        <v>21</v>
      </c>
      <c r="R326" s="44"/>
    </row>
    <row r="327" spans="1:18" customFormat="1" x14ac:dyDescent="0.25">
      <c r="A327" t="str">
        <f t="shared" si="10"/>
        <v>Impianto Ventilazione_Ventilatore_ALR_SFILAMENTO-Allarme sfilamento</v>
      </c>
      <c r="B327" t="str">
        <f t="shared" si="11"/>
        <v>ALR_SFILAMENTO-Allarme sfilamento</v>
      </c>
      <c r="C327" t="str">
        <f>VLOOKUP(B327,'[2]Classi allarmi RMT-STIG_rev4'!$C:$C,1,0)</f>
        <v>ALR_SFILAMENTO-Allarme sfilamento</v>
      </c>
      <c r="D327" t="str">
        <f>VLOOKUP(B327,'EXPORT IRIS PROD 13-11-2024'!A:A,1,0)</f>
        <v>ALR_SFILAMENTO-Allarme sfilamento</v>
      </c>
      <c r="E327" t="str">
        <f>VLOOKUP(H327,'EXPORT IRIS PROD 13-11-2024'!F:F,1,0)</f>
        <v>ALR_SFILAMENTO</v>
      </c>
      <c r="F327" t="str">
        <f>VLOOKUP(I327,'EXPORT IRIS PROD 13-11-2024'!D:D,1,0)</f>
        <v>Allarme sfilamento</v>
      </c>
      <c r="G327" s="37" t="s">
        <v>280</v>
      </c>
      <c r="H327" s="38" t="s">
        <v>649</v>
      </c>
      <c r="I327" s="38" t="s">
        <v>650</v>
      </c>
      <c r="J327" s="39" t="s">
        <v>50</v>
      </c>
      <c r="K327" s="39" t="s">
        <v>124</v>
      </c>
      <c r="L327" s="40" t="s">
        <v>31</v>
      </c>
      <c r="M327" s="41" t="s">
        <v>32</v>
      </c>
      <c r="N327" s="42">
        <v>3</v>
      </c>
      <c r="O327" s="43" t="s">
        <v>33</v>
      </c>
      <c r="P327" s="42" t="s">
        <v>34</v>
      </c>
      <c r="Q327" s="42" t="s">
        <v>31</v>
      </c>
      <c r="R327" s="44"/>
    </row>
    <row r="328" spans="1:18" customFormat="1" x14ac:dyDescent="0.25">
      <c r="A328" t="str">
        <f t="shared" si="10"/>
        <v>Impianto SOS_Colonnina Sos_ALR_SGANCIO_TELEFONO-Allarme sgancio telefono</v>
      </c>
      <c r="B328" t="str">
        <f t="shared" si="11"/>
        <v>ALR_SGANCIO_TELEFONO-Allarme sgancio telefono</v>
      </c>
      <c r="C328" t="str">
        <f>VLOOKUP(B328,'[2]Classi allarmi RMT-STIG_rev4'!$C:$C,1,0)</f>
        <v>ALR_SGANCIO_TELEFONO-Allarme sgancio telefono</v>
      </c>
      <c r="D328" t="str">
        <f>VLOOKUP(B328,'EXPORT IRIS PROD 13-11-2024'!A:A,1,0)</f>
        <v>ALR_SGANCIO_TELEFONO-Allarme sgancio telefono</v>
      </c>
      <c r="E328" t="str">
        <f>VLOOKUP(H328,'EXPORT IRIS PROD 13-11-2024'!F:F,1,0)</f>
        <v>ALR_SGANCIO_TELEFONO</v>
      </c>
      <c r="F328" t="str">
        <f>VLOOKUP(I328,'EXPORT IRIS PROD 13-11-2024'!D:D,1,0)</f>
        <v>Allarme sgancio telefono</v>
      </c>
      <c r="G328" s="37" t="s">
        <v>26</v>
      </c>
      <c r="H328" s="38" t="s">
        <v>651</v>
      </c>
      <c r="I328" s="38" t="s">
        <v>652</v>
      </c>
      <c r="J328" s="39" t="s">
        <v>29</v>
      </c>
      <c r="K328" s="39" t="s">
        <v>30</v>
      </c>
      <c r="L328" s="40" t="s">
        <v>31</v>
      </c>
      <c r="M328" s="41" t="s">
        <v>32</v>
      </c>
      <c r="N328" s="43">
        <v>1</v>
      </c>
      <c r="O328" s="43" t="s">
        <v>33</v>
      </c>
      <c r="P328" s="42" t="s">
        <v>34</v>
      </c>
      <c r="Q328" s="42" t="s">
        <v>31</v>
      </c>
      <c r="R328" s="52"/>
    </row>
    <row r="329" spans="1:18" customFormat="1" x14ac:dyDescent="0.25">
      <c r="A329" t="str">
        <f t="shared" si="10"/>
        <v>Impianto SOS_Colonnina SOS_ALR_SIRENA-Allarme sirena attiva</v>
      </c>
      <c r="B329" t="str">
        <f t="shared" si="11"/>
        <v>ALR_SIRENA-Allarme sirena attiva</v>
      </c>
      <c r="C329" t="str">
        <f>VLOOKUP(B329,'[2]Classi allarmi RMT-STIG_rev4'!$C:$C,1,0)</f>
        <v>ALR_SIRENA-Allarme sirena attiva</v>
      </c>
      <c r="D329" t="str">
        <f>VLOOKUP(B329,'EXPORT IRIS PROD 13-11-2024'!A:A,1,0)</f>
        <v>ALR_SIRENA-Allarme sirena attiva</v>
      </c>
      <c r="E329" t="str">
        <f>VLOOKUP(H329,'EXPORT IRIS PROD 13-11-2024'!F:F,1,0)</f>
        <v>ALR_SIRENA</v>
      </c>
      <c r="F329" t="str">
        <f>VLOOKUP(I329,'EXPORT IRIS PROD 13-11-2024'!D:D,1,0)</f>
        <v>Allarme sirena attiva</v>
      </c>
      <c r="G329" s="37" t="s">
        <v>26</v>
      </c>
      <c r="H329" s="38" t="s">
        <v>653</v>
      </c>
      <c r="I329" s="45" t="s">
        <v>654</v>
      </c>
      <c r="J329" s="46" t="s">
        <v>29</v>
      </c>
      <c r="K329" s="46" t="s">
        <v>360</v>
      </c>
      <c r="L329" s="47" t="s">
        <v>31</v>
      </c>
      <c r="M329" s="48" t="s">
        <v>32</v>
      </c>
      <c r="N329" s="43">
        <v>1</v>
      </c>
      <c r="O329" s="43" t="s">
        <v>157</v>
      </c>
      <c r="P329" s="43" t="s">
        <v>158</v>
      </c>
      <c r="Q329" s="42" t="s">
        <v>21</v>
      </c>
      <c r="R329" s="49"/>
    </row>
    <row r="330" spans="1:18" customFormat="1" x14ac:dyDescent="0.25">
      <c r="A330" t="str">
        <f t="shared" si="10"/>
        <v>Impianto Elettrico_Interruttore_ALR_SOCCORRITORE_BATTERIA_SCARICA-Allarme soccorritore batteria scarica</v>
      </c>
      <c r="B330" t="str">
        <f t="shared" si="11"/>
        <v>ALR_SOCCORRITORE_BATTERIA_SCARICA-Allarme soccorritore batteria scarica</v>
      </c>
      <c r="C330" t="str">
        <f>VLOOKUP(B330,'[2]Classi allarmi RMT-STIG_rev4'!$C:$C,1,0)</f>
        <v>ALR_SOCCORRITORE_BATTERIA_SCARICA-Allarme soccorritore batteria scarica</v>
      </c>
      <c r="D330" t="str">
        <f>VLOOKUP(B330,'EXPORT IRIS PROD 13-11-2024'!A:A,1,0)</f>
        <v>ALR_SOCCORRITORE_BATTERIA_SCARICA-Allarme soccorritore batteria scarica</v>
      </c>
      <c r="E330" t="str">
        <f>VLOOKUP(H330,'EXPORT IRIS PROD 13-11-2024'!F:F,1,0)</f>
        <v>ALR_SOCCORRITORE_BATTERIA_SCARICA</v>
      </c>
      <c r="F330" t="str">
        <f>VLOOKUP(I330,'EXPORT IRIS PROD 13-11-2024'!D:D,1,0)</f>
        <v>Allarme soccorritore batteria scarica</v>
      </c>
      <c r="G330" s="37" t="s">
        <v>53</v>
      </c>
      <c r="H330" s="38" t="s">
        <v>655</v>
      </c>
      <c r="I330" s="38" t="s">
        <v>656</v>
      </c>
      <c r="J330" s="39" t="s">
        <v>56</v>
      </c>
      <c r="K330" s="39" t="s">
        <v>355</v>
      </c>
      <c r="L330" s="40" t="s">
        <v>21</v>
      </c>
      <c r="M330" s="41" t="s">
        <v>22</v>
      </c>
      <c r="N330" s="42" t="s">
        <v>23</v>
      </c>
      <c r="O330" s="43" t="s">
        <v>24</v>
      </c>
      <c r="P330" s="42" t="s">
        <v>25</v>
      </c>
      <c r="Q330" s="42" t="s">
        <v>21</v>
      </c>
      <c r="R330" s="44"/>
    </row>
    <row r="331" spans="1:18" customFormat="1" x14ac:dyDescent="0.25">
      <c r="A331" t="str">
        <f t="shared" si="10"/>
        <v>Impianto Elettrico_Interruttore_ALR_SOCCORRITORE_BYPASS-Allarme soccorritore in bypass</v>
      </c>
      <c r="B331" t="str">
        <f t="shared" si="11"/>
        <v>ALR_SOCCORRITORE_BYPASS-Allarme soccorritore in bypass</v>
      </c>
      <c r="C331" t="str">
        <f>VLOOKUP(B331,'[2]Classi allarmi RMT-STIG_rev4'!$C:$C,1,0)</f>
        <v>ALR_SOCCORRITORE_BYPASS-Allarme soccorritore in bypass</v>
      </c>
      <c r="D331" t="str">
        <f>VLOOKUP(B331,'EXPORT IRIS PROD 13-11-2024'!A:A,1,0)</f>
        <v>ALR_SOCCORRITORE_BYPASS-Allarme soccorritore in bypass</v>
      </c>
      <c r="E331" t="str">
        <f>VLOOKUP(H331,'EXPORT IRIS PROD 13-11-2024'!F:F,1,0)</f>
        <v>ALR_SOCCORRITORE_BYPASS</v>
      </c>
      <c r="F331" t="str">
        <f>VLOOKUP(I331,'EXPORT IRIS PROD 13-11-2024'!D:D,1,0)</f>
        <v>Allarme soccorritore in bypass</v>
      </c>
      <c r="G331" s="37" t="s">
        <v>53</v>
      </c>
      <c r="H331" s="38" t="s">
        <v>657</v>
      </c>
      <c r="I331" s="38" t="s">
        <v>658</v>
      </c>
      <c r="J331" s="39" t="s">
        <v>56</v>
      </c>
      <c r="K331" s="39" t="s">
        <v>355</v>
      </c>
      <c r="L331" s="40" t="s">
        <v>21</v>
      </c>
      <c r="M331" s="41" t="s">
        <v>22</v>
      </c>
      <c r="N331" s="42" t="s">
        <v>23</v>
      </c>
      <c r="O331" s="43" t="s">
        <v>24</v>
      </c>
      <c r="P331" s="42" t="s">
        <v>25</v>
      </c>
      <c r="Q331" s="42" t="s">
        <v>21</v>
      </c>
      <c r="R331" s="44"/>
    </row>
    <row r="332" spans="1:18" customFormat="1" x14ac:dyDescent="0.25">
      <c r="A332" t="str">
        <f t="shared" si="10"/>
        <v>Impianto Elettrico_Interruttore_ALR_SOCCORRITORE_INVERTER_ON-Allarme soccorritore in scarica</v>
      </c>
      <c r="B332" t="str">
        <f t="shared" si="11"/>
        <v>ALR_SOCCORRITORE_INVERTER_ON-Allarme soccorritore in scarica</v>
      </c>
      <c r="C332" t="str">
        <f>VLOOKUP(B332,'[2]Classi allarmi RMT-STIG_rev4'!$C:$C,1,0)</f>
        <v>ALR_SOCCORRITORE_INVERTER_ON-Allarme soccorritore in scarica</v>
      </c>
      <c r="D332" t="str">
        <f>VLOOKUP(B332,'EXPORT IRIS PROD 13-11-2024'!A:A,1,0)</f>
        <v>ALR_SOCCORRITORE_INVERTER_ON-Allarme soccorritore in scarica</v>
      </c>
      <c r="E332" t="str">
        <f>VLOOKUP(H332,'EXPORT IRIS PROD 13-11-2024'!F:F,1,0)</f>
        <v>ALR_SOCCORRITORE_INVERTER_ON</v>
      </c>
      <c r="F332" t="str">
        <f>VLOOKUP(I332,'EXPORT IRIS PROD 13-11-2024'!D:D,1,0)</f>
        <v>Allarme soccorritore in scarica</v>
      </c>
      <c r="G332" s="37" t="s">
        <v>53</v>
      </c>
      <c r="H332" s="38" t="s">
        <v>659</v>
      </c>
      <c r="I332" s="38" t="s">
        <v>660</v>
      </c>
      <c r="J332" s="39" t="s">
        <v>56</v>
      </c>
      <c r="K332" s="39" t="s">
        <v>355</v>
      </c>
      <c r="L332" s="40" t="s">
        <v>21</v>
      </c>
      <c r="M332" s="41" t="s">
        <v>22</v>
      </c>
      <c r="N332" s="42" t="s">
        <v>23</v>
      </c>
      <c r="O332" s="43" t="s">
        <v>24</v>
      </c>
      <c r="P332" s="42" t="s">
        <v>25</v>
      </c>
      <c r="Q332" s="42" t="s">
        <v>21</v>
      </c>
      <c r="R332" s="44"/>
    </row>
    <row r="333" spans="1:18" customFormat="1" x14ac:dyDescent="0.25">
      <c r="A333" t="str">
        <f t="shared" si="10"/>
        <v>Impianto Ventilazione_Ventilatore_ALR_SOFT_START-Allarme ventilatore</v>
      </c>
      <c r="B333" t="str">
        <f t="shared" si="11"/>
        <v>ALR_SOFT_START-Allarme ventilatore</v>
      </c>
      <c r="C333" t="str">
        <f>VLOOKUP(B333,'[2]Classi allarmi RMT-STIG_rev4'!$C:$C,1,0)</f>
        <v>ALR_SOFT_START-Allarme ventilatore</v>
      </c>
      <c r="D333" t="str">
        <f>VLOOKUP(B333,'EXPORT IRIS PROD 13-11-2024'!A:A,1,0)</f>
        <v>ALR_SOFT_START-Allarme ventilatore</v>
      </c>
      <c r="E333" t="str">
        <f>VLOOKUP(H333,'EXPORT IRIS PROD 13-11-2024'!F:F,1,0)</f>
        <v>ALR_SOFT_START</v>
      </c>
      <c r="F333" t="str">
        <f>VLOOKUP(I333,'EXPORT IRIS PROD 13-11-2024'!D:D,1,0)</f>
        <v>Allarme ventilatore</v>
      </c>
      <c r="G333" s="37" t="s">
        <v>85</v>
      </c>
      <c r="H333" s="38" t="s">
        <v>661</v>
      </c>
      <c r="I333" s="38" t="s">
        <v>662</v>
      </c>
      <c r="J333" s="39" t="s">
        <v>50</v>
      </c>
      <c r="K333" s="39" t="s">
        <v>124</v>
      </c>
      <c r="L333" s="40" t="s">
        <v>21</v>
      </c>
      <c r="M333" s="41" t="s">
        <v>22</v>
      </c>
      <c r="N333" s="42" t="s">
        <v>23</v>
      </c>
      <c r="O333" s="43" t="s">
        <v>24</v>
      </c>
      <c r="P333" s="42" t="s">
        <v>25</v>
      </c>
      <c r="Q333" s="42" t="s">
        <v>21</v>
      </c>
      <c r="R333" s="44"/>
    </row>
    <row r="334" spans="1:18" customFormat="1" x14ac:dyDescent="0.25">
      <c r="A334" t="str">
        <f t="shared" si="10"/>
        <v>Impianto SOS_Colonnina SOS_ALR_SOS_OFFLINE-Allarme SOS offline</v>
      </c>
      <c r="B334" t="str">
        <f t="shared" si="11"/>
        <v>ALR_SOS_OFFLINE-Allarme SOS offline</v>
      </c>
      <c r="C334" t="str">
        <f>VLOOKUP(B334,'[2]Classi allarmi RMT-STIG_rev4'!$C:$C,1,0)</f>
        <v>ALR_SOS_OFFLINE-Allarme SOS offline</v>
      </c>
      <c r="D334" t="str">
        <f>VLOOKUP(B334,'EXPORT IRIS PROD 13-11-2024'!A:A,1,0)</f>
        <v>ALR_SOS_OFFLINE-Allarme SOS offline</v>
      </c>
      <c r="E334" t="str">
        <f>VLOOKUP(H334,'EXPORT IRIS PROD 13-11-2024'!F:F,1,0)</f>
        <v>ALR_SOS_OFFLINE</v>
      </c>
      <c r="F334" t="str">
        <f>VLOOKUP(I334,'EXPORT IRIS PROD 13-11-2024'!D:D,1,0)</f>
        <v>Allarme SOS offline</v>
      </c>
      <c r="G334" s="37" t="s">
        <v>89</v>
      </c>
      <c r="H334" s="38" t="s">
        <v>663</v>
      </c>
      <c r="I334" s="38" t="s">
        <v>664</v>
      </c>
      <c r="J334" s="39" t="s">
        <v>29</v>
      </c>
      <c r="K334" s="39" t="s">
        <v>360</v>
      </c>
      <c r="L334" s="40" t="s">
        <v>21</v>
      </c>
      <c r="M334" s="41" t="s">
        <v>22</v>
      </c>
      <c r="N334" s="42" t="s">
        <v>23</v>
      </c>
      <c r="O334" s="43" t="s">
        <v>24</v>
      </c>
      <c r="P334" s="42" t="s">
        <v>25</v>
      </c>
      <c r="Q334" s="42" t="s">
        <v>21</v>
      </c>
      <c r="R334" s="44"/>
    </row>
    <row r="335" spans="1:18" customFormat="1" x14ac:dyDescent="0.25">
      <c r="A335" t="str">
        <f t="shared" si="10"/>
        <v>Impianto Elettrico_Gruppo elettrogeno_ALR_SOVRAPOTENZA_ALTERNATORE-Allarme sovrapotenza alternatore</v>
      </c>
      <c r="B335" t="str">
        <f t="shared" si="11"/>
        <v>ALR_SOVRAPOTENZA_ALTERNATORE-Allarme sovrapotenza alternatore</v>
      </c>
      <c r="C335" t="str">
        <f>VLOOKUP(B335,'[2]Classi allarmi RMT-STIG_rev4'!$C:$C,1,0)</f>
        <v>ALR_SOVRAPOTENZA_ALTERNATORE-Allarme sovrapotenza alternatore</v>
      </c>
      <c r="D335" t="str">
        <f>VLOOKUP(B335,'EXPORT IRIS PROD 13-11-2024'!A:A,1,0)</f>
        <v>ALR_SOVRAPOTENZA_ALTERNATORE-Allarme sovrapotenza alternatore</v>
      </c>
      <c r="E335" t="str">
        <f>VLOOKUP(H335,'EXPORT IRIS PROD 13-11-2024'!F:F,1,0)</f>
        <v>ALR_SOVRAPOTENZA_ALTERNATORE</v>
      </c>
      <c r="F335" t="str">
        <f>VLOOKUP(I335,'EXPORT IRIS PROD 13-11-2024'!D:D,1,0)</f>
        <v>Allarme sovrapotenza alternatore</v>
      </c>
      <c r="G335" s="37" t="s">
        <v>53</v>
      </c>
      <c r="H335" s="38" t="s">
        <v>665</v>
      </c>
      <c r="I335" s="38" t="s">
        <v>666</v>
      </c>
      <c r="J335" s="39" t="s">
        <v>56</v>
      </c>
      <c r="K335" s="39" t="s">
        <v>57</v>
      </c>
      <c r="L335" s="40" t="s">
        <v>21</v>
      </c>
      <c r="M335" s="41" t="s">
        <v>22</v>
      </c>
      <c r="N335" s="42" t="s">
        <v>23</v>
      </c>
      <c r="O335" s="43" t="s">
        <v>24</v>
      </c>
      <c r="P335" s="42" t="s">
        <v>25</v>
      </c>
      <c r="Q335" s="42" t="s">
        <v>21</v>
      </c>
      <c r="R335" s="44"/>
    </row>
    <row r="336" spans="1:18" customFormat="1" x14ac:dyDescent="0.25">
      <c r="A336" t="str">
        <f t="shared" si="10"/>
        <v>Impianto Elettrico_UPS_ALR_SOVRATEMPERATURA_UPS-Allarme sovratemperatura interna</v>
      </c>
      <c r="B336" t="str">
        <f t="shared" si="11"/>
        <v>ALR_SOVRATEMPERATURA_UPS-Allarme sovratemperatura interna</v>
      </c>
      <c r="C336" t="str">
        <f>VLOOKUP(B336,'[2]Classi allarmi RMT-STIG_rev4'!$C:$C,1,0)</f>
        <v>ALR_SOVRATEMPERATURA_UPS-Allarme sovratemperatura interna</v>
      </c>
      <c r="D336" t="str">
        <f>VLOOKUP(B336,'EXPORT IRIS PROD 13-11-2024'!A:A,1,0)</f>
        <v>ALR_SOVRATEMPERATURA_UPS-Allarme sovratemperatura interna</v>
      </c>
      <c r="E336" t="str">
        <f>VLOOKUP(H336,'EXPORT IRIS PROD 13-11-2024'!F:F,1,0)</f>
        <v>ALR_SOVRATEMPERATURA_UPS</v>
      </c>
      <c r="F336" t="str">
        <f>VLOOKUP(I336,'EXPORT IRIS PROD 13-11-2024'!D:D,1,0)</f>
        <v>Allarme sovratemperatura interna</v>
      </c>
      <c r="G336" s="37" t="s">
        <v>53</v>
      </c>
      <c r="H336" s="38" t="s">
        <v>667</v>
      </c>
      <c r="I336" s="38" t="s">
        <v>668</v>
      </c>
      <c r="J336" s="39" t="s">
        <v>56</v>
      </c>
      <c r="K336" s="39" t="s">
        <v>104</v>
      </c>
      <c r="L336" s="40" t="s">
        <v>21</v>
      </c>
      <c r="M336" s="41" t="s">
        <v>22</v>
      </c>
      <c r="N336" s="42" t="s">
        <v>23</v>
      </c>
      <c r="O336" s="43" t="s">
        <v>24</v>
      </c>
      <c r="P336" s="42" t="s">
        <v>25</v>
      </c>
      <c r="Q336" s="42" t="s">
        <v>21</v>
      </c>
      <c r="R336" s="44"/>
    </row>
    <row r="337" spans="1:18" customFormat="1" x14ac:dyDescent="0.25">
      <c r="A337" t="str">
        <f t="shared" si="10"/>
        <v>Impianto Elettrico_Gruppo elettrogeno_ALR_SOVRATENSIONE_ALTERNATORE-Allarme sovratensione alternatore</v>
      </c>
      <c r="B337" t="str">
        <f t="shared" si="11"/>
        <v>ALR_SOVRATENSIONE_ALTERNATORE-Allarme sovratensione alternatore</v>
      </c>
      <c r="C337" t="str">
        <f>VLOOKUP(B337,'[2]Classi allarmi RMT-STIG_rev4'!$C:$C,1,0)</f>
        <v>ALR_SOVRATENSIONE_ALTERNATORE-Allarme sovratensione alternatore</v>
      </c>
      <c r="D337" t="str">
        <f>VLOOKUP(B337,'EXPORT IRIS PROD 13-11-2024'!A:A,1,0)</f>
        <v>ALR_SOVRATENSIONE_ALTERNATORE-Allarme sovratensione alternatore</v>
      </c>
      <c r="E337" t="str">
        <f>VLOOKUP(H337,'EXPORT IRIS PROD 13-11-2024'!F:F,1,0)</f>
        <v>ALR_SOVRATENSIONE_ALTERNATORE</v>
      </c>
      <c r="F337" t="str">
        <f>VLOOKUP(I337,'EXPORT IRIS PROD 13-11-2024'!D:D,1,0)</f>
        <v>Allarme sovratensione alternatore</v>
      </c>
      <c r="G337" s="37" t="s">
        <v>53</v>
      </c>
      <c r="H337" s="38" t="s">
        <v>669</v>
      </c>
      <c r="I337" s="38" t="s">
        <v>670</v>
      </c>
      <c r="J337" s="39" t="s">
        <v>56</v>
      </c>
      <c r="K337" s="39" t="s">
        <v>57</v>
      </c>
      <c r="L337" s="40" t="s">
        <v>21</v>
      </c>
      <c r="M337" s="41" t="s">
        <v>22</v>
      </c>
      <c r="N337" s="42" t="s">
        <v>23</v>
      </c>
      <c r="O337" s="43" t="s">
        <v>24</v>
      </c>
      <c r="P337" s="42" t="s">
        <v>25</v>
      </c>
      <c r="Q337" s="42" t="s">
        <v>21</v>
      </c>
      <c r="R337" s="44"/>
    </row>
    <row r="338" spans="1:18" customFormat="1" x14ac:dyDescent="0.25">
      <c r="A338" t="str">
        <f t="shared" si="10"/>
        <v>Impianto Canalizzazione_PMV/Frecciacroce_ALR_SPENTO-Allarme spento</v>
      </c>
      <c r="B338" t="str">
        <f t="shared" si="11"/>
        <v>ALR_SPENTO-Allarme spento</v>
      </c>
      <c r="C338" t="str">
        <f>VLOOKUP(B338,'[2]Classi allarmi RMT-STIG_rev4'!$C:$C,1,0)</f>
        <v>ALR_SPENTO-Allarme spento</v>
      </c>
      <c r="D338" t="str">
        <f>VLOOKUP(B338,'EXPORT IRIS PROD 13-11-2024'!A:A,1,0)</f>
        <v>ALR_SPENTO-Allarme spento</v>
      </c>
      <c r="E338" t="str">
        <f>VLOOKUP(H338,'EXPORT IRIS PROD 13-11-2024'!F:F,1,0)</f>
        <v>ALR_SPENTO</v>
      </c>
      <c r="F338" t="str">
        <f>VLOOKUP(I338,'EXPORT IRIS PROD 13-11-2024'!D:D,1,0)</f>
        <v>Allarme spento</v>
      </c>
      <c r="G338" s="37" t="s">
        <v>109</v>
      </c>
      <c r="H338" s="38" t="s">
        <v>671</v>
      </c>
      <c r="I338" s="38" t="s">
        <v>672</v>
      </c>
      <c r="J338" s="39" t="s">
        <v>111</v>
      </c>
      <c r="K338" s="39" t="s">
        <v>127</v>
      </c>
      <c r="L338" s="40" t="s">
        <v>21</v>
      </c>
      <c r="M338" s="41" t="s">
        <v>22</v>
      </c>
      <c r="N338" s="42" t="s">
        <v>23</v>
      </c>
      <c r="O338" s="43" t="s">
        <v>24</v>
      </c>
      <c r="P338" s="42" t="s">
        <v>25</v>
      </c>
      <c r="Q338" s="42" t="s">
        <v>21</v>
      </c>
      <c r="R338" s="44"/>
    </row>
    <row r="339" spans="1:18" customFormat="1" x14ac:dyDescent="0.25">
      <c r="A339" t="str">
        <f t="shared" si="10"/>
        <v>Impianto Elettrico_UPS_ALR_SPENTO-Allarme spento</v>
      </c>
      <c r="B339" t="str">
        <f t="shared" si="11"/>
        <v>ALR_SPENTO-Allarme spento</v>
      </c>
      <c r="C339" t="str">
        <f>VLOOKUP(B339,'[2]Classi allarmi RMT-STIG_rev4'!$C:$C,1,0)</f>
        <v>ALR_SPENTO-Allarme spento</v>
      </c>
      <c r="D339" t="str">
        <f>VLOOKUP(B339,'EXPORT IRIS PROD 13-11-2024'!A:A,1,0)</f>
        <v>ALR_SPENTO-Allarme spento</v>
      </c>
      <c r="E339" t="str">
        <f>VLOOKUP(H339,'EXPORT IRIS PROD 13-11-2024'!F:F,1,0)</f>
        <v>ALR_SPENTO</v>
      </c>
      <c r="F339" t="str">
        <f>VLOOKUP(I339,'EXPORT IRIS PROD 13-11-2024'!D:D,1,0)</f>
        <v>Allarme spento</v>
      </c>
      <c r="G339" s="37" t="s">
        <v>53</v>
      </c>
      <c r="H339" s="38" t="s">
        <v>671</v>
      </c>
      <c r="I339" s="38" t="s">
        <v>672</v>
      </c>
      <c r="J339" s="39" t="s">
        <v>56</v>
      </c>
      <c r="K339" s="39" t="s">
        <v>104</v>
      </c>
      <c r="L339" s="40" t="s">
        <v>21</v>
      </c>
      <c r="M339" s="41" t="s">
        <v>22</v>
      </c>
      <c r="N339" s="42" t="s">
        <v>23</v>
      </c>
      <c r="O339" s="43" t="s">
        <v>24</v>
      </c>
      <c r="P339" s="42" t="s">
        <v>25</v>
      </c>
      <c r="Q339" s="42" t="s">
        <v>21</v>
      </c>
      <c r="R339" s="44"/>
    </row>
    <row r="340" spans="1:18" customFormat="1" x14ac:dyDescent="0.25">
      <c r="A340" t="str">
        <f t="shared" si="10"/>
        <v>Impianto Ventilazione_Ventilatore_ALR_STACCO_VENTILATORE-Allarme stacco ventilatore</v>
      </c>
      <c r="B340" t="str">
        <f t="shared" si="11"/>
        <v>ALR_STACCO_VENTILATORE-Allarme stacco ventilatore</v>
      </c>
      <c r="C340" t="str">
        <f>VLOOKUP(B340,'[2]Classi allarmi RMT-STIG_rev4'!$C:$C,1,0)</f>
        <v>ALR_STACCO_VENTILATORE-Allarme stacco ventilatore</v>
      </c>
      <c r="D340" t="str">
        <f>VLOOKUP(B340,'EXPORT IRIS PROD 13-11-2024'!A:A,1,0)</f>
        <v>ALR_STACCO_VENTILATORE-Allarme stacco ventilatore</v>
      </c>
      <c r="E340" t="str">
        <f>VLOOKUP(H340,'EXPORT IRIS PROD 13-11-2024'!F:F,1,0)</f>
        <v>ALR_STACCO_VENTILATORE</v>
      </c>
      <c r="F340" t="str">
        <f>VLOOKUP(I340,'EXPORT IRIS PROD 13-11-2024'!D:D,1,0)</f>
        <v>Allarme stacco ventilatore</v>
      </c>
      <c r="G340" s="37" t="s">
        <v>85</v>
      </c>
      <c r="H340" s="38" t="s">
        <v>673</v>
      </c>
      <c r="I340" s="38" t="s">
        <v>674</v>
      </c>
      <c r="J340" s="39" t="s">
        <v>50</v>
      </c>
      <c r="K340" s="39" t="s">
        <v>124</v>
      </c>
      <c r="L340" s="40" t="s">
        <v>31</v>
      </c>
      <c r="M340" s="41" t="s">
        <v>32</v>
      </c>
      <c r="N340" s="42">
        <v>3</v>
      </c>
      <c r="O340" s="43" t="s">
        <v>33</v>
      </c>
      <c r="P340" s="42" t="s">
        <v>34</v>
      </c>
      <c r="Q340" s="42" t="s">
        <v>31</v>
      </c>
      <c r="R340" s="44"/>
    </row>
    <row r="341" spans="1:18" customFormat="1" x14ac:dyDescent="0.25">
      <c r="A341" t="str">
        <f t="shared" si="10"/>
        <v>Impianto Rete dati_Switch SNMP_ALR_SWITCH_FAULT-Allarme switch in fault</v>
      </c>
      <c r="B341" t="str">
        <f t="shared" si="11"/>
        <v>ALR_SWITCH_FAULT-Allarme switch in fault</v>
      </c>
      <c r="C341" t="str">
        <f>VLOOKUP(B341,'[2]Classi allarmi RMT-STIG_rev4'!$C:$C,1,0)</f>
        <v>ALR_SWITCH_FAULT-Allarme switch in fault</v>
      </c>
      <c r="D341" t="str">
        <f>VLOOKUP(B341,'EXPORT IRIS PROD 13-11-2024'!A:A,1,0)</f>
        <v>ALR_SWITCH_FAULT-Allarme switch in fault</v>
      </c>
      <c r="E341" t="str">
        <f>VLOOKUP(H341,'EXPORT IRIS PROD 13-11-2024'!F:F,1,0)</f>
        <v>ALR_SWITCH_FAULT</v>
      </c>
      <c r="F341" t="str">
        <f>VLOOKUP(I341,'EXPORT IRIS PROD 13-11-2024'!D:D,1,0)</f>
        <v>Allarme switch in fault</v>
      </c>
      <c r="G341" s="37" t="s">
        <v>16</v>
      </c>
      <c r="H341" s="38" t="s">
        <v>675</v>
      </c>
      <c r="I341" s="38" t="s">
        <v>676</v>
      </c>
      <c r="J341" s="39" t="s">
        <v>19</v>
      </c>
      <c r="K341" s="39" t="s">
        <v>259</v>
      </c>
      <c r="L341" s="40" t="s">
        <v>21</v>
      </c>
      <c r="M341" s="41" t="s">
        <v>22</v>
      </c>
      <c r="N341" s="42" t="s">
        <v>23</v>
      </c>
      <c r="O341" s="43" t="s">
        <v>24</v>
      </c>
      <c r="P341" s="42" t="s">
        <v>25</v>
      </c>
      <c r="Q341" s="42" t="s">
        <v>21</v>
      </c>
      <c r="R341" s="44"/>
    </row>
    <row r="342" spans="1:18" customFormat="1" x14ac:dyDescent="0.25">
      <c r="A342" t="str">
        <f t="shared" si="10"/>
        <v>Impianto Elettrico_Gruppo elettrogeno_ALR_TEMPERATURA_ALTA-Allarme alta temperatura Gruppo elettrogeno</v>
      </c>
      <c r="B342" t="str">
        <f t="shared" si="11"/>
        <v>ALR_TEMPERATURA_ALTA-Allarme alta temperatura Gruppo elettrogeno</v>
      </c>
      <c r="C342" t="str">
        <f>VLOOKUP(B342,'[2]Classi allarmi RMT-STIG_rev4'!$C:$C,1,0)</f>
        <v>ALR_TEMPERATURA_ALTA-Allarme alta temperatura Gruppo elettrogeno</v>
      </c>
      <c r="D342" t="str">
        <f>VLOOKUP(B342,'EXPORT IRIS PROD 13-11-2024'!A:A,1,0)</f>
        <v>ALR_TEMPERATURA_ALTA-Allarme alta temperatura Gruppo elettrogeno</v>
      </c>
      <c r="E342" t="str">
        <f>VLOOKUP(H342,'EXPORT IRIS PROD 13-11-2024'!F:F,1,0)</f>
        <v>ALR_TEMPERATURA_ALTA</v>
      </c>
      <c r="F342" t="str">
        <f>VLOOKUP(I342,'EXPORT IRIS PROD 13-11-2024'!D:D,1,0)</f>
        <v>Allarme alta temperatura Gruppo elettrogeno</v>
      </c>
      <c r="G342" s="37" t="s">
        <v>53</v>
      </c>
      <c r="H342" s="38" t="s">
        <v>677</v>
      </c>
      <c r="I342" s="38" t="s">
        <v>678</v>
      </c>
      <c r="J342" s="39" t="s">
        <v>56</v>
      </c>
      <c r="K342" s="39" t="s">
        <v>57</v>
      </c>
      <c r="L342" s="40" t="s">
        <v>21</v>
      </c>
      <c r="M342" s="41" t="s">
        <v>22</v>
      </c>
      <c r="N342" s="42" t="s">
        <v>23</v>
      </c>
      <c r="O342" s="43" t="s">
        <v>24</v>
      </c>
      <c r="P342" s="42" t="s">
        <v>25</v>
      </c>
      <c r="Q342" s="42" t="s">
        <v>21</v>
      </c>
      <c r="R342" s="44"/>
    </row>
    <row r="343" spans="1:18" customFormat="1" x14ac:dyDescent="0.25">
      <c r="A343" t="str">
        <f t="shared" si="10"/>
        <v>Impianto Elettrico_Gruppo elettrogeno_ALR_TEMPERATURA_ALTA_OLIO-Allarme temperatura alta olio</v>
      </c>
      <c r="B343" t="str">
        <f t="shared" si="11"/>
        <v>ALR_TEMPERATURA_ALTA_OLIO-Allarme temperatura alta olio</v>
      </c>
      <c r="C343" t="str">
        <f>VLOOKUP(B343,'[2]Classi allarmi RMT-STIG_rev4'!$C:$C,1,0)</f>
        <v>ALR_TEMPERATURA_ALTA_OLIO-Allarme temperatura alta olio</v>
      </c>
      <c r="D343" t="str">
        <f>VLOOKUP(B343,'EXPORT IRIS PROD 13-11-2024'!A:A,1,0)</f>
        <v>ALR_TEMPERATURA_ALTA_OLIO-Allarme temperatura alta olio</v>
      </c>
      <c r="E343" t="str">
        <f>VLOOKUP(H343,'EXPORT IRIS PROD 13-11-2024'!F:F,1,0)</f>
        <v>ALR_TEMPERATURA_ALTA_OLIO</v>
      </c>
      <c r="F343" t="str">
        <f>VLOOKUP(I343,'EXPORT IRIS PROD 13-11-2024'!D:D,1,0)</f>
        <v>Allarme temperatura alta olio</v>
      </c>
      <c r="G343" s="37" t="s">
        <v>53</v>
      </c>
      <c r="H343" s="38" t="s">
        <v>679</v>
      </c>
      <c r="I343" s="38" t="s">
        <v>680</v>
      </c>
      <c r="J343" s="39" t="s">
        <v>56</v>
      </c>
      <c r="K343" s="39" t="s">
        <v>57</v>
      </c>
      <c r="L343" s="40" t="s">
        <v>21</v>
      </c>
      <c r="M343" s="41" t="s">
        <v>22</v>
      </c>
      <c r="N343" s="42" t="s">
        <v>23</v>
      </c>
      <c r="O343" s="43" t="s">
        <v>24</v>
      </c>
      <c r="P343" s="42" t="s">
        <v>25</v>
      </c>
      <c r="Q343" s="42" t="s">
        <v>21</v>
      </c>
      <c r="R343" s="44"/>
    </row>
    <row r="344" spans="1:18" customFormat="1" x14ac:dyDescent="0.25">
      <c r="A344" t="str">
        <f t="shared" si="10"/>
        <v>Impianto Elettrico_Quadro elettrico_ALR_TEMPERATURA_ALTA_QE-Allarme temperatura locali quadri</v>
      </c>
      <c r="B344" t="str">
        <f t="shared" si="11"/>
        <v>ALR_TEMPERATURA_ALTA_QE-Allarme temperatura locali quadri</v>
      </c>
      <c r="C344" t="str">
        <f>VLOOKUP(B344,'[2]Classi allarmi RMT-STIG_rev4'!$C:$C,1,0)</f>
        <v>ALR_TEMPERATURA_ALTA_QE-Allarme temperatura locali quadri</v>
      </c>
      <c r="D344" t="str">
        <f>VLOOKUP(B344,'EXPORT IRIS PROD 13-11-2024'!A:A,1,0)</f>
        <v>ALR_TEMPERATURA_ALTA_QE-Allarme temperatura locali quadri</v>
      </c>
      <c r="E344" t="str">
        <f>VLOOKUP(H344,'EXPORT IRIS PROD 13-11-2024'!F:F,1,0)</f>
        <v>ALR_TEMPERATURA_ALTA_QE</v>
      </c>
      <c r="F344" t="str">
        <f>VLOOKUP(I344,'EXPORT IRIS PROD 13-11-2024'!D:D,1,0)</f>
        <v>Allarme temperatura locali quadri</v>
      </c>
      <c r="G344" s="37" t="s">
        <v>53</v>
      </c>
      <c r="H344" s="38" t="s">
        <v>681</v>
      </c>
      <c r="I344" s="38" t="s">
        <v>682</v>
      </c>
      <c r="J344" s="39" t="s">
        <v>56</v>
      </c>
      <c r="K344" s="39" t="s">
        <v>114</v>
      </c>
      <c r="L344" s="40" t="s">
        <v>21</v>
      </c>
      <c r="M344" s="41" t="s">
        <v>22</v>
      </c>
      <c r="N344" s="42" t="s">
        <v>23</v>
      </c>
      <c r="O344" s="43" t="s">
        <v>24</v>
      </c>
      <c r="P344" s="42" t="s">
        <v>25</v>
      </c>
      <c r="Q344" s="42" t="s">
        <v>21</v>
      </c>
      <c r="R344" s="44"/>
    </row>
    <row r="345" spans="1:18" customFormat="1" x14ac:dyDescent="0.25">
      <c r="A345" t="str">
        <f t="shared" si="10"/>
        <v>Impianto Elettrico_Quadro elettrico_ALR_TEMPERATURA_ALTA_QMT-Allarme temperatura locali MT</v>
      </c>
      <c r="B345" t="str">
        <f t="shared" si="11"/>
        <v>ALR_TEMPERATURA_ALTA_QMT-Allarme temperatura locali MT</v>
      </c>
      <c r="C345" t="str">
        <f>VLOOKUP(B345,'[2]Classi allarmi RMT-STIG_rev4'!$C:$C,1,0)</f>
        <v>ALR_TEMPERATURA_ALTA_QMT-Allarme temperatura locali MT</v>
      </c>
      <c r="D345" t="str">
        <f>VLOOKUP(B345,'EXPORT IRIS PROD 13-11-2024'!A:A,1,0)</f>
        <v>ALR_TEMPERATURA_ALTA_QMT-Allarme temperatura locali MT</v>
      </c>
      <c r="E345" t="str">
        <f>VLOOKUP(H345,'EXPORT IRIS PROD 13-11-2024'!F:F,1,0)</f>
        <v>ALR_TEMPERATURA_ALTA_QMT</v>
      </c>
      <c r="F345" t="str">
        <f>VLOOKUP(I345,'EXPORT IRIS PROD 13-11-2024'!D:D,1,0)</f>
        <v>Allarme temperatura locali MT</v>
      </c>
      <c r="G345" s="37" t="s">
        <v>53</v>
      </c>
      <c r="H345" s="38" t="s">
        <v>683</v>
      </c>
      <c r="I345" s="38" t="s">
        <v>684</v>
      </c>
      <c r="J345" s="39" t="s">
        <v>56</v>
      </c>
      <c r="K345" s="39" t="s">
        <v>114</v>
      </c>
      <c r="L345" s="40" t="s">
        <v>21</v>
      </c>
      <c r="M345" s="41" t="s">
        <v>22</v>
      </c>
      <c r="N345" s="42" t="s">
        <v>23</v>
      </c>
      <c r="O345" s="43" t="s">
        <v>24</v>
      </c>
      <c r="P345" s="42" t="s">
        <v>25</v>
      </c>
      <c r="Q345" s="42" t="s">
        <v>21</v>
      </c>
      <c r="R345" s="44"/>
    </row>
    <row r="346" spans="1:18" customFormat="1" x14ac:dyDescent="0.25">
      <c r="A346" t="str">
        <f t="shared" si="10"/>
        <v>Impianto Elettrico_Quadro elettrico_ALR_TEMPERATURA_ALTA_QPLC-Allarme temperatura locale automazione</v>
      </c>
      <c r="B346" t="str">
        <f t="shared" si="11"/>
        <v>ALR_TEMPERATURA_ALTA_QPLC-Allarme temperatura locale automazione</v>
      </c>
      <c r="C346" t="str">
        <f>VLOOKUP(B346,'[2]Classi allarmi RMT-STIG_rev4'!$C:$C,1,0)</f>
        <v>ALR_TEMPERATURA_ALTA_QPLC-Allarme temperatura locale automazione</v>
      </c>
      <c r="D346" t="str">
        <f>VLOOKUP(B346,'EXPORT IRIS PROD 13-11-2024'!A:A,1,0)</f>
        <v>ALR_TEMPERATURA_ALTA_QPLC-Allarme temperatura locale automazione</v>
      </c>
      <c r="E346" t="str">
        <f>VLOOKUP(H346,'EXPORT IRIS PROD 13-11-2024'!F:F,1,0)</f>
        <v>ALR_TEMPERATURA_ALTA_QPLC</v>
      </c>
      <c r="F346" t="str">
        <f>VLOOKUP(I346,'EXPORT IRIS PROD 13-11-2024'!D:D,1,0)</f>
        <v>Allarme temperatura locale automazione</v>
      </c>
      <c r="G346" s="37" t="s">
        <v>53</v>
      </c>
      <c r="H346" s="38" t="s">
        <v>685</v>
      </c>
      <c r="I346" s="38" t="s">
        <v>686</v>
      </c>
      <c r="J346" s="39" t="s">
        <v>56</v>
      </c>
      <c r="K346" s="39" t="s">
        <v>114</v>
      </c>
      <c r="L346" s="40" t="s">
        <v>21</v>
      </c>
      <c r="M346" s="41" t="s">
        <v>22</v>
      </c>
      <c r="N346" s="42" t="s">
        <v>23</v>
      </c>
      <c r="O346" s="43" t="s">
        <v>24</v>
      </c>
      <c r="P346" s="42" t="s">
        <v>25</v>
      </c>
      <c r="Q346" s="42" t="s">
        <v>21</v>
      </c>
      <c r="R346" s="44"/>
    </row>
    <row r="347" spans="1:18" customFormat="1" x14ac:dyDescent="0.25">
      <c r="A347" t="str">
        <f t="shared" si="10"/>
        <v>Impianto Elettrico_Quadro elettrico_ALR_TEMPERATURA_ALTA_QUADRO-Allarme alta temperatura quadro</v>
      </c>
      <c r="B347" t="str">
        <f t="shared" si="11"/>
        <v>ALR_TEMPERATURA_ALTA_QUADRO-Allarme alta temperatura quadro</v>
      </c>
      <c r="C347" t="str">
        <f>VLOOKUP(B347,'[2]Classi allarmi RMT-STIG_rev4'!$C:$C,1,0)</f>
        <v>ALR_TEMPERATURA_ALTA_QUADRO-Allarme alta temperatura quadro</v>
      </c>
      <c r="D347" t="str">
        <f>VLOOKUP(B347,'EXPORT IRIS PROD 13-11-2024'!A:A,1,0)</f>
        <v>ALR_TEMPERATURA_ALTA_QUADRO-Allarme alta temperatura quadro</v>
      </c>
      <c r="E347" t="str">
        <f>VLOOKUP(H347,'EXPORT IRIS PROD 13-11-2024'!F:F,1,0)</f>
        <v>ALR_TEMPERATURA_ALTA_QUADRO</v>
      </c>
      <c r="F347" t="str">
        <f>VLOOKUP(I347,'EXPORT IRIS PROD 13-11-2024'!D:D,1,0)</f>
        <v>Allarme alta temperatura quadro</v>
      </c>
      <c r="G347" s="37" t="s">
        <v>53</v>
      </c>
      <c r="H347" s="38" t="s">
        <v>687</v>
      </c>
      <c r="I347" s="38" t="s">
        <v>688</v>
      </c>
      <c r="J347" s="39" t="s">
        <v>56</v>
      </c>
      <c r="K347" s="39" t="s">
        <v>114</v>
      </c>
      <c r="L347" s="40" t="s">
        <v>21</v>
      </c>
      <c r="M347" s="41" t="s">
        <v>22</v>
      </c>
      <c r="N347" s="42" t="s">
        <v>23</v>
      </c>
      <c r="O347" s="43" t="s">
        <v>24</v>
      </c>
      <c r="P347" s="42" t="s">
        <v>25</v>
      </c>
      <c r="Q347" s="42" t="s">
        <v>21</v>
      </c>
      <c r="R347" s="44"/>
    </row>
    <row r="348" spans="1:18" customFormat="1" x14ac:dyDescent="0.25">
      <c r="A348" t="str">
        <f t="shared" si="10"/>
        <v>Impianto Elettrico_Trasformatore_ALR_TEMPERATURA_ALTA_TRAFO-Allarme alta temperatura trasformatore</v>
      </c>
      <c r="B348" t="str">
        <f t="shared" si="11"/>
        <v>ALR_TEMPERATURA_ALTA_TRAFO-Allarme alta temperatura trasformatore</v>
      </c>
      <c r="C348" t="str">
        <f>VLOOKUP(B348,'[2]Classi allarmi RMT-STIG_rev4'!$C:$C,1,0)</f>
        <v>ALR_TEMPERATURA_ALTA_TRAFO-Allarme alta temperatura trasformatore</v>
      </c>
      <c r="D348" t="str">
        <f>VLOOKUP(B348,'EXPORT IRIS PROD 13-11-2024'!A:A,1,0)</f>
        <v>ALR_TEMPERATURA_ALTA_TRAFO-Allarme alta temperatura trasformatore</v>
      </c>
      <c r="E348" t="str">
        <f>VLOOKUP(H348,'EXPORT IRIS PROD 13-11-2024'!F:F,1,0)</f>
        <v>ALR_TEMPERATURA_ALTA_TRAFO</v>
      </c>
      <c r="F348" t="str">
        <f>VLOOKUP(I348,'EXPORT IRIS PROD 13-11-2024'!D:D,1,0)</f>
        <v>Allarme alta temperatura trasformatore</v>
      </c>
      <c r="G348" s="37" t="s">
        <v>53</v>
      </c>
      <c r="H348" s="38" t="s">
        <v>689</v>
      </c>
      <c r="I348" s="38" t="s">
        <v>690</v>
      </c>
      <c r="J348" s="39" t="s">
        <v>56</v>
      </c>
      <c r="K348" s="39" t="s">
        <v>208</v>
      </c>
      <c r="L348" s="40" t="s">
        <v>21</v>
      </c>
      <c r="M348" s="41" t="s">
        <v>22</v>
      </c>
      <c r="N348" s="42" t="s">
        <v>23</v>
      </c>
      <c r="O348" s="43" t="s">
        <v>24</v>
      </c>
      <c r="P348" s="42" t="s">
        <v>25</v>
      </c>
      <c r="Q348" s="42" t="s">
        <v>21</v>
      </c>
      <c r="R348" s="44"/>
    </row>
    <row r="349" spans="1:18" customFormat="1" x14ac:dyDescent="0.25">
      <c r="A349" t="str">
        <f t="shared" si="10"/>
        <v>Impianto Elettrico_Gruppo elettrogeno_ALR_TEMPERATURA_BASSA-Allarme temperatura bassa</v>
      </c>
      <c r="B349" t="str">
        <f t="shared" si="11"/>
        <v>ALR_TEMPERATURA_BASSA-Allarme temperatura bassa</v>
      </c>
      <c r="C349" t="str">
        <f>VLOOKUP(B349,'[2]Classi allarmi RMT-STIG_rev4'!$C:$C,1,0)</f>
        <v>ALR_TEMPERATURA_BASSA-Allarme temperatura bassa</v>
      </c>
      <c r="D349" t="str">
        <f>VLOOKUP(B349,'EXPORT IRIS PROD 13-11-2024'!A:A,1,0)</f>
        <v>ALR_TEMPERATURA_BASSA-Allarme temperatura bassa</v>
      </c>
      <c r="E349" t="str">
        <f>VLOOKUP(H349,'EXPORT IRIS PROD 13-11-2024'!F:F,1,0)</f>
        <v>ALR_TEMPERATURA_BASSA</v>
      </c>
      <c r="F349" t="str">
        <f>VLOOKUP(I349,'EXPORT IRIS PROD 13-11-2024'!D:D,1,0)</f>
        <v>Allarme temperatura bassa</v>
      </c>
      <c r="G349" s="37" t="s">
        <v>53</v>
      </c>
      <c r="H349" s="38" t="s">
        <v>691</v>
      </c>
      <c r="I349" s="38" t="s">
        <v>692</v>
      </c>
      <c r="J349" s="39" t="s">
        <v>56</v>
      </c>
      <c r="K349" s="39" t="s">
        <v>57</v>
      </c>
      <c r="L349" s="40" t="s">
        <v>21</v>
      </c>
      <c r="M349" s="41" t="s">
        <v>22</v>
      </c>
      <c r="N349" s="42" t="s">
        <v>23</v>
      </c>
      <c r="O349" s="43" t="s">
        <v>24</v>
      </c>
      <c r="P349" s="42" t="s">
        <v>25</v>
      </c>
      <c r="Q349" s="42" t="s">
        <v>21</v>
      </c>
      <c r="R349" s="44"/>
    </row>
    <row r="350" spans="1:18" customFormat="1" x14ac:dyDescent="0.25">
      <c r="A350" t="str">
        <f t="shared" si="10"/>
        <v>Impianto Elettrico_Gruppo elettrogeno_ALR_TEMPERATURA_BASSA_OLIO-Allarme temperatura olio bassa</v>
      </c>
      <c r="B350" t="str">
        <f t="shared" si="11"/>
        <v>ALR_TEMPERATURA_BASSA_OLIO-Allarme temperatura olio bassa</v>
      </c>
      <c r="C350" t="str">
        <f>VLOOKUP(B350,'[2]Classi allarmi RMT-STIG_rev4'!$C:$C,1,0)</f>
        <v>ALR_TEMPERATURA_BASSA_OLIO-Allarme temperatura olio bassa</v>
      </c>
      <c r="D350" t="str">
        <f>VLOOKUP(B350,'EXPORT IRIS PROD 13-11-2024'!A:A,1,0)</f>
        <v>ALR_TEMPERATURA_BASSA_OLIO-Allarme temperatura olio bassa</v>
      </c>
      <c r="E350" t="str">
        <f>VLOOKUP(H350,'EXPORT IRIS PROD 13-11-2024'!F:F,1,0)</f>
        <v>ALR_TEMPERATURA_BASSA_OLIO</v>
      </c>
      <c r="F350" t="str">
        <f>VLOOKUP(I350,'EXPORT IRIS PROD 13-11-2024'!D:D,1,0)</f>
        <v>Allarme temperatura olio bassa</v>
      </c>
      <c r="G350" s="37" t="s">
        <v>53</v>
      </c>
      <c r="H350" s="38" t="s">
        <v>693</v>
      </c>
      <c r="I350" s="38" t="s">
        <v>694</v>
      </c>
      <c r="J350" s="39" t="s">
        <v>56</v>
      </c>
      <c r="K350" s="39" t="s">
        <v>57</v>
      </c>
      <c r="L350" s="40" t="s">
        <v>21</v>
      </c>
      <c r="M350" s="41" t="s">
        <v>22</v>
      </c>
      <c r="N350" s="42" t="s">
        <v>23</v>
      </c>
      <c r="O350" s="43" t="s">
        <v>24</v>
      </c>
      <c r="P350" s="42" t="s">
        <v>25</v>
      </c>
      <c r="Q350" s="42" t="s">
        <v>21</v>
      </c>
      <c r="R350" s="44"/>
    </row>
    <row r="351" spans="1:18" customFormat="1" x14ac:dyDescent="0.25">
      <c r="A351" t="str">
        <f t="shared" si="10"/>
        <v>Impianto Elettrico_Gruppo elettrogeno_ALR_TENSIONE_MAX-Allarme tensione Gruppo Elettrogeno fuori limiti</v>
      </c>
      <c r="B351" t="str">
        <f t="shared" si="11"/>
        <v>ALR_TENSIONE_MAX-Allarme tensione Gruppo Elettrogeno fuori limiti</v>
      </c>
      <c r="C351" t="str">
        <f>VLOOKUP(B351,'[2]Classi allarmi RMT-STIG_rev4'!$C:$C,1,0)</f>
        <v>ALR_TENSIONE_MAX-Allarme tensione Gruppo Elettrogeno fuori limiti</v>
      </c>
      <c r="D351" t="str">
        <f>VLOOKUP(B351,'EXPORT IRIS PROD 13-11-2024'!A:A,1,0)</f>
        <v>ALR_TENSIONE_MAX-Allarme tensione Gruppo Elettrogeno fuori limiti</v>
      </c>
      <c r="E351" t="str">
        <f>VLOOKUP(H351,'EXPORT IRIS PROD 13-11-2024'!F:F,1,0)</f>
        <v>ALR_TENSIONE_MAX</v>
      </c>
      <c r="F351" t="str">
        <f>VLOOKUP(I351,'EXPORT IRIS PROD 13-11-2024'!D:D,1,0)</f>
        <v>Allarme tensione Gruppo Elettrogeno fuori limiti</v>
      </c>
      <c r="G351" s="37" t="s">
        <v>53</v>
      </c>
      <c r="H351" s="38" t="s">
        <v>695</v>
      </c>
      <c r="I351" s="38" t="s">
        <v>696</v>
      </c>
      <c r="J351" s="39" t="s">
        <v>56</v>
      </c>
      <c r="K351" s="39" t="s">
        <v>57</v>
      </c>
      <c r="L351" s="40" t="s">
        <v>21</v>
      </c>
      <c r="M351" s="41" t="s">
        <v>22</v>
      </c>
      <c r="N351" s="42" t="s">
        <v>23</v>
      </c>
      <c r="O351" s="43" t="s">
        <v>24</v>
      </c>
      <c r="P351" s="42" t="s">
        <v>25</v>
      </c>
      <c r="Q351" s="42" t="s">
        <v>21</v>
      </c>
      <c r="R351" s="44"/>
    </row>
    <row r="352" spans="1:18" customFormat="1" x14ac:dyDescent="0.25">
      <c r="A352" t="str">
        <f t="shared" si="10"/>
        <v>Impianto Illuminazione_Luci permanenti_ALR_TIMEOUT_ACCENSIONE_PERMANENTI_DIR_NORD-Allarme timeout accensione luci permanenti dir. Nord</v>
      </c>
      <c r="B352" t="str">
        <f t="shared" si="11"/>
        <v>ALR_TIMEOUT_ACCENSIONE_PERMANENTI_DIR_NORD-Allarme timeout accensione luci permanenti dir. Nord</v>
      </c>
      <c r="C352" t="str">
        <f>VLOOKUP(B352,'[2]Classi allarmi RMT-STIG_rev4'!$C:$C,1,0)</f>
        <v>ALR_TIMEOUT_ACCENSIONE_PERMANENTI_DIR_NORD-Allarme timeout accensione luci permanenti dir. Nord</v>
      </c>
      <c r="D352" t="str">
        <f>VLOOKUP(B352,'EXPORT IRIS PROD 13-11-2024'!A:A,1,0)</f>
        <v>ALR_TIMEOUT_ACCENSIONE_PERMANENTI_DIR_NORD-Allarme timeout accensione luci permanenti dir. Nord</v>
      </c>
      <c r="E352" t="str">
        <f>VLOOKUP(H352,'EXPORT IRIS PROD 13-11-2024'!F:F,1,0)</f>
        <v>ALR_TIMEOUT_ACCENSIONE_PERMANENTI_DIR_NORD</v>
      </c>
      <c r="F352" t="str">
        <f>VLOOKUP(I352,'EXPORT IRIS PROD 13-11-2024'!D:D,1,0)</f>
        <v>Allarme timeout accensione luci permanenti dir. Nord</v>
      </c>
      <c r="G352" s="37" t="s">
        <v>115</v>
      </c>
      <c r="H352" s="38" t="s">
        <v>697</v>
      </c>
      <c r="I352" s="38" t="s">
        <v>698</v>
      </c>
      <c r="J352" s="39" t="s">
        <v>116</v>
      </c>
      <c r="K352" s="39" t="s">
        <v>699</v>
      </c>
      <c r="L352" s="40" t="s">
        <v>21</v>
      </c>
      <c r="M352" s="41" t="s">
        <v>22</v>
      </c>
      <c r="N352" s="42" t="s">
        <v>23</v>
      </c>
      <c r="O352" s="43" t="s">
        <v>24</v>
      </c>
      <c r="P352" s="42" t="s">
        <v>25</v>
      </c>
      <c r="Q352" s="42" t="s">
        <v>21</v>
      </c>
      <c r="R352" s="44"/>
    </row>
    <row r="353" spans="1:18" customFormat="1" x14ac:dyDescent="0.25">
      <c r="A353" t="str">
        <f t="shared" si="10"/>
        <v>Impianto Illuminazione_Luci permanenti_ALR_TIMEOUT_ACCENSIONE_PERMANENTI_DIR_SUD-Allarme timeout accensione luci permanenti dir. Sud</v>
      </c>
      <c r="B353" t="str">
        <f t="shared" si="11"/>
        <v>ALR_TIMEOUT_ACCENSIONE_PERMANENTI_DIR_SUD-Allarme timeout accensione luci permanenti dir. Sud</v>
      </c>
      <c r="C353" t="str">
        <f>VLOOKUP(B353,'[2]Classi allarmi RMT-STIG_rev4'!$C:$C,1,0)</f>
        <v>ALR_TIMEOUT_ACCENSIONE_PERMANENTI_DIR_SUD-Allarme timeout accensione luci permanenti dir. Sud</v>
      </c>
      <c r="D353" t="str">
        <f>VLOOKUP(B353,'EXPORT IRIS PROD 13-11-2024'!A:A,1,0)</f>
        <v>ALR_TIMEOUT_ACCENSIONE_PERMANENTI_DIR_SUD-Allarme timeout accensione luci permanenti dir. Sud</v>
      </c>
      <c r="E353" t="str">
        <f>VLOOKUP(H353,'EXPORT IRIS PROD 13-11-2024'!F:F,1,0)</f>
        <v>ALR_TIMEOUT_ACCENSIONE_PERMANENTI_DIR_SUD</v>
      </c>
      <c r="F353" t="str">
        <f>VLOOKUP(I353,'EXPORT IRIS PROD 13-11-2024'!D:D,1,0)</f>
        <v>Allarme timeout accensione luci permanenti dir. Sud</v>
      </c>
      <c r="G353" s="37" t="s">
        <v>115</v>
      </c>
      <c r="H353" s="38" t="s">
        <v>700</v>
      </c>
      <c r="I353" s="38" t="s">
        <v>701</v>
      </c>
      <c r="J353" s="39" t="s">
        <v>116</v>
      </c>
      <c r="K353" s="39" t="s">
        <v>699</v>
      </c>
      <c r="L353" s="40" t="s">
        <v>21</v>
      </c>
      <c r="M353" s="41" t="s">
        <v>22</v>
      </c>
      <c r="N353" s="42" t="s">
        <v>23</v>
      </c>
      <c r="O353" s="43" t="s">
        <v>24</v>
      </c>
      <c r="P353" s="42" t="s">
        <v>25</v>
      </c>
      <c r="Q353" s="42" t="s">
        <v>21</v>
      </c>
      <c r="R353" s="44"/>
    </row>
    <row r="354" spans="1:18" customFormat="1" x14ac:dyDescent="0.25">
      <c r="A354" t="str">
        <f t="shared" si="10"/>
        <v>Impianto Illuminazione_Luci rinforzo_ALR_TIMEOUT_ACCENSIONE_RINFORZI_DIR_NORD-Allarme timeout accensione luci di rinforzo dir. Nord</v>
      </c>
      <c r="B354" t="str">
        <f t="shared" si="11"/>
        <v>ALR_TIMEOUT_ACCENSIONE_RINFORZI_DIR_NORD-Allarme timeout accensione luci di rinforzo dir. Nord</v>
      </c>
      <c r="C354" t="str">
        <f>VLOOKUP(B354,'[2]Classi allarmi RMT-STIG_rev4'!$C:$C,1,0)</f>
        <v>ALR_TIMEOUT_ACCENSIONE_RINFORZI_DIR_NORD-Allarme timeout accensione luci di rinforzo dir. Nord</v>
      </c>
      <c r="D354" t="str">
        <f>VLOOKUP(B354,'EXPORT IRIS PROD 13-11-2024'!A:A,1,0)</f>
        <v>ALR_TIMEOUT_ACCENSIONE_RINFORZI_DIR_NORD-Allarme timeout accensione luci di rinforzo dir. Nord</v>
      </c>
      <c r="E354" t="str">
        <f>VLOOKUP(H354,'EXPORT IRIS PROD 13-11-2024'!F:F,1,0)</f>
        <v>ALR_TIMEOUT_ACCENSIONE_RINFORZI_DIR_NORD</v>
      </c>
      <c r="F354" t="str">
        <f>VLOOKUP(I354,'EXPORT IRIS PROD 13-11-2024'!D:D,1,0)</f>
        <v>Allarme timeout accensione luci di rinforzo dir. Nord</v>
      </c>
      <c r="G354" s="37" t="s">
        <v>115</v>
      </c>
      <c r="H354" s="38" t="s">
        <v>702</v>
      </c>
      <c r="I354" s="38" t="s">
        <v>703</v>
      </c>
      <c r="J354" s="39" t="s">
        <v>116</v>
      </c>
      <c r="K354" s="39" t="s">
        <v>704</v>
      </c>
      <c r="L354" s="40" t="s">
        <v>21</v>
      </c>
      <c r="M354" s="41" t="s">
        <v>22</v>
      </c>
      <c r="N354" s="42" t="s">
        <v>23</v>
      </c>
      <c r="O354" s="43" t="s">
        <v>24</v>
      </c>
      <c r="P354" s="42" t="s">
        <v>25</v>
      </c>
      <c r="Q354" s="42" t="s">
        <v>21</v>
      </c>
      <c r="R354" s="44"/>
    </row>
    <row r="355" spans="1:18" customFormat="1" x14ac:dyDescent="0.25">
      <c r="A355" t="str">
        <f t="shared" si="10"/>
        <v>Impianto Illuminazione_Luci rinforzo_ALR_TIMEOUT_ACCENSIONE_RINFORZI_DIR_SUD-Allarme timeout accensione luci di rinforzo dir. Sud</v>
      </c>
      <c r="B355" t="str">
        <f t="shared" si="11"/>
        <v>ALR_TIMEOUT_ACCENSIONE_RINFORZI_DIR_SUD-Allarme timeout accensione luci di rinforzo dir. Sud</v>
      </c>
      <c r="C355" t="str">
        <f>VLOOKUP(B355,'[2]Classi allarmi RMT-STIG_rev4'!$C:$C,1,0)</f>
        <v>ALR_TIMEOUT_ACCENSIONE_RINFORZI_DIR_SUD-Allarme timeout accensione luci di rinforzo dir. Sud</v>
      </c>
      <c r="D355" t="str">
        <f>VLOOKUP(B355,'EXPORT IRIS PROD 13-11-2024'!A:A,1,0)</f>
        <v>ALR_TIMEOUT_ACCENSIONE_RINFORZI_DIR_SUD-Allarme timeout accensione luci di rinforzo dir. Sud</v>
      </c>
      <c r="E355" t="str">
        <f>VLOOKUP(H355,'EXPORT IRIS PROD 13-11-2024'!F:F,1,0)</f>
        <v>ALR_TIMEOUT_ACCENSIONE_RINFORZI_DIR_SUD</v>
      </c>
      <c r="F355" t="str">
        <f>VLOOKUP(I355,'EXPORT IRIS PROD 13-11-2024'!D:D,1,0)</f>
        <v>Allarme timeout accensione luci di rinforzo dir. Sud</v>
      </c>
      <c r="G355" s="37" t="s">
        <v>115</v>
      </c>
      <c r="H355" s="38" t="s">
        <v>705</v>
      </c>
      <c r="I355" s="38" t="s">
        <v>706</v>
      </c>
      <c r="J355" s="39" t="s">
        <v>116</v>
      </c>
      <c r="K355" s="39" t="s">
        <v>704</v>
      </c>
      <c r="L355" s="40" t="s">
        <v>21</v>
      </c>
      <c r="M355" s="41" t="s">
        <v>22</v>
      </c>
      <c r="N355" s="42" t="s">
        <v>23</v>
      </c>
      <c r="O355" s="43" t="s">
        <v>24</v>
      </c>
      <c r="P355" s="42" t="s">
        <v>25</v>
      </c>
      <c r="Q355" s="42" t="s">
        <v>21</v>
      </c>
      <c r="R355" s="44"/>
    </row>
    <row r="356" spans="1:18" customFormat="1" x14ac:dyDescent="0.25">
      <c r="A356" t="str">
        <f t="shared" si="10"/>
        <v>Impianto Canalizzazione_PMV/Frecciacroce_ALR_TIMEOUT_CONNESSIONE-Allarme timeout connessione</v>
      </c>
      <c r="B356" t="str">
        <f t="shared" si="11"/>
        <v>ALR_TIMEOUT_CONNESSIONE-Allarme timeout connessione</v>
      </c>
      <c r="C356" t="str">
        <f>VLOOKUP(B356,'[2]Classi allarmi RMT-STIG_rev4'!$C:$C,1,0)</f>
        <v>ALR_TIMEOUT_CONNESSIONE-Allarme timeout connessione</v>
      </c>
      <c r="D356" t="str">
        <f>VLOOKUP(B356,'EXPORT IRIS PROD 13-11-2024'!A:A,1,0)</f>
        <v>ALR_TIMEOUT_CONNESSIONE-Allarme timeout connessione</v>
      </c>
      <c r="E356" t="str">
        <f>VLOOKUP(H356,'EXPORT IRIS PROD 13-11-2024'!F:F,1,0)</f>
        <v>ALR_TIMEOUT_CONNESSIONE</v>
      </c>
      <c r="F356" t="str">
        <f>VLOOKUP(I356,'EXPORT IRIS PROD 13-11-2024'!D:D,1,0)</f>
        <v>Allarme timeout connessione</v>
      </c>
      <c r="G356" s="37" t="s">
        <v>109</v>
      </c>
      <c r="H356" s="38" t="s">
        <v>707</v>
      </c>
      <c r="I356" s="38" t="s">
        <v>708</v>
      </c>
      <c r="J356" s="39" t="s">
        <v>111</v>
      </c>
      <c r="K356" s="39" t="s">
        <v>127</v>
      </c>
      <c r="L356" s="40" t="s">
        <v>21</v>
      </c>
      <c r="M356" s="41" t="s">
        <v>22</v>
      </c>
      <c r="N356" s="42" t="s">
        <v>23</v>
      </c>
      <c r="O356" s="43" t="s">
        <v>24</v>
      </c>
      <c r="P356" s="42" t="s">
        <v>25</v>
      </c>
      <c r="Q356" s="42" t="s">
        <v>21</v>
      </c>
      <c r="R356" s="44"/>
    </row>
    <row r="357" spans="1:18" customFormat="1" x14ac:dyDescent="0.25">
      <c r="A357" t="str">
        <f t="shared" si="10"/>
        <v>Impianto Ventilazione_Ventilatore_ALR_TIMEOUT_DIR_NORD-Allarme timeout dir. Nord</v>
      </c>
      <c r="B357" t="str">
        <f t="shared" si="11"/>
        <v>ALR_TIMEOUT_DIR_NORD-Allarme timeout dir. Nord</v>
      </c>
      <c r="C357" t="str">
        <f>VLOOKUP(B357,'[2]Classi allarmi RMT-STIG_rev4'!$C:$C,1,0)</f>
        <v>ALR_TIMEOUT_DIR_NORD-Allarme timeout dir. Nord</v>
      </c>
      <c r="D357" t="str">
        <f>VLOOKUP(B357,'EXPORT IRIS PROD 13-11-2024'!A:A,1,0)</f>
        <v>ALR_TIMEOUT_DIR_NORD-Allarme timeout dir. Nord</v>
      </c>
      <c r="E357" t="str">
        <f>VLOOKUP(H357,'EXPORT IRIS PROD 13-11-2024'!F:F,1,0)</f>
        <v>ALR_TIMEOUT_DIR_NORD</v>
      </c>
      <c r="F357" t="str">
        <f>VLOOKUP(I357,'EXPORT IRIS PROD 13-11-2024'!D:D,1,0)</f>
        <v>Allarme timeout dir. Nord</v>
      </c>
      <c r="G357" s="37" t="s">
        <v>85</v>
      </c>
      <c r="H357" s="38" t="s">
        <v>709</v>
      </c>
      <c r="I357" s="38" t="s">
        <v>710</v>
      </c>
      <c r="J357" s="39" t="s">
        <v>50</v>
      </c>
      <c r="K357" s="39" t="s">
        <v>124</v>
      </c>
      <c r="L357" s="40" t="s">
        <v>21</v>
      </c>
      <c r="M357" s="41" t="s">
        <v>22</v>
      </c>
      <c r="N357" s="42" t="s">
        <v>23</v>
      </c>
      <c r="O357" s="43" t="s">
        <v>24</v>
      </c>
      <c r="P357" s="42" t="s">
        <v>25</v>
      </c>
      <c r="Q357" s="42" t="s">
        <v>21</v>
      </c>
      <c r="R357" s="44"/>
    </row>
    <row r="358" spans="1:18" customFormat="1" x14ac:dyDescent="0.25">
      <c r="A358" t="str">
        <f t="shared" si="10"/>
        <v>Impianto Ventilazione_Ventilatore_ALR_TIMEOUT_DIR_SUD-Allarme timeout dir. Sud</v>
      </c>
      <c r="B358" t="str">
        <f t="shared" si="11"/>
        <v>ALR_TIMEOUT_DIR_SUD-Allarme timeout dir. Sud</v>
      </c>
      <c r="C358" t="str">
        <f>VLOOKUP(B358,'[2]Classi allarmi RMT-STIG_rev4'!$C:$C,1,0)</f>
        <v>ALR_TIMEOUT_DIR_SUD-Allarme timeout dir. Sud</v>
      </c>
      <c r="D358" t="str">
        <f>VLOOKUP(B358,'EXPORT IRIS PROD 13-11-2024'!A:A,1,0)</f>
        <v>ALR_TIMEOUT_DIR_SUD-Allarme timeout dir. Sud</v>
      </c>
      <c r="E358" t="str">
        <f>VLOOKUP(H358,'EXPORT IRIS PROD 13-11-2024'!F:F,1,0)</f>
        <v>ALR_TIMEOUT_DIR_SUD</v>
      </c>
      <c r="F358" t="str">
        <f>VLOOKUP(I358,'EXPORT IRIS PROD 13-11-2024'!D:D,1,0)</f>
        <v>Allarme timeout dir. Sud</v>
      </c>
      <c r="G358" s="37" t="s">
        <v>85</v>
      </c>
      <c r="H358" s="38" t="s">
        <v>711</v>
      </c>
      <c r="I358" s="38" t="s">
        <v>712</v>
      </c>
      <c r="J358" s="39" t="s">
        <v>50</v>
      </c>
      <c r="K358" s="39" t="s">
        <v>124</v>
      </c>
      <c r="L358" s="40" t="s">
        <v>21</v>
      </c>
      <c r="M358" s="41" t="s">
        <v>22</v>
      </c>
      <c r="N358" s="42" t="s">
        <v>23</v>
      </c>
      <c r="O358" s="43" t="s">
        <v>24</v>
      </c>
      <c r="P358" s="42" t="s">
        <v>25</v>
      </c>
      <c r="Q358" s="42" t="s">
        <v>21</v>
      </c>
      <c r="R358" s="44"/>
    </row>
    <row r="359" spans="1:18" customFormat="1" x14ac:dyDescent="0.25">
      <c r="A359" t="str">
        <f t="shared" si="10"/>
        <v>Impianto Illuminazione_Picchetti luminosi_ALR_TIMEOUT_ESCLUSIONE_PICCHETTI_LUMINOSI-Allarme timeout esclusione picchetti luminosi</v>
      </c>
      <c r="B359" t="str">
        <f t="shared" si="11"/>
        <v>ALR_TIMEOUT_ESCLUSIONE_PICCHETTI_LUMINOSI-Allarme timeout esclusione picchetti luminosi</v>
      </c>
      <c r="C359" t="str">
        <f>VLOOKUP(B359,'[2]Classi allarmi RMT-STIG_rev4'!$C:$C,1,0)</f>
        <v>ALR_TIMEOUT_ESCLUSIONE_PICCHETTI_LUMINOSI-Allarme timeout esclusione picchetti luminosi</v>
      </c>
      <c r="D359" t="str">
        <f>VLOOKUP(B359,'EXPORT IRIS PROD 13-11-2024'!A:A,1,0)</f>
        <v>ALR_TIMEOUT_ESCLUSIONE_PICCHETTI_LUMINOSI-Allarme timeout esclusione picchetti luminosi</v>
      </c>
      <c r="E359" t="str">
        <f>VLOOKUP(H359,'EXPORT IRIS PROD 13-11-2024'!F:F,1,0)</f>
        <v>ALR_TIMEOUT_ESCLUSIONE_PICCHETTI_LUMINOSI</v>
      </c>
      <c r="F359" t="str">
        <f>VLOOKUP(I359,'EXPORT IRIS PROD 13-11-2024'!D:D,1,0)</f>
        <v>Allarme timeout esclusione picchetti luminosi</v>
      </c>
      <c r="G359" s="37" t="s">
        <v>115</v>
      </c>
      <c r="H359" s="38" t="s">
        <v>713</v>
      </c>
      <c r="I359" s="38" t="s">
        <v>714</v>
      </c>
      <c r="J359" s="39" t="s">
        <v>116</v>
      </c>
      <c r="K359" s="39" t="s">
        <v>715</v>
      </c>
      <c r="L359" s="40" t="s">
        <v>21</v>
      </c>
      <c r="M359" s="41" t="s">
        <v>22</v>
      </c>
      <c r="N359" s="42" t="s">
        <v>23</v>
      </c>
      <c r="O359" s="43" t="s">
        <v>24</v>
      </c>
      <c r="P359" s="42" t="s">
        <v>25</v>
      </c>
      <c r="Q359" s="42" t="s">
        <v>21</v>
      </c>
      <c r="R359" s="44"/>
    </row>
    <row r="360" spans="1:18" customFormat="1" x14ac:dyDescent="0.25">
      <c r="A360" t="str">
        <f t="shared" si="10"/>
        <v>Impianto Illuminazione_Picchetti luminosi_ALR_TIMEOUT_FORZATURA_PICCHETTI_LUMINOSI-Allarme timeout forzatura picchetti luminosi</v>
      </c>
      <c r="B360" t="str">
        <f t="shared" si="11"/>
        <v>ALR_TIMEOUT_FORZATURA_PICCHETTI_LUMINOSI-Allarme timeout forzatura picchetti luminosi</v>
      </c>
      <c r="C360" t="str">
        <f>VLOOKUP(B360,'[2]Classi allarmi RMT-STIG_rev4'!$C:$C,1,0)</f>
        <v>ALR_TIMEOUT_FORZATURA_PICCHETTI_LUMINOSI-Allarme timeout forzatura picchetti luminosi</v>
      </c>
      <c r="D360" t="str">
        <f>VLOOKUP(B360,'EXPORT IRIS PROD 13-11-2024'!A:A,1,0)</f>
        <v>ALR_TIMEOUT_FORZATURA_PICCHETTI_LUMINOSI-Allarme timeout forzatura picchetti luminosi</v>
      </c>
      <c r="E360" t="str">
        <f>VLOOKUP(H360,'EXPORT IRIS PROD 13-11-2024'!F:F,1,0)</f>
        <v>ALR_TIMEOUT_FORZATURA_PICCHETTI_LUMINOSI</v>
      </c>
      <c r="F360" t="str">
        <f>VLOOKUP(I360,'EXPORT IRIS PROD 13-11-2024'!D:D,1,0)</f>
        <v>Allarme timeout forzatura picchetti luminosi</v>
      </c>
      <c r="G360" s="37" t="s">
        <v>115</v>
      </c>
      <c r="H360" s="38" t="s">
        <v>716</v>
      </c>
      <c r="I360" s="38" t="s">
        <v>717</v>
      </c>
      <c r="J360" s="39" t="s">
        <v>116</v>
      </c>
      <c r="K360" s="39" t="s">
        <v>715</v>
      </c>
      <c r="L360" s="40" t="s">
        <v>21</v>
      </c>
      <c r="M360" s="41" t="s">
        <v>22</v>
      </c>
      <c r="N360" s="42" t="s">
        <v>23</v>
      </c>
      <c r="O360" s="43" t="s">
        <v>24</v>
      </c>
      <c r="P360" s="42" t="s">
        <v>25</v>
      </c>
      <c r="Q360" s="42" t="s">
        <v>21</v>
      </c>
      <c r="R360" s="44"/>
    </row>
    <row r="361" spans="1:18" customFormat="1" x14ac:dyDescent="0.25">
      <c r="A361" t="str">
        <f t="shared" si="10"/>
        <v>Impianto SOS_Colonnina SOS_ALR_TIMEOUT_GIROFARO-Allarme timeout girofaro</v>
      </c>
      <c r="B361" t="str">
        <f t="shared" si="11"/>
        <v>ALR_TIMEOUT_GIROFARO-Allarme timeout girofaro</v>
      </c>
      <c r="C361" t="str">
        <f>VLOOKUP(B361,'[2]Classi allarmi RMT-STIG_rev4'!$C:$C,1,0)</f>
        <v>ALR_TIMEOUT_GIROFARO-Allarme timeout girofaro</v>
      </c>
      <c r="D361" t="str">
        <f>VLOOKUP(B361,'EXPORT IRIS PROD 13-11-2024'!A:A,1,0)</f>
        <v>ALR_TIMEOUT_GIROFARO-Allarme timeout girofaro</v>
      </c>
      <c r="E361" t="str">
        <f>VLOOKUP(H361,'EXPORT IRIS PROD 13-11-2024'!F:F,1,0)</f>
        <v>ALR_TIMEOUT_GIROFARO</v>
      </c>
      <c r="F361" t="str">
        <f>VLOOKUP(I361,'EXPORT IRIS PROD 13-11-2024'!D:D,1,0)</f>
        <v>Allarme timeout girofaro</v>
      </c>
      <c r="G361" s="37" t="s">
        <v>89</v>
      </c>
      <c r="H361" s="38" t="s">
        <v>718</v>
      </c>
      <c r="I361" s="38" t="s">
        <v>719</v>
      </c>
      <c r="J361" s="39" t="s">
        <v>29</v>
      </c>
      <c r="K361" s="39" t="s">
        <v>360</v>
      </c>
      <c r="L361" s="40" t="s">
        <v>21</v>
      </c>
      <c r="M361" s="41" t="s">
        <v>22</v>
      </c>
      <c r="N361" s="42" t="s">
        <v>23</v>
      </c>
      <c r="O361" s="43" t="s">
        <v>157</v>
      </c>
      <c r="P361" s="42" t="s">
        <v>158</v>
      </c>
      <c r="Q361" s="42" t="s">
        <v>21</v>
      </c>
      <c r="R361" s="44"/>
    </row>
    <row r="362" spans="1:18" customFormat="1" x14ac:dyDescent="0.25">
      <c r="A362" t="str">
        <f t="shared" si="10"/>
        <v>Impianto Canalizzazione_Semaforo_ALR_TIMEOUT_LUCE_GIALLA-Allarme timeout semaforo luce gialla</v>
      </c>
      <c r="B362" t="str">
        <f t="shared" si="11"/>
        <v>ALR_TIMEOUT_LUCE_GIALLA-Allarme timeout semaforo luce gialla</v>
      </c>
      <c r="C362" t="str">
        <f>VLOOKUP(B362,'[2]Classi allarmi RMT-STIG_rev4'!$C:$C,1,0)</f>
        <v>ALR_TIMEOUT_LUCE_GIALLA-Allarme timeout semaforo luce gialla</v>
      </c>
      <c r="D362" t="str">
        <f>VLOOKUP(B362,'EXPORT IRIS PROD 13-11-2024'!A:A,1,0)</f>
        <v>ALR_TIMEOUT_LUCE_GIALLA-Allarme timeout semaforo luce gialla</v>
      </c>
      <c r="E362" t="str">
        <f>VLOOKUP(H362,'EXPORT IRIS PROD 13-11-2024'!F:F,1,0)</f>
        <v>ALR_TIMEOUT_LUCE_GIALLA</v>
      </c>
      <c r="F362" t="str">
        <f>VLOOKUP(I362,'EXPORT IRIS PROD 13-11-2024'!D:D,1,0)</f>
        <v>Allarme timeout semaforo luce gialla</v>
      </c>
      <c r="G362" s="37" t="s">
        <v>109</v>
      </c>
      <c r="H362" s="38" t="s">
        <v>720</v>
      </c>
      <c r="I362" s="38" t="s">
        <v>721</v>
      </c>
      <c r="J362" s="39" t="s">
        <v>111</v>
      </c>
      <c r="K362" s="39" t="s">
        <v>376</v>
      </c>
      <c r="L362" s="40" t="s">
        <v>21</v>
      </c>
      <c r="M362" s="41" t="s">
        <v>22</v>
      </c>
      <c r="N362" s="42" t="s">
        <v>23</v>
      </c>
      <c r="O362" s="43" t="s">
        <v>24</v>
      </c>
      <c r="P362" s="42" t="s">
        <v>25</v>
      </c>
      <c r="Q362" s="42" t="s">
        <v>21</v>
      </c>
      <c r="R362" s="44"/>
    </row>
    <row r="363" spans="1:18" customFormat="1" x14ac:dyDescent="0.25">
      <c r="A363" t="str">
        <f t="shared" si="10"/>
        <v>Impianto Canalizzazione_Semaforo_ALR_TIMEOUT_LUCE_ROSSA-Allarme timeout semaforo luce rossa</v>
      </c>
      <c r="B363" t="str">
        <f t="shared" si="11"/>
        <v>ALR_TIMEOUT_LUCE_ROSSA-Allarme timeout semaforo luce rossa</v>
      </c>
      <c r="C363" t="str">
        <f>VLOOKUP(B363,'[2]Classi allarmi RMT-STIG_rev4'!$C:$C,1,0)</f>
        <v>ALR_TIMEOUT_LUCE_ROSSA-Allarme timeout semaforo luce rossa</v>
      </c>
      <c r="D363" t="str">
        <f>VLOOKUP(B363,'EXPORT IRIS PROD 13-11-2024'!A:A,1,0)</f>
        <v>ALR_TIMEOUT_LUCE_ROSSA-Allarme timeout semaforo luce rossa</v>
      </c>
      <c r="E363" t="str">
        <f>VLOOKUP(H363,'EXPORT IRIS PROD 13-11-2024'!F:F,1,0)</f>
        <v>ALR_TIMEOUT_LUCE_ROSSA</v>
      </c>
      <c r="F363" t="str">
        <f>VLOOKUP(I363,'EXPORT IRIS PROD 13-11-2024'!D:D,1,0)</f>
        <v>Allarme timeout semaforo luce rossa</v>
      </c>
      <c r="G363" s="37" t="s">
        <v>109</v>
      </c>
      <c r="H363" s="38" t="s">
        <v>722</v>
      </c>
      <c r="I363" s="38" t="s">
        <v>723</v>
      </c>
      <c r="J363" s="39" t="s">
        <v>111</v>
      </c>
      <c r="K363" s="39" t="s">
        <v>376</v>
      </c>
      <c r="L363" s="40" t="s">
        <v>21</v>
      </c>
      <c r="M363" s="41" t="s">
        <v>22</v>
      </c>
      <c r="N363" s="42" t="s">
        <v>23</v>
      </c>
      <c r="O363" s="43" t="s">
        <v>24</v>
      </c>
      <c r="P363" s="42" t="s">
        <v>25</v>
      </c>
      <c r="Q363" s="42" t="s">
        <v>21</v>
      </c>
      <c r="R363" s="44"/>
    </row>
    <row r="364" spans="1:18" customFormat="1" x14ac:dyDescent="0.25">
      <c r="A364" t="str">
        <f t="shared" si="10"/>
        <v>Impianto Canalizzazione_Semaforo_ALR_TIMEOUT_LUCE_VERDE-Allarme timeout semaforo luce verde</v>
      </c>
      <c r="B364" t="str">
        <f t="shared" si="11"/>
        <v>ALR_TIMEOUT_LUCE_VERDE-Allarme timeout semaforo luce verde</v>
      </c>
      <c r="C364" t="str">
        <f>VLOOKUP(B364,'[2]Classi allarmi RMT-STIG_rev4'!$C:$C,1,0)</f>
        <v>ALR_TIMEOUT_LUCE_VERDE-Allarme timeout semaforo luce verde</v>
      </c>
      <c r="D364" t="str">
        <f>VLOOKUP(B364,'EXPORT IRIS PROD 13-11-2024'!A:A,1,0)</f>
        <v>ALR_TIMEOUT_LUCE_VERDE-Allarme timeout semaforo luce verde</v>
      </c>
      <c r="E364" t="str">
        <f>VLOOKUP(H364,'EXPORT IRIS PROD 13-11-2024'!F:F,1,0)</f>
        <v>ALR_TIMEOUT_LUCE_VERDE</v>
      </c>
      <c r="F364" t="str">
        <f>VLOOKUP(I364,'EXPORT IRIS PROD 13-11-2024'!D:D,1,0)</f>
        <v>Allarme timeout semaforo luce verde</v>
      </c>
      <c r="G364" s="37" t="s">
        <v>109</v>
      </c>
      <c r="H364" s="38" t="s">
        <v>724</v>
      </c>
      <c r="I364" s="38" t="s">
        <v>725</v>
      </c>
      <c r="J364" s="39" t="s">
        <v>111</v>
      </c>
      <c r="K364" s="39" t="s">
        <v>376</v>
      </c>
      <c r="L364" s="40" t="s">
        <v>21</v>
      </c>
      <c r="M364" s="41" t="s">
        <v>22</v>
      </c>
      <c r="N364" s="42" t="s">
        <v>23</v>
      </c>
      <c r="O364" s="43" t="s">
        <v>24</v>
      </c>
      <c r="P364" s="42" t="s">
        <v>25</v>
      </c>
      <c r="Q364" s="42" t="s">
        <v>21</v>
      </c>
      <c r="R364" s="44"/>
    </row>
    <row r="365" spans="1:18" customFormat="1" x14ac:dyDescent="0.25">
      <c r="A365" t="str">
        <f t="shared" si="10"/>
        <v>Impianto SOS_Colonnina SOS_ALR_TIMEOUT_SIRENA-Allarme timeout sirena</v>
      </c>
      <c r="B365" t="str">
        <f t="shared" si="11"/>
        <v>ALR_TIMEOUT_SIRENA-Allarme timeout sirena</v>
      </c>
      <c r="C365" t="str">
        <f>VLOOKUP(B365,'[2]Classi allarmi RMT-STIG_rev4'!$C:$C,1,0)</f>
        <v>ALR_TIMEOUT_SIRENA-Allarme timeout sirena</v>
      </c>
      <c r="D365" t="str">
        <f>VLOOKUP(B365,'EXPORT IRIS PROD 13-11-2024'!A:A,1,0)</f>
        <v>ALR_TIMEOUT_SIRENA-Allarme timeout sirena</v>
      </c>
      <c r="E365" t="str">
        <f>VLOOKUP(H365,'EXPORT IRIS PROD 13-11-2024'!F:F,1,0)</f>
        <v>ALR_TIMEOUT_SIRENA</v>
      </c>
      <c r="F365" t="str">
        <f>VLOOKUP(I365,'EXPORT IRIS PROD 13-11-2024'!D:D,1,0)</f>
        <v>Allarme timeout sirena</v>
      </c>
      <c r="G365" s="37" t="s">
        <v>89</v>
      </c>
      <c r="H365" s="38" t="s">
        <v>726</v>
      </c>
      <c r="I365" s="38" t="s">
        <v>727</v>
      </c>
      <c r="J365" s="39" t="s">
        <v>29</v>
      </c>
      <c r="K365" s="39" t="s">
        <v>360</v>
      </c>
      <c r="L365" s="40" t="s">
        <v>21</v>
      </c>
      <c r="M365" s="41" t="s">
        <v>22</v>
      </c>
      <c r="N365" s="42" t="s">
        <v>23</v>
      </c>
      <c r="O365" s="43" t="s">
        <v>157</v>
      </c>
      <c r="P365" s="42" t="s">
        <v>158</v>
      </c>
      <c r="Q365" s="42" t="s">
        <v>21</v>
      </c>
      <c r="R365" s="44"/>
    </row>
    <row r="366" spans="1:18" customFormat="1" x14ac:dyDescent="0.25">
      <c r="A366" t="str">
        <f t="shared" si="10"/>
        <v>Impianto Illuminazione_Luci permanenti_ALR_TIMEOUT_SPEGNIMENTO_PERMANENTI_DIR_NORD-Allarme timeout spegnimento luci permanenti dir. Nord</v>
      </c>
      <c r="B366" t="str">
        <f t="shared" si="11"/>
        <v>ALR_TIMEOUT_SPEGNIMENTO_PERMANENTI_DIR_NORD-Allarme timeout spegnimento luci permanenti dir. Nord</v>
      </c>
      <c r="C366" t="str">
        <f>VLOOKUP(B366,'[2]Classi allarmi RMT-STIG_rev4'!$C:$C,1,0)</f>
        <v>ALR_TIMEOUT_SPEGNIMENTO_PERMANENTI_DIR_NORD-Allarme timeout spegnimento luci permanenti dir. Nord</v>
      </c>
      <c r="D366" t="str">
        <f>VLOOKUP(B366,'EXPORT IRIS PROD 13-11-2024'!A:A,1,0)</f>
        <v>ALR_TIMEOUT_SPEGNIMENTO_PERMANENTI_DIR_NORD-Allarme timeout spegnimento luci permanenti dir. Nord</v>
      </c>
      <c r="E366" t="str">
        <f>VLOOKUP(H366,'EXPORT IRIS PROD 13-11-2024'!F:F,1,0)</f>
        <v>ALR_TIMEOUT_SPEGNIMENTO_PERMANENTI_DIR_NORD</v>
      </c>
      <c r="F366" t="str">
        <f>VLOOKUP(I366,'EXPORT IRIS PROD 13-11-2024'!D:D,1,0)</f>
        <v>Allarme timeout spegnimento luci permanenti dir. Nord</v>
      </c>
      <c r="G366" s="37" t="s">
        <v>115</v>
      </c>
      <c r="H366" s="38" t="s">
        <v>728</v>
      </c>
      <c r="I366" s="38" t="s">
        <v>729</v>
      </c>
      <c r="J366" s="39" t="s">
        <v>116</v>
      </c>
      <c r="K366" s="39" t="s">
        <v>699</v>
      </c>
      <c r="L366" s="40" t="s">
        <v>21</v>
      </c>
      <c r="M366" s="41" t="s">
        <v>22</v>
      </c>
      <c r="N366" s="42" t="s">
        <v>23</v>
      </c>
      <c r="O366" s="43" t="s">
        <v>24</v>
      </c>
      <c r="P366" s="42" t="s">
        <v>25</v>
      </c>
      <c r="Q366" s="42" t="s">
        <v>21</v>
      </c>
      <c r="R366" s="44"/>
    </row>
    <row r="367" spans="1:18" customFormat="1" x14ac:dyDescent="0.25">
      <c r="A367" t="str">
        <f t="shared" si="10"/>
        <v>Impianto Illuminazione_Luci permanenti_ALR_TIMEOUT_SPEGNIMENTO_PERMANENTI_DIR_SUD-Allarme timeout spegnimento luci permanenti dir. Sud</v>
      </c>
      <c r="B367" t="str">
        <f t="shared" si="11"/>
        <v>ALR_TIMEOUT_SPEGNIMENTO_PERMANENTI_DIR_SUD-Allarme timeout spegnimento luci permanenti dir. Sud</v>
      </c>
      <c r="C367" t="str">
        <f>VLOOKUP(B367,'[2]Classi allarmi RMT-STIG_rev4'!$C:$C,1,0)</f>
        <v>ALR_TIMEOUT_SPEGNIMENTO_PERMANENTI_DIR_SUD-Allarme timeout spegnimento luci permanenti dir. Sud</v>
      </c>
      <c r="D367" t="str">
        <f>VLOOKUP(B367,'EXPORT IRIS PROD 13-11-2024'!A:A,1,0)</f>
        <v>ALR_TIMEOUT_SPEGNIMENTO_PERMANENTI_DIR_SUD-Allarme timeout spegnimento luci permanenti dir. Sud</v>
      </c>
      <c r="E367" t="str">
        <f>VLOOKUP(H367,'EXPORT IRIS PROD 13-11-2024'!F:F,1,0)</f>
        <v>ALR_TIMEOUT_SPEGNIMENTO_PERMANENTI_DIR_SUD</v>
      </c>
      <c r="F367" t="str">
        <f>VLOOKUP(I367,'EXPORT IRIS PROD 13-11-2024'!D:D,1,0)</f>
        <v>Allarme timeout spegnimento luci permanenti dir. Sud</v>
      </c>
      <c r="G367" s="37" t="s">
        <v>115</v>
      </c>
      <c r="H367" s="38" t="s">
        <v>730</v>
      </c>
      <c r="I367" s="38" t="s">
        <v>731</v>
      </c>
      <c r="J367" s="39" t="s">
        <v>116</v>
      </c>
      <c r="K367" s="39" t="s">
        <v>699</v>
      </c>
      <c r="L367" s="40" t="s">
        <v>21</v>
      </c>
      <c r="M367" s="41" t="s">
        <v>22</v>
      </c>
      <c r="N367" s="42" t="s">
        <v>23</v>
      </c>
      <c r="O367" s="43" t="s">
        <v>24</v>
      </c>
      <c r="P367" s="42" t="s">
        <v>25</v>
      </c>
      <c r="Q367" s="42" t="s">
        <v>21</v>
      </c>
      <c r="R367" s="44"/>
    </row>
    <row r="368" spans="1:18" customFormat="1" x14ac:dyDescent="0.25">
      <c r="A368" t="str">
        <f t="shared" si="10"/>
        <v>Impianto Illuminazione_Luci rinforzo_ALR_TIMEOUT_SPEGNIMENTO_RINFORZI_DIR_NORD-Allarme timeout spegnimento luci di rinforzo dir. Nord</v>
      </c>
      <c r="B368" t="str">
        <f t="shared" si="11"/>
        <v>ALR_TIMEOUT_SPEGNIMENTO_RINFORZI_DIR_NORD-Allarme timeout spegnimento luci di rinforzo dir. Nord</v>
      </c>
      <c r="C368" t="str">
        <f>VLOOKUP(B368,'[2]Classi allarmi RMT-STIG_rev4'!$C:$C,1,0)</f>
        <v>ALR_TIMEOUT_SPEGNIMENTO_RINFORZI_DIR_NORD-Allarme timeout spegnimento luci di rinforzo dir. Nord</v>
      </c>
      <c r="D368" t="str">
        <f>VLOOKUP(B368,'EXPORT IRIS PROD 13-11-2024'!A:A,1,0)</f>
        <v>ALR_TIMEOUT_SPEGNIMENTO_RINFORZI_DIR_NORD-Allarme timeout spegnimento luci di rinforzo dir. Nord</v>
      </c>
      <c r="E368" t="str">
        <f>VLOOKUP(H368,'EXPORT IRIS PROD 13-11-2024'!F:F,1,0)</f>
        <v>ALR_TIMEOUT_SPEGNIMENTO_RINFORZI_DIR_NORD</v>
      </c>
      <c r="F368" t="str">
        <f>VLOOKUP(I368,'EXPORT IRIS PROD 13-11-2024'!D:D,1,0)</f>
        <v>Allarme timeout spegnimento luci di rinforzo dir. Nord</v>
      </c>
      <c r="G368" s="37" t="s">
        <v>115</v>
      </c>
      <c r="H368" s="38" t="s">
        <v>732</v>
      </c>
      <c r="I368" s="38" t="s">
        <v>733</v>
      </c>
      <c r="J368" s="39" t="s">
        <v>116</v>
      </c>
      <c r="K368" s="39" t="s">
        <v>704</v>
      </c>
      <c r="L368" s="40" t="s">
        <v>21</v>
      </c>
      <c r="M368" s="41" t="s">
        <v>22</v>
      </c>
      <c r="N368" s="42" t="s">
        <v>23</v>
      </c>
      <c r="O368" s="43" t="s">
        <v>24</v>
      </c>
      <c r="P368" s="42" t="s">
        <v>25</v>
      </c>
      <c r="Q368" s="42" t="s">
        <v>21</v>
      </c>
      <c r="R368" s="44"/>
    </row>
    <row r="369" spans="1:18" customFormat="1" x14ac:dyDescent="0.25">
      <c r="A369" t="str">
        <f t="shared" si="10"/>
        <v>Impianto Illuminazione_Luci rinforzo_ALR_TIMEOUT_SPEGNIMENTO_RINFORZI_DIR_SUD-Allarme timeout spegnimento luci di rinforzo dir. Sud</v>
      </c>
      <c r="B369" t="str">
        <f t="shared" si="11"/>
        <v>ALR_TIMEOUT_SPEGNIMENTO_RINFORZI_DIR_SUD-Allarme timeout spegnimento luci di rinforzo dir. Sud</v>
      </c>
      <c r="C369" t="str">
        <f>VLOOKUP(B369,'[2]Classi allarmi RMT-STIG_rev4'!$C:$C,1,0)</f>
        <v>ALR_TIMEOUT_SPEGNIMENTO_RINFORZI_DIR_SUD-Allarme timeout spegnimento luci di rinforzo dir. Sud</v>
      </c>
      <c r="D369" t="str">
        <f>VLOOKUP(B369,'EXPORT IRIS PROD 13-11-2024'!A:A,1,0)</f>
        <v>ALR_TIMEOUT_SPEGNIMENTO_RINFORZI_DIR_SUD-Allarme timeout spegnimento luci di rinforzo dir. Sud</v>
      </c>
      <c r="E369" t="str">
        <f>VLOOKUP(H369,'EXPORT IRIS PROD 13-11-2024'!F:F,1,0)</f>
        <v>ALR_TIMEOUT_SPEGNIMENTO_RINFORZI_DIR_SUD</v>
      </c>
      <c r="F369" t="str">
        <f>VLOOKUP(I369,'EXPORT IRIS PROD 13-11-2024'!D:D,1,0)</f>
        <v>Allarme timeout spegnimento luci di rinforzo dir. Sud</v>
      </c>
      <c r="G369" s="37" t="s">
        <v>115</v>
      </c>
      <c r="H369" s="38" t="s">
        <v>734</v>
      </c>
      <c r="I369" s="38" t="s">
        <v>735</v>
      </c>
      <c r="J369" s="39" t="s">
        <v>116</v>
      </c>
      <c r="K369" s="39" t="s">
        <v>704</v>
      </c>
      <c r="L369" s="40" t="s">
        <v>21</v>
      </c>
      <c r="M369" s="41" t="s">
        <v>22</v>
      </c>
      <c r="N369" s="42" t="s">
        <v>23</v>
      </c>
      <c r="O369" s="43" t="s">
        <v>24</v>
      </c>
      <c r="P369" s="42" t="s">
        <v>25</v>
      </c>
      <c r="Q369" s="42" t="s">
        <v>21</v>
      </c>
      <c r="R369" s="44"/>
    </row>
    <row r="370" spans="1:18" customFormat="1" x14ac:dyDescent="0.25">
      <c r="A370" t="str">
        <f t="shared" si="10"/>
        <v>Impianto Rilevazione Incendio_Centralina antincendio_ALR_TIPO_A_ATTIVO-Allarme tipo A (secondo Uni EN 12845)</v>
      </c>
      <c r="B370" t="str">
        <f t="shared" si="11"/>
        <v>ALR_TIPO_A_ATTIVO-Allarme tipo A (secondo Uni EN 12845)</v>
      </c>
      <c r="C370" t="str">
        <f>VLOOKUP(B370,'[2]Classi allarmi RMT-STIG_rev4'!$C:$C,1,0)</f>
        <v>ALR_TIPO_A_ATTIVO-Allarme tipo A (secondo Uni EN 12845)</v>
      </c>
      <c r="D370" t="str">
        <f>VLOOKUP(B370,'EXPORT IRIS PROD 13-11-2024'!A:A,1,0)</f>
        <v>ALR_TIPO_A_ATTIVO-Allarme tipo A (secondo Uni EN 12845)</v>
      </c>
      <c r="E370" t="str">
        <f>VLOOKUP(H370,'EXPORT IRIS PROD 13-11-2024'!F:F,1,0)</f>
        <v>ALR_TIPO_A_ATTIVO</v>
      </c>
      <c r="F370" t="str">
        <f>VLOOKUP(I370,'EXPORT IRIS PROD 13-11-2024'!D:D,1,0)</f>
        <v>Allarme tipo A (secondo Uni EN 12845)</v>
      </c>
      <c r="G370" s="37" t="s">
        <v>105</v>
      </c>
      <c r="H370" s="38" t="s">
        <v>736</v>
      </c>
      <c r="I370" s="38" t="s">
        <v>737</v>
      </c>
      <c r="J370" s="39" t="s">
        <v>43</v>
      </c>
      <c r="K370" s="39" t="s">
        <v>130</v>
      </c>
      <c r="L370" s="40" t="s">
        <v>21</v>
      </c>
      <c r="M370" s="41" t="s">
        <v>22</v>
      </c>
      <c r="N370" s="42" t="s">
        <v>23</v>
      </c>
      <c r="O370" s="43" t="s">
        <v>24</v>
      </c>
      <c r="P370" s="42" t="s">
        <v>25</v>
      </c>
      <c r="Q370" s="42" t="s">
        <v>21</v>
      </c>
      <c r="R370" s="44"/>
    </row>
    <row r="371" spans="1:18" customFormat="1" x14ac:dyDescent="0.25">
      <c r="A371" t="str">
        <f t="shared" si="10"/>
        <v>Impianto Rilevazione Incendio_Centralina antincendio_ALR_TIPO_B_ATTIVO-Allarme tipo B (secondo Uni EN 12845)</v>
      </c>
      <c r="B371" t="str">
        <f t="shared" si="11"/>
        <v>ALR_TIPO_B_ATTIVO-Allarme tipo B (secondo Uni EN 12845)</v>
      </c>
      <c r="C371" t="str">
        <f>VLOOKUP(B371,'[2]Classi allarmi RMT-STIG_rev4'!$C:$C,1,0)</f>
        <v>ALR_TIPO_B_ATTIVO-Allarme tipo B (secondo Uni EN 12845)</v>
      </c>
      <c r="D371" t="str">
        <f>VLOOKUP(B371,'EXPORT IRIS PROD 13-11-2024'!A:A,1,0)</f>
        <v>ALR_TIPO_B_ATTIVO-Allarme tipo B (secondo Uni EN 12845)</v>
      </c>
      <c r="E371" t="str">
        <f>VLOOKUP(H371,'EXPORT IRIS PROD 13-11-2024'!F:F,1,0)</f>
        <v>ALR_TIPO_B_ATTIVO</v>
      </c>
      <c r="F371" t="str">
        <f>VLOOKUP(I371,'EXPORT IRIS PROD 13-11-2024'!D:D,1,0)</f>
        <v>Allarme tipo B (secondo Uni EN 12845)</v>
      </c>
      <c r="G371" s="37" t="s">
        <v>105</v>
      </c>
      <c r="H371" s="38" t="s">
        <v>738</v>
      </c>
      <c r="I371" s="38" t="s">
        <v>739</v>
      </c>
      <c r="J371" s="39" t="s">
        <v>43</v>
      </c>
      <c r="K371" s="39" t="s">
        <v>130</v>
      </c>
      <c r="L371" s="40" t="s">
        <v>21</v>
      </c>
      <c r="M371" s="41" t="s">
        <v>22</v>
      </c>
      <c r="N371" s="42" t="s">
        <v>23</v>
      </c>
      <c r="O371" s="43" t="s">
        <v>24</v>
      </c>
      <c r="P371" s="42" t="s">
        <v>25</v>
      </c>
      <c r="Q371" s="42" t="s">
        <v>21</v>
      </c>
      <c r="R371" s="44"/>
    </row>
    <row r="372" spans="1:18" customFormat="1" x14ac:dyDescent="0.25">
      <c r="A372" t="str">
        <f t="shared" si="10"/>
        <v>Impianto Elettrico_Gruppo elettrogeno_ALR_TIPO_GCB-Allarme tipo contattore generatore</v>
      </c>
      <c r="B372" t="str">
        <f t="shared" si="11"/>
        <v>ALR_TIPO_GCB-Allarme tipo contattore generatore</v>
      </c>
      <c r="C372" t="str">
        <f>VLOOKUP(B372,'[2]Classi allarmi RMT-STIG_rev4'!$C:$C,1,0)</f>
        <v>ALR_TIPO_GCB-Allarme tipo contattore generatore</v>
      </c>
      <c r="D372" t="str">
        <f>VLOOKUP(B372,'EXPORT IRIS PROD 13-11-2024'!A:A,1,0)</f>
        <v>ALR_TIPO_GCB-Allarme tipo contattore generatore</v>
      </c>
      <c r="E372" t="str">
        <f>VLOOKUP(H372,'EXPORT IRIS PROD 13-11-2024'!F:F,1,0)</f>
        <v>ALR_TIPO_GCB</v>
      </c>
      <c r="F372" t="str">
        <f>VLOOKUP(I372,'EXPORT IRIS PROD 13-11-2024'!D:D,1,0)</f>
        <v>Allarme tipo contattore generatore</v>
      </c>
      <c r="G372" s="37" t="s">
        <v>53</v>
      </c>
      <c r="H372" s="38" t="s">
        <v>740</v>
      </c>
      <c r="I372" s="38" t="s">
        <v>741</v>
      </c>
      <c r="J372" s="39" t="s">
        <v>56</v>
      </c>
      <c r="K372" s="39" t="s">
        <v>57</v>
      </c>
      <c r="L372" s="40" t="s">
        <v>21</v>
      </c>
      <c r="M372" s="41" t="s">
        <v>22</v>
      </c>
      <c r="N372" s="42" t="s">
        <v>23</v>
      </c>
      <c r="O372" s="43" t="s">
        <v>24</v>
      </c>
      <c r="P372" s="42" t="s">
        <v>25</v>
      </c>
      <c r="Q372" s="42" t="s">
        <v>21</v>
      </c>
      <c r="R372" s="44"/>
    </row>
    <row r="373" spans="1:18" customFormat="1" x14ac:dyDescent="0.25">
      <c r="A373" t="str">
        <f t="shared" si="10"/>
        <v>Impianto Elettrico_Gruppo elettrogeno_ALR_TIPO_MCB-Allarme tipo contattore di rete</v>
      </c>
      <c r="B373" t="str">
        <f t="shared" si="11"/>
        <v>ALR_TIPO_MCB-Allarme tipo contattore di rete</v>
      </c>
      <c r="C373" t="str">
        <f>VLOOKUP(B373,'[2]Classi allarmi RMT-STIG_rev4'!$C:$C,1,0)</f>
        <v>ALR_TIPO_MCB-Allarme tipo contattore di rete</v>
      </c>
      <c r="D373" t="str">
        <f>VLOOKUP(B373,'EXPORT IRIS PROD 13-11-2024'!A:A,1,0)</f>
        <v>ALR_TIPO_MCB-Allarme tipo contattore di rete</v>
      </c>
      <c r="E373" t="str">
        <f>VLOOKUP(H373,'EXPORT IRIS PROD 13-11-2024'!F:F,1,0)</f>
        <v>ALR_TIPO_MCB</v>
      </c>
      <c r="F373" t="str">
        <f>VLOOKUP(I373,'EXPORT IRIS PROD 13-11-2024'!D:D,1,0)</f>
        <v>Allarme tipo contattore di rete</v>
      </c>
      <c r="G373" s="37" t="s">
        <v>53</v>
      </c>
      <c r="H373" s="38" t="s">
        <v>742</v>
      </c>
      <c r="I373" s="38" t="s">
        <v>743</v>
      </c>
      <c r="J373" s="39" t="s">
        <v>56</v>
      </c>
      <c r="K373" s="39" t="s">
        <v>57</v>
      </c>
      <c r="L373" s="40" t="s">
        <v>21</v>
      </c>
      <c r="M373" s="41" t="s">
        <v>22</v>
      </c>
      <c r="N373" s="42" t="s">
        <v>23</v>
      </c>
      <c r="O373" s="43" t="s">
        <v>24</v>
      </c>
      <c r="P373" s="42" t="s">
        <v>25</v>
      </c>
      <c r="Q373" s="42" t="s">
        <v>21</v>
      </c>
      <c r="R373" s="44"/>
    </row>
    <row r="374" spans="1:18" customFormat="1" x14ac:dyDescent="0.25">
      <c r="A374" t="str">
        <f t="shared" si="10"/>
        <v>Impianto Elettrico_Interruttore_ALR_TRIP_PROTEZIONE_10_1-Allarme trip Protezione 10 1</v>
      </c>
      <c r="B374" t="str">
        <f t="shared" si="11"/>
        <v>ALR_TRIP_PROTEZIONE_10_1-Allarme trip Protezione 10 1</v>
      </c>
      <c r="C374" t="str">
        <f>VLOOKUP(B374,'[2]Classi allarmi RMT-STIG_rev4'!$C:$C,1,0)</f>
        <v>ALR_TRIP_PROTEZIONE_10_1-Allarme trip Protezione 10 1</v>
      </c>
      <c r="D374" t="str">
        <f>VLOOKUP(B374,'EXPORT IRIS PROD 13-11-2024'!A:A,1,0)</f>
        <v>ALR_TRIP_PROTEZIONE_10_1-Allarme trip Protezione 10 1</v>
      </c>
      <c r="E374" t="str">
        <f>VLOOKUP(H374,'EXPORT IRIS PROD 13-11-2024'!F:F,1,0)</f>
        <v>ALR_TRIP_PROTEZIONE_10_1</v>
      </c>
      <c r="F374" t="str">
        <f>VLOOKUP(I374,'EXPORT IRIS PROD 13-11-2024'!D:D,1,0)</f>
        <v>Allarme trip Protezione 10 1</v>
      </c>
      <c r="G374" s="37" t="s">
        <v>53</v>
      </c>
      <c r="H374" s="38" t="s">
        <v>744</v>
      </c>
      <c r="I374" s="38" t="s">
        <v>745</v>
      </c>
      <c r="J374" s="39" t="s">
        <v>56</v>
      </c>
      <c r="K374" s="39" t="s">
        <v>355</v>
      </c>
      <c r="L374" s="40" t="s">
        <v>21</v>
      </c>
      <c r="M374" s="41" t="s">
        <v>22</v>
      </c>
      <c r="N374" s="42" t="s">
        <v>23</v>
      </c>
      <c r="O374" s="43" t="s">
        <v>24</v>
      </c>
      <c r="P374" s="42" t="s">
        <v>25</v>
      </c>
      <c r="Q374" s="42" t="s">
        <v>21</v>
      </c>
      <c r="R374" s="44"/>
    </row>
    <row r="375" spans="1:18" customFormat="1" x14ac:dyDescent="0.25">
      <c r="A375" t="str">
        <f t="shared" si="10"/>
        <v>Impianto Elettrico_Interruttore_ALR_TRIP_PROTEZIONE_10_2-Allarme trip Protezione 10 2</v>
      </c>
      <c r="B375" t="str">
        <f t="shared" si="11"/>
        <v>ALR_TRIP_PROTEZIONE_10_2-Allarme trip Protezione 10 2</v>
      </c>
      <c r="C375" t="str">
        <f>VLOOKUP(B375,'[2]Classi allarmi RMT-STIG_rev4'!$C:$C,1,0)</f>
        <v>ALR_TRIP_PROTEZIONE_10_2-Allarme trip Protezione 10 2</v>
      </c>
      <c r="D375" t="str">
        <f>VLOOKUP(B375,'EXPORT IRIS PROD 13-11-2024'!A:A,1,0)</f>
        <v>ALR_TRIP_PROTEZIONE_10_2-Allarme trip Protezione 10 2</v>
      </c>
      <c r="E375" t="str">
        <f>VLOOKUP(H375,'EXPORT IRIS PROD 13-11-2024'!F:F,1,0)</f>
        <v>ALR_TRIP_PROTEZIONE_10_2</v>
      </c>
      <c r="F375" t="str">
        <f>VLOOKUP(I375,'EXPORT IRIS PROD 13-11-2024'!D:D,1,0)</f>
        <v>Allarme trip Protezione 10 2</v>
      </c>
      <c r="G375" s="37" t="s">
        <v>53</v>
      </c>
      <c r="H375" s="38" t="s">
        <v>746</v>
      </c>
      <c r="I375" s="38" t="s">
        <v>747</v>
      </c>
      <c r="J375" s="39" t="s">
        <v>56</v>
      </c>
      <c r="K375" s="39" t="s">
        <v>355</v>
      </c>
      <c r="L375" s="40" t="s">
        <v>21</v>
      </c>
      <c r="M375" s="41" t="s">
        <v>22</v>
      </c>
      <c r="N375" s="42" t="s">
        <v>23</v>
      </c>
      <c r="O375" s="43" t="s">
        <v>24</v>
      </c>
      <c r="P375" s="42" t="s">
        <v>25</v>
      </c>
      <c r="Q375" s="42" t="s">
        <v>21</v>
      </c>
      <c r="R375" s="44"/>
    </row>
    <row r="376" spans="1:18" customFormat="1" x14ac:dyDescent="0.25">
      <c r="A376" t="str">
        <f t="shared" si="10"/>
        <v>Impianto Elettrico_Interruttore_ALR_TRIP_PROTEZIONE_27-Allarme trip Protezione 27</v>
      </c>
      <c r="B376" t="str">
        <f t="shared" si="11"/>
        <v>ALR_TRIP_PROTEZIONE_27-Allarme trip Protezione 27</v>
      </c>
      <c r="C376" t="str">
        <f>VLOOKUP(B376,'[2]Classi allarmi RMT-STIG_rev4'!$C:$C,1,0)</f>
        <v>ALR_TRIP_PROTEZIONE_27-Allarme trip Protezione 27</v>
      </c>
      <c r="D376" t="str">
        <f>VLOOKUP(B376,'EXPORT IRIS PROD 13-11-2024'!A:A,1,0)</f>
        <v>ALR_TRIP_PROTEZIONE_27-Allarme trip Protezione 27</v>
      </c>
      <c r="E376" t="str">
        <f>VLOOKUP(H376,'EXPORT IRIS PROD 13-11-2024'!F:F,1,0)</f>
        <v>ALR_TRIP_PROTEZIONE_27</v>
      </c>
      <c r="F376" t="str">
        <f>VLOOKUP(I376,'EXPORT IRIS PROD 13-11-2024'!D:D,1,0)</f>
        <v>Allarme trip Protezione 27</v>
      </c>
      <c r="G376" s="37" t="s">
        <v>53</v>
      </c>
      <c r="H376" s="38" t="s">
        <v>748</v>
      </c>
      <c r="I376" s="38" t="s">
        <v>749</v>
      </c>
      <c r="J376" s="39" t="s">
        <v>56</v>
      </c>
      <c r="K376" s="39" t="s">
        <v>355</v>
      </c>
      <c r="L376" s="40" t="s">
        <v>21</v>
      </c>
      <c r="M376" s="41" t="s">
        <v>22</v>
      </c>
      <c r="N376" s="42" t="s">
        <v>23</v>
      </c>
      <c r="O376" s="43" t="s">
        <v>24</v>
      </c>
      <c r="P376" s="42" t="s">
        <v>25</v>
      </c>
      <c r="Q376" s="42" t="s">
        <v>21</v>
      </c>
      <c r="R376" s="44"/>
    </row>
    <row r="377" spans="1:18" customFormat="1" x14ac:dyDescent="0.25">
      <c r="A377" t="str">
        <f t="shared" si="10"/>
        <v>Impianto Elettrico_Interruttore_ALR_TRIP_PROTEZIONE_67N_S1-Allarme trip Protezione 67N S1</v>
      </c>
      <c r="B377" t="str">
        <f t="shared" si="11"/>
        <v>ALR_TRIP_PROTEZIONE_67N_S1-Allarme trip Protezione 67N S1</v>
      </c>
      <c r="C377" t="str">
        <f>VLOOKUP(B377,'[2]Classi allarmi RMT-STIG_rev4'!$C:$C,1,0)</f>
        <v>ALR_TRIP_PROTEZIONE_67N_S1-Allarme trip Protezione 67N S1</v>
      </c>
      <c r="D377" t="str">
        <f>VLOOKUP(B377,'EXPORT IRIS PROD 13-11-2024'!A:A,1,0)</f>
        <v>ALR_TRIP_PROTEZIONE_67N_S1-Allarme trip Protezione 67N S1</v>
      </c>
      <c r="E377" t="str">
        <f>VLOOKUP(H377,'EXPORT IRIS PROD 13-11-2024'!F:F,1,0)</f>
        <v>ALR_TRIP_PROTEZIONE_67N_S1</v>
      </c>
      <c r="F377" t="str">
        <f>VLOOKUP(I377,'EXPORT IRIS PROD 13-11-2024'!D:D,1,0)</f>
        <v>Allarme trip Protezione 67N S1</v>
      </c>
      <c r="G377" s="37" t="s">
        <v>53</v>
      </c>
      <c r="H377" s="38" t="s">
        <v>750</v>
      </c>
      <c r="I377" s="38" t="s">
        <v>751</v>
      </c>
      <c r="J377" s="39" t="s">
        <v>56</v>
      </c>
      <c r="K377" s="39" t="s">
        <v>355</v>
      </c>
      <c r="L377" s="40" t="s">
        <v>21</v>
      </c>
      <c r="M377" s="41" t="s">
        <v>22</v>
      </c>
      <c r="N377" s="42" t="s">
        <v>23</v>
      </c>
      <c r="O377" s="43" t="s">
        <v>24</v>
      </c>
      <c r="P377" s="42" t="s">
        <v>25</v>
      </c>
      <c r="Q377" s="42" t="s">
        <v>21</v>
      </c>
      <c r="R377" s="44"/>
    </row>
    <row r="378" spans="1:18" customFormat="1" x14ac:dyDescent="0.25">
      <c r="A378" t="str">
        <f t="shared" si="10"/>
        <v>Impianto Elettrico_Interruttore_ALR_TRIP_PROTEZIONE_67N_S2-Allarme trip Protezione 67N S1 Allarme trip Protezione 67N S2</v>
      </c>
      <c r="B378" t="str">
        <f t="shared" si="11"/>
        <v>ALR_TRIP_PROTEZIONE_67N_S2-Allarme trip Protezione 67N S1 Allarme trip Protezione 67N S2</v>
      </c>
      <c r="C378" t="e">
        <f>VLOOKUP(B378,'[2]Classi allarmi RMT-STIG_rev4'!$C:$C,1,0)</f>
        <v>#N/A</v>
      </c>
      <c r="D378" s="86" t="e">
        <f>VLOOKUP(B378,'EXPORT IRIS PROD 13-11-2024'!A:A,1,0)</f>
        <v>#N/A</v>
      </c>
      <c r="E378" t="str">
        <f>VLOOKUP(H378,'EXPORT IRIS PROD 13-11-2024'!F:F,1,0)</f>
        <v>ALR_TRIP_PROTEZIONE_67N_S2</v>
      </c>
      <c r="F378" t="e">
        <f>VLOOKUP(I378,'EXPORT IRIS PROD 13-11-2024'!D:D,1,0)</f>
        <v>#N/A</v>
      </c>
      <c r="G378" s="37" t="s">
        <v>53</v>
      </c>
      <c r="H378" s="38" t="s">
        <v>752</v>
      </c>
      <c r="I378" s="38" t="s">
        <v>753</v>
      </c>
      <c r="J378" s="39" t="s">
        <v>56</v>
      </c>
      <c r="K378" s="39" t="s">
        <v>355</v>
      </c>
      <c r="L378" s="40" t="s">
        <v>21</v>
      </c>
      <c r="M378" s="41" t="s">
        <v>22</v>
      </c>
      <c r="N378" s="42" t="s">
        <v>23</v>
      </c>
      <c r="O378" s="43" t="s">
        <v>24</v>
      </c>
      <c r="P378" s="42" t="s">
        <v>25</v>
      </c>
      <c r="Q378" s="42" t="s">
        <v>21</v>
      </c>
      <c r="R378" s="44"/>
    </row>
    <row r="379" spans="1:18" customFormat="1" x14ac:dyDescent="0.25">
      <c r="A379" t="str">
        <f t="shared" si="10"/>
        <v>Impianto Elettrico_UPS_ALR_UPS_ANOMALIA_BYPASS-Allarme ups anomalia bypass</v>
      </c>
      <c r="B379" t="str">
        <f t="shared" si="11"/>
        <v>ALR_UPS_ANOMALIA_BYPASS-Allarme ups anomalia bypass</v>
      </c>
      <c r="C379" t="str">
        <f>VLOOKUP(B379,'[2]Classi allarmi RMT-STIG_rev4'!$C:$C,1,0)</f>
        <v>ALR_UPS_ANOMALIA_BYPASS-Allarme ups anomalia bypass</v>
      </c>
      <c r="D379" t="str">
        <f>VLOOKUP(B379,'EXPORT IRIS PROD 13-11-2024'!A:A,1,0)</f>
        <v>ALR_UPS_ANOMALIA_BYPASS-Allarme ups anomalia bypass</v>
      </c>
      <c r="E379" t="str">
        <f>VLOOKUP(H379,'EXPORT IRIS PROD 13-11-2024'!F:F,1,0)</f>
        <v>ALR_UPS_ANOMALIA_BYPASS</v>
      </c>
      <c r="F379" t="str">
        <f>VLOOKUP(I379,'EXPORT IRIS PROD 13-11-2024'!D:D,1,0)</f>
        <v>Allarme ups anomalia bypass</v>
      </c>
      <c r="G379" s="37" t="s">
        <v>53</v>
      </c>
      <c r="H379" s="38" t="s">
        <v>754</v>
      </c>
      <c r="I379" s="38" t="s">
        <v>755</v>
      </c>
      <c r="J379" s="39" t="s">
        <v>56</v>
      </c>
      <c r="K379" s="39" t="s">
        <v>104</v>
      </c>
      <c r="L379" s="40" t="s">
        <v>21</v>
      </c>
      <c r="M379" s="41" t="s">
        <v>22</v>
      </c>
      <c r="N379" s="42" t="s">
        <v>23</v>
      </c>
      <c r="O379" s="43" t="s">
        <v>24</v>
      </c>
      <c r="P379" s="42" t="s">
        <v>25</v>
      </c>
      <c r="Q379" s="42" t="s">
        <v>21</v>
      </c>
      <c r="R379" s="44"/>
    </row>
    <row r="380" spans="1:18" customFormat="1" x14ac:dyDescent="0.25">
      <c r="A380" t="str">
        <f t="shared" si="10"/>
        <v>Impianto Elettrico_UPS_ALR_UPS_ANOMALIA_GRUPPO_STATICO_CONTINUITA-Allarme anomalia UPS</v>
      </c>
      <c r="B380" t="str">
        <f t="shared" si="11"/>
        <v>ALR_UPS_ANOMALIA_GRUPPO_STATICO_CONTINUITA-Allarme anomalia UPS</v>
      </c>
      <c r="C380" t="str">
        <f>VLOOKUP(B380,'[2]Classi allarmi RMT-STIG_rev4'!$C:$C,1,0)</f>
        <v>ALR_UPS_ANOMALIA_GRUPPO_STATICO_CONTINUITA-Allarme anomalia UPS</v>
      </c>
      <c r="D380" t="str">
        <f>VLOOKUP(B380,'EXPORT IRIS PROD 13-11-2024'!A:A,1,0)</f>
        <v>ALR_UPS_ANOMALIA_GRUPPO_STATICO_CONTINUITA-Allarme anomalia UPS</v>
      </c>
      <c r="E380" t="str">
        <f>VLOOKUP(H380,'EXPORT IRIS PROD 13-11-2024'!F:F,1,0)</f>
        <v>ALR_UPS_ANOMALIA_GRUPPO_STATICO_CONTINUITA</v>
      </c>
      <c r="F380" t="str">
        <f>VLOOKUP(I380,'EXPORT IRIS PROD 13-11-2024'!D:D,1,0)</f>
        <v>Allarme anomalia UPS</v>
      </c>
      <c r="G380" s="37" t="s">
        <v>53</v>
      </c>
      <c r="H380" s="38" t="s">
        <v>756</v>
      </c>
      <c r="I380" s="38" t="s">
        <v>757</v>
      </c>
      <c r="J380" s="39" t="s">
        <v>56</v>
      </c>
      <c r="K380" s="39" t="s">
        <v>104</v>
      </c>
      <c r="L380" s="40" t="s">
        <v>21</v>
      </c>
      <c r="M380" s="41" t="s">
        <v>22</v>
      </c>
      <c r="N380" s="42" t="s">
        <v>23</v>
      </c>
      <c r="O380" s="43" t="s">
        <v>24</v>
      </c>
      <c r="P380" s="42" t="s">
        <v>25</v>
      </c>
      <c r="Q380" s="42" t="s">
        <v>21</v>
      </c>
      <c r="R380" s="44"/>
    </row>
    <row r="381" spans="1:18" customFormat="1" x14ac:dyDescent="0.25">
      <c r="A381" t="str">
        <f t="shared" si="10"/>
        <v>Impianto Elettrico_UPS_ALR_UPS_BACKUP-Allarme ups backup</v>
      </c>
      <c r="B381" t="str">
        <f t="shared" si="11"/>
        <v>ALR_UPS_BACKUP-Allarme ups backup</v>
      </c>
      <c r="C381" t="str">
        <f>VLOOKUP(B381,'[2]Classi allarmi RMT-STIG_rev4'!$C:$C,1,0)</f>
        <v>ALR_UPS_BACKUP-Allarme ups backup</v>
      </c>
      <c r="D381" t="str">
        <f>VLOOKUP(B381,'EXPORT IRIS PROD 13-11-2024'!A:A,1,0)</f>
        <v>ALR_UPS_BACKUP-Allarme ups backup</v>
      </c>
      <c r="E381" t="str">
        <f>VLOOKUP(H381,'EXPORT IRIS PROD 13-11-2024'!F:F,1,0)</f>
        <v>ALR_UPS_BACKUP</v>
      </c>
      <c r="F381" t="str">
        <f>VLOOKUP(I381,'EXPORT IRIS PROD 13-11-2024'!D:D,1,0)</f>
        <v>Allarme ups backup</v>
      </c>
      <c r="G381" s="37" t="s">
        <v>53</v>
      </c>
      <c r="H381" s="38" t="s">
        <v>758</v>
      </c>
      <c r="I381" s="38" t="s">
        <v>759</v>
      </c>
      <c r="J381" s="39" t="s">
        <v>56</v>
      </c>
      <c r="K381" s="39" t="s">
        <v>104</v>
      </c>
      <c r="L381" s="40" t="s">
        <v>21</v>
      </c>
      <c r="M381" s="41" t="s">
        <v>22</v>
      </c>
      <c r="N381" s="42" t="s">
        <v>23</v>
      </c>
      <c r="O381" s="43" t="s">
        <v>24</v>
      </c>
      <c r="P381" s="42" t="s">
        <v>25</v>
      </c>
      <c r="Q381" s="42" t="s">
        <v>21</v>
      </c>
      <c r="R381" s="44"/>
    </row>
    <row r="382" spans="1:18" customFormat="1" x14ac:dyDescent="0.25">
      <c r="A382" t="str">
        <f t="shared" si="10"/>
        <v>Impianto Elettrico_UPS_ALR_UPS_BATTERIA_GUASTA-Allarme batteria guasta</v>
      </c>
      <c r="B382" t="str">
        <f t="shared" si="11"/>
        <v>ALR_UPS_BATTERIA_GUASTA-Allarme batteria guasta</v>
      </c>
      <c r="C382" t="str">
        <f>VLOOKUP(B382,'[2]Classi allarmi RMT-STIG_rev4'!$C:$C,1,0)</f>
        <v>ALR_UPS_BATTERIA_GUASTA-Allarme batteria guasta</v>
      </c>
      <c r="D382" t="str">
        <f>VLOOKUP(B382,'EXPORT IRIS PROD 13-11-2024'!A:A,1,0)</f>
        <v>ALR_UPS_BATTERIA_GUASTA-Allarme batteria guasta</v>
      </c>
      <c r="E382" t="str">
        <f>VLOOKUP(H382,'EXPORT IRIS PROD 13-11-2024'!F:F,1,0)</f>
        <v>ALR_UPS_BATTERIA_GUASTA</v>
      </c>
      <c r="F382" t="str">
        <f>VLOOKUP(I382,'EXPORT IRIS PROD 13-11-2024'!D:D,1,0)</f>
        <v>Allarme batteria guasta</v>
      </c>
      <c r="G382" s="37" t="s">
        <v>53</v>
      </c>
      <c r="H382" s="38" t="s">
        <v>760</v>
      </c>
      <c r="I382" s="38" t="s">
        <v>761</v>
      </c>
      <c r="J382" s="39" t="s">
        <v>56</v>
      </c>
      <c r="K382" s="39" t="s">
        <v>104</v>
      </c>
      <c r="L382" s="40" t="s">
        <v>21</v>
      </c>
      <c r="M382" s="41" t="s">
        <v>22</v>
      </c>
      <c r="N382" s="42" t="s">
        <v>23</v>
      </c>
      <c r="O382" s="43" t="s">
        <v>24</v>
      </c>
      <c r="P382" s="42" t="s">
        <v>25</v>
      </c>
      <c r="Q382" s="42" t="s">
        <v>21</v>
      </c>
      <c r="R382" s="44"/>
    </row>
    <row r="383" spans="1:18" x14ac:dyDescent="0.25">
      <c r="A383" t="str">
        <f t="shared" si="10"/>
        <v>Impianto Elettrico_UPS_ALR_UPS_GENERICO-Allarme generico UPS</v>
      </c>
      <c r="B383" t="str">
        <f t="shared" si="11"/>
        <v>ALR_UPS_GENERICO-Allarme generico UPS</v>
      </c>
      <c r="C383" t="str">
        <f>VLOOKUP(B383,'[2]Classi allarmi RMT-STIG_rev4'!$C:$C,1,0)</f>
        <v>ALR_UPS_GENERICO-Allarme generico UPS</v>
      </c>
      <c r="D383" t="str">
        <f>VLOOKUP(B383,'EXPORT IRIS PROD 13-11-2024'!A:A,1,0)</f>
        <v>ALR_UPS_GENERICO-Allarme generico UPS</v>
      </c>
      <c r="E383" t="str">
        <f>VLOOKUP(H383,'EXPORT IRIS PROD 13-11-2024'!F:F,1,0)</f>
        <v>ALR_UPS_GENERICO</v>
      </c>
      <c r="F383" t="str">
        <f>VLOOKUP(I383,'EXPORT IRIS PROD 13-11-2024'!D:D,1,0)</f>
        <v>Allarme generico UPS</v>
      </c>
      <c r="G383" s="37" t="s">
        <v>53</v>
      </c>
      <c r="H383" s="38" t="s">
        <v>762</v>
      </c>
      <c r="I383" s="38" t="s">
        <v>763</v>
      </c>
      <c r="J383" s="39" t="s">
        <v>56</v>
      </c>
      <c r="K383" s="39" t="s">
        <v>104</v>
      </c>
      <c r="L383" s="40" t="s">
        <v>21</v>
      </c>
      <c r="M383" s="41" t="s">
        <v>22</v>
      </c>
      <c r="N383" s="42" t="s">
        <v>23</v>
      </c>
      <c r="O383" s="43" t="s">
        <v>24</v>
      </c>
      <c r="P383" s="42" t="s">
        <v>25</v>
      </c>
      <c r="Q383" s="42" t="s">
        <v>21</v>
      </c>
      <c r="R383" s="44"/>
    </row>
    <row r="384" spans="1:18" customFormat="1" x14ac:dyDescent="0.25">
      <c r="A384" t="str">
        <f t="shared" si="10"/>
        <v>Impianto Elettrico_UPS_ALR_UPS_IN_RISERVA-Allarme UPS carico in riserva</v>
      </c>
      <c r="B384" t="str">
        <f t="shared" si="11"/>
        <v>ALR_UPS_IN_RISERVA-Allarme UPS carico in riserva</v>
      </c>
      <c r="C384" t="str">
        <f>VLOOKUP(B384,'[2]Classi allarmi RMT-STIG_rev4'!$C:$C,1,0)</f>
        <v>ALR_UPS_IN_RISERVA-Allarme UPS carico in riserva</v>
      </c>
      <c r="D384" t="str">
        <f>VLOOKUP(B384,'EXPORT IRIS PROD 13-11-2024'!A:A,1,0)</f>
        <v>ALR_UPS_IN_RISERVA-Allarme UPS carico in riserva</v>
      </c>
      <c r="E384" t="str">
        <f>VLOOKUP(H384,'EXPORT IRIS PROD 13-11-2024'!F:F,1,0)</f>
        <v>ALR_UPS_IN_RISERVA</v>
      </c>
      <c r="F384" t="str">
        <f>VLOOKUP(I384,'EXPORT IRIS PROD 13-11-2024'!D:D,1,0)</f>
        <v>Allarme UPS carico in riserva</v>
      </c>
      <c r="G384" s="37" t="s">
        <v>53</v>
      </c>
      <c r="H384" s="38" t="s">
        <v>764</v>
      </c>
      <c r="I384" s="38" t="s">
        <v>765</v>
      </c>
      <c r="J384" s="39" t="s">
        <v>56</v>
      </c>
      <c r="K384" s="39" t="s">
        <v>104</v>
      </c>
      <c r="L384" s="40" t="s">
        <v>21</v>
      </c>
      <c r="M384" s="41" t="s">
        <v>22</v>
      </c>
      <c r="N384" s="42" t="s">
        <v>23</v>
      </c>
      <c r="O384" s="43" t="s">
        <v>24</v>
      </c>
      <c r="P384" s="42" t="s">
        <v>25</v>
      </c>
      <c r="Q384" s="42" t="s">
        <v>21</v>
      </c>
      <c r="R384" s="44"/>
    </row>
    <row r="385" spans="1:18" customFormat="1" x14ac:dyDescent="0.25">
      <c r="A385" t="str">
        <f t="shared" si="10"/>
        <v>Impianto Elettrico_UPS_ALR_UPS_IN_SCARICA-Allarme batteria in scarica</v>
      </c>
      <c r="B385" t="str">
        <f t="shared" si="11"/>
        <v>ALR_UPS_IN_SCARICA-Allarme batteria in scarica</v>
      </c>
      <c r="C385" t="str">
        <f>VLOOKUP(B385,'[2]Classi allarmi RMT-STIG_rev4'!$C:$C,1,0)</f>
        <v>ALR_UPS_IN_SCARICA-Allarme batteria in scarica</v>
      </c>
      <c r="D385" t="str">
        <f>VLOOKUP(B385,'EXPORT IRIS PROD 13-11-2024'!A:A,1,0)</f>
        <v>ALR_UPS_IN_SCARICA-Allarme batteria in scarica</v>
      </c>
      <c r="E385" t="str">
        <f>VLOOKUP(H385,'EXPORT IRIS PROD 13-11-2024'!F:F,1,0)</f>
        <v>ALR_UPS_IN_SCARICA</v>
      </c>
      <c r="F385" t="str">
        <f>VLOOKUP(I385,'EXPORT IRIS PROD 13-11-2024'!D:D,1,0)</f>
        <v>Allarme batteria in scarica</v>
      </c>
      <c r="G385" s="37" t="s">
        <v>53</v>
      </c>
      <c r="H385" s="38" t="s">
        <v>766</v>
      </c>
      <c r="I385" s="38" t="s">
        <v>477</v>
      </c>
      <c r="J385" s="39" t="s">
        <v>56</v>
      </c>
      <c r="K385" s="39" t="s">
        <v>104</v>
      </c>
      <c r="L385" s="40" t="s">
        <v>21</v>
      </c>
      <c r="M385" s="41" t="s">
        <v>22</v>
      </c>
      <c r="N385" s="42" t="s">
        <v>23</v>
      </c>
      <c r="O385" s="43" t="s">
        <v>24</v>
      </c>
      <c r="P385" s="42" t="s">
        <v>25</v>
      </c>
      <c r="Q385" s="42" t="s">
        <v>21</v>
      </c>
      <c r="R385" s="44"/>
    </row>
    <row r="386" spans="1:18" customFormat="1" x14ac:dyDescent="0.25">
      <c r="A386" t="str">
        <f t="shared" ref="A386:A449" si="12">CONCATENATE(J386,"_",K386,"_",B386)</f>
        <v>Impianto Elettrico_UPS_ALR_UPS_INVERTER_GUASTO-Allarme UPS Inverter guasto</v>
      </c>
      <c r="B386" t="str">
        <f t="shared" si="11"/>
        <v>ALR_UPS_INVERTER_GUASTO-Allarme UPS Inverter guasto</v>
      </c>
      <c r="C386" t="str">
        <f>VLOOKUP(B386,'[2]Classi allarmi RMT-STIG_rev4'!$C:$C,1,0)</f>
        <v>ALR_UPS_INVERTER_GUASTO-Allarme UPS Inverter guasto</v>
      </c>
      <c r="D386" t="str">
        <f>VLOOKUP(B386,'EXPORT IRIS PROD 13-11-2024'!A:A,1,0)</f>
        <v>ALR_UPS_INVERTER_GUASTO-Allarme UPS Inverter guasto</v>
      </c>
      <c r="E386" t="str">
        <f>VLOOKUP(H386,'EXPORT IRIS PROD 13-11-2024'!F:F,1,0)</f>
        <v>ALR_UPS_INVERTER_GUASTO</v>
      </c>
      <c r="F386" t="str">
        <f>VLOOKUP(I386,'EXPORT IRIS PROD 13-11-2024'!D:D,1,0)</f>
        <v>Allarme UPS Inverter guasto</v>
      </c>
      <c r="G386" s="37" t="s">
        <v>53</v>
      </c>
      <c r="H386" s="38" t="s">
        <v>767</v>
      </c>
      <c r="I386" s="38" t="s">
        <v>768</v>
      </c>
      <c r="J386" s="39" t="s">
        <v>56</v>
      </c>
      <c r="K386" s="39" t="s">
        <v>104</v>
      </c>
      <c r="L386" s="40" t="s">
        <v>21</v>
      </c>
      <c r="M386" s="41" t="s">
        <v>22</v>
      </c>
      <c r="N386" s="42" t="s">
        <v>23</v>
      </c>
      <c r="O386" s="43" t="s">
        <v>24</v>
      </c>
      <c r="P386" s="42" t="s">
        <v>25</v>
      </c>
      <c r="Q386" s="42" t="s">
        <v>21</v>
      </c>
      <c r="R386" s="44"/>
    </row>
    <row r="387" spans="1:18" customFormat="1" x14ac:dyDescent="0.25">
      <c r="A387" t="str">
        <f t="shared" si="12"/>
        <v>Impianto Elettrico_UPS_ALR_UPS_NON_ALIMENTATO-Allarme ups non alimentato</v>
      </c>
      <c r="B387" t="str">
        <f t="shared" ref="B387:B450" si="13">CONCATENATE(H387,"-",I387)</f>
        <v>ALR_UPS_NON_ALIMENTATO-Allarme ups non alimentato</v>
      </c>
      <c r="C387" t="str">
        <f>VLOOKUP(B387,'[2]Classi allarmi RMT-STIG_rev4'!$C:$C,1,0)</f>
        <v>ALR_UPS_NON_ALIMENTATO-Allarme ups non alimentato</v>
      </c>
      <c r="D387" t="str">
        <f>VLOOKUP(B387,'EXPORT IRIS PROD 13-11-2024'!A:A,1,0)</f>
        <v>ALR_UPS_NON_ALIMENTATO-Allarme ups non alimentato</v>
      </c>
      <c r="E387" t="str">
        <f>VLOOKUP(H387,'EXPORT IRIS PROD 13-11-2024'!F:F,1,0)</f>
        <v>ALR_UPS_NON_ALIMENTATO</v>
      </c>
      <c r="F387" t="str">
        <f>VLOOKUP(I387,'EXPORT IRIS PROD 13-11-2024'!D:D,1,0)</f>
        <v>Allarme ups non alimentato</v>
      </c>
      <c r="G387" s="37" t="s">
        <v>53</v>
      </c>
      <c r="H387" s="38" t="s">
        <v>769</v>
      </c>
      <c r="I387" s="38" t="s">
        <v>770</v>
      </c>
      <c r="J387" s="39" t="s">
        <v>56</v>
      </c>
      <c r="K387" s="39" t="s">
        <v>104</v>
      </c>
      <c r="L387" s="40" t="s">
        <v>21</v>
      </c>
      <c r="M387" s="41" t="s">
        <v>22</v>
      </c>
      <c r="N387" s="42" t="s">
        <v>23</v>
      </c>
      <c r="O387" s="43" t="s">
        <v>24</v>
      </c>
      <c r="P387" s="42" t="s">
        <v>25</v>
      </c>
      <c r="Q387" s="42" t="s">
        <v>21</v>
      </c>
      <c r="R387" s="44"/>
    </row>
    <row r="388" spans="1:18" customFormat="1" x14ac:dyDescent="0.25">
      <c r="A388" t="str">
        <f t="shared" si="12"/>
        <v>Impianto Elettrico_UPS_ALR_UPS_SCARICO-Allarme batteria scarica</v>
      </c>
      <c r="B388" t="str">
        <f t="shared" si="13"/>
        <v>ALR_UPS_SCARICO-Allarme batteria scarica</v>
      </c>
      <c r="C388" t="str">
        <f>VLOOKUP(B388,'[2]Classi allarmi RMT-STIG_rev4'!$C:$C,1,0)</f>
        <v>ALR_UPS_SCARICO-Allarme batteria scarica</v>
      </c>
      <c r="D388" t="str">
        <f>VLOOKUP(B388,'EXPORT IRIS PROD 13-11-2024'!A:A,1,0)</f>
        <v>ALR_UPS_SCARICO-Allarme batteria scarica</v>
      </c>
      <c r="E388" t="str">
        <f>VLOOKUP(H388,'EXPORT IRIS PROD 13-11-2024'!F:F,1,0)</f>
        <v>ALR_UPS_SCARICO</v>
      </c>
      <c r="F388" t="str">
        <f>VLOOKUP(I388,'EXPORT IRIS PROD 13-11-2024'!D:D,1,0)</f>
        <v>Allarme batteria scarica</v>
      </c>
      <c r="G388" s="37" t="s">
        <v>53</v>
      </c>
      <c r="H388" s="38" t="s">
        <v>771</v>
      </c>
      <c r="I388" s="38" t="s">
        <v>169</v>
      </c>
      <c r="J388" s="39" t="s">
        <v>56</v>
      </c>
      <c r="K388" s="39" t="s">
        <v>104</v>
      </c>
      <c r="L388" s="40" t="s">
        <v>21</v>
      </c>
      <c r="M388" s="41" t="s">
        <v>22</v>
      </c>
      <c r="N388" s="42" t="s">
        <v>23</v>
      </c>
      <c r="O388" s="43" t="s">
        <v>24</v>
      </c>
      <c r="P388" s="42" t="s">
        <v>25</v>
      </c>
      <c r="Q388" s="42" t="s">
        <v>21</v>
      </c>
      <c r="R388" s="44"/>
    </row>
    <row r="389" spans="1:18" customFormat="1" x14ac:dyDescent="0.25">
      <c r="A389" t="str">
        <f t="shared" si="12"/>
        <v>Impianto Elettrico_UPS_ALR_UPS_SOVRA-CARICO-Allarme UPS Inverter sovra carico</v>
      </c>
      <c r="B389" t="str">
        <f t="shared" si="13"/>
        <v>ALR_UPS_SOVRA-CARICO-Allarme UPS Inverter sovra carico</v>
      </c>
      <c r="C389" t="str">
        <f>VLOOKUP(B389,'[2]Classi allarmi RMT-STIG_rev4'!$C:$C,1,0)</f>
        <v>ALR_UPS_SOVRA-CARICO-Allarme UPS Inverter sovra carico</v>
      </c>
      <c r="D389" t="str">
        <f>VLOOKUP(B389,'EXPORT IRIS PROD 13-11-2024'!A:A,1,0)</f>
        <v>ALR_UPS_SOVRA-CARICO-Allarme UPS Inverter sovra carico</v>
      </c>
      <c r="E389" t="str">
        <f>VLOOKUP(H389,'EXPORT IRIS PROD 13-11-2024'!F:F,1,0)</f>
        <v>ALR_UPS_SOVRA-CARICO</v>
      </c>
      <c r="F389" t="str">
        <f>VLOOKUP(I389,'EXPORT IRIS PROD 13-11-2024'!D:D,1,0)</f>
        <v>Allarme UPS Inverter sovra carico</v>
      </c>
      <c r="G389" s="37" t="s">
        <v>53</v>
      </c>
      <c r="H389" s="38" t="s">
        <v>772</v>
      </c>
      <c r="I389" s="38" t="s">
        <v>773</v>
      </c>
      <c r="J389" s="39" t="s">
        <v>56</v>
      </c>
      <c r="K389" s="39" t="s">
        <v>104</v>
      </c>
      <c r="L389" s="40" t="s">
        <v>21</v>
      </c>
      <c r="M389" s="41" t="s">
        <v>22</v>
      </c>
      <c r="N389" s="42" t="s">
        <v>23</v>
      </c>
      <c r="O389" s="43" t="s">
        <v>24</v>
      </c>
      <c r="P389" s="42" t="s">
        <v>25</v>
      </c>
      <c r="Q389" s="42" t="s">
        <v>21</v>
      </c>
      <c r="R389" s="44"/>
    </row>
    <row r="390" spans="1:18" x14ac:dyDescent="0.25">
      <c r="A390" t="str">
        <f t="shared" si="12"/>
        <v>Impianto Elettrico_UPS_ALR_UPS_SU_BYPASS-Allarme UPS su bypass</v>
      </c>
      <c r="B390" t="str">
        <f t="shared" si="13"/>
        <v>ALR_UPS_SU_BYPASS-Allarme UPS su bypass</v>
      </c>
      <c r="C390" t="str">
        <f>VLOOKUP(B390,'[2]Classi allarmi RMT-STIG_rev4'!$C:$C,1,0)</f>
        <v>ALR_UPS_SU_BYPASS-Allarme UPS su bypass</v>
      </c>
      <c r="D390" t="str">
        <f>VLOOKUP(B390,'EXPORT IRIS PROD 13-11-2024'!A:A,1,0)</f>
        <v>ALR_UPS_SU_BYPASS-Allarme UPS su bypass</v>
      </c>
      <c r="E390" t="str">
        <f>VLOOKUP(H390,'EXPORT IRIS PROD 13-11-2024'!F:F,1,0)</f>
        <v>ALR_UPS_SU_BYPASS</v>
      </c>
      <c r="F390" t="str">
        <f>VLOOKUP(I390,'EXPORT IRIS PROD 13-11-2024'!D:D,1,0)</f>
        <v>Allarme UPS su bypass</v>
      </c>
      <c r="G390" s="37" t="s">
        <v>53</v>
      </c>
      <c r="H390" s="38" t="s">
        <v>774</v>
      </c>
      <c r="I390" s="38" t="s">
        <v>775</v>
      </c>
      <c r="J390" s="39" t="s">
        <v>56</v>
      </c>
      <c r="K390" s="39" t="s">
        <v>104</v>
      </c>
      <c r="L390" s="40" t="s">
        <v>21</v>
      </c>
      <c r="M390" s="41" t="s">
        <v>22</v>
      </c>
      <c r="N390" s="42" t="s">
        <v>23</v>
      </c>
      <c r="O390" s="43" t="s">
        <v>24</v>
      </c>
      <c r="P390" s="42" t="s">
        <v>25</v>
      </c>
      <c r="Q390" s="42" t="s">
        <v>21</v>
      </c>
      <c r="R390" s="44"/>
    </row>
    <row r="391" spans="1:18" x14ac:dyDescent="0.25">
      <c r="A391" t="str">
        <f t="shared" si="12"/>
        <v>Impianto Ventilazione_Ventilatore_ALR_VENTILATORE_NON_PRONTO-Allarme Ventilatore non pronto</v>
      </c>
      <c r="B391" t="str">
        <f t="shared" si="13"/>
        <v>ALR_VENTILATORE_NON_PRONTO-Allarme Ventilatore non pronto</v>
      </c>
      <c r="C391" t="str">
        <f>VLOOKUP(B391,'[2]Classi allarmi RMT-STIG_rev4'!$C:$C,1,0)</f>
        <v>ALR_VENTILATORE_NON_PRONTO-Allarme Ventilatore non pronto</v>
      </c>
      <c r="D391" t="str">
        <f>VLOOKUP(B391,'EXPORT IRIS PROD 13-11-2024'!A:A,1,0)</f>
        <v>ALR_VENTILATORE_NON_PRONTO-Allarme Ventilatore non pronto</v>
      </c>
      <c r="E391" t="str">
        <f>VLOOKUP(H391,'EXPORT IRIS PROD 13-11-2024'!F:F,1,0)</f>
        <v>ALR_VENTILATORE_NON_PRONTO</v>
      </c>
      <c r="F391" t="str">
        <f>VLOOKUP(I391,'EXPORT IRIS PROD 13-11-2024'!D:D,1,0)</f>
        <v>Allarme Ventilatore non pronto</v>
      </c>
      <c r="G391" s="37" t="s">
        <v>85</v>
      </c>
      <c r="H391" s="38" t="s">
        <v>776</v>
      </c>
      <c r="I391" s="38" t="s">
        <v>777</v>
      </c>
      <c r="J391" s="39" t="s">
        <v>50</v>
      </c>
      <c r="K391" s="39" t="s">
        <v>124</v>
      </c>
      <c r="L391" s="40" t="s">
        <v>21</v>
      </c>
      <c r="M391" s="41" t="s">
        <v>22</v>
      </c>
      <c r="N391" s="42" t="s">
        <v>23</v>
      </c>
      <c r="O391" s="43" t="s">
        <v>24</v>
      </c>
      <c r="P391" s="42" t="s">
        <v>25</v>
      </c>
      <c r="Q391" s="42" t="s">
        <v>21</v>
      </c>
      <c r="R391" s="44"/>
    </row>
    <row r="392" spans="1:18" x14ac:dyDescent="0.25">
      <c r="A392" t="str">
        <f t="shared" si="12"/>
        <v>Impianto Ventilazione_Ventilatore_ALR_VIBRAZIONE-Allarme vibrazione</v>
      </c>
      <c r="B392" t="str">
        <f t="shared" si="13"/>
        <v>ALR_VIBRAZIONE-Allarme vibrazione</v>
      </c>
      <c r="C392" t="str">
        <f>VLOOKUP(B392,'[2]Classi allarmi RMT-STIG_rev4'!$C:$C,1,0)</f>
        <v>ALR_VIBRAZIONE-Allarme vibrazione</v>
      </c>
      <c r="D392" t="str">
        <f>VLOOKUP(B392,'EXPORT IRIS PROD 13-11-2024'!A:A,1,0)</f>
        <v>ALR_VIBRAZIONE-Allarme vibrazione</v>
      </c>
      <c r="E392" t="str">
        <f>VLOOKUP(H392,'EXPORT IRIS PROD 13-11-2024'!F:F,1,0)</f>
        <v>ALR_VIBRAZIONE</v>
      </c>
      <c r="F392" t="str">
        <f>VLOOKUP(I392,'EXPORT IRIS PROD 13-11-2024'!D:D,1,0)</f>
        <v>Allarme vibrazione</v>
      </c>
      <c r="G392" s="37" t="s">
        <v>85</v>
      </c>
      <c r="H392" s="38" t="s">
        <v>778</v>
      </c>
      <c r="I392" s="38" t="s">
        <v>779</v>
      </c>
      <c r="J392" s="39" t="s">
        <v>50</v>
      </c>
      <c r="K392" s="39" t="s">
        <v>124</v>
      </c>
      <c r="L392" s="40" t="s">
        <v>21</v>
      </c>
      <c r="M392" s="41" t="s">
        <v>22</v>
      </c>
      <c r="N392" s="42" t="s">
        <v>23</v>
      </c>
      <c r="O392" s="43" t="s">
        <v>24</v>
      </c>
      <c r="P392" s="42" t="s">
        <v>25</v>
      </c>
      <c r="Q392" s="42" t="s">
        <v>21</v>
      </c>
      <c r="R392" s="44"/>
    </row>
    <row r="393" spans="1:18" x14ac:dyDescent="0.25">
      <c r="A393" t="str">
        <f t="shared" si="12"/>
        <v>Impianto Ventilazione_Ventilatore_ALR_VIBRAZIONE_2-Allarme vibrazione</v>
      </c>
      <c r="B393" t="str">
        <f t="shared" si="13"/>
        <v>ALR_VIBRAZIONE_2-Allarme vibrazione</v>
      </c>
      <c r="C393" t="str">
        <f>VLOOKUP(B393,'[2]Classi allarmi RMT-STIG_rev4'!$C:$C,1,0)</f>
        <v>ALR_VIBRAZIONE_2-Allarme vibrazione</v>
      </c>
      <c r="D393" t="str">
        <f>VLOOKUP(B393,'EXPORT IRIS PROD 13-11-2024'!A:A,1,0)</f>
        <v>ALR_VIBRAZIONE_2-Allarme vibrazione</v>
      </c>
      <c r="E393" t="str">
        <f>VLOOKUP(H393,'EXPORT IRIS PROD 13-11-2024'!F:F,1,0)</f>
        <v>ALR_VIBRAZIONE_2</v>
      </c>
      <c r="F393" t="str">
        <f>VLOOKUP(I393,'EXPORT IRIS PROD 13-11-2024'!D:D,1,0)</f>
        <v>Allarme vibrazione</v>
      </c>
      <c r="G393" s="37" t="s">
        <v>85</v>
      </c>
      <c r="H393" s="38" t="s">
        <v>780</v>
      </c>
      <c r="I393" s="38" t="s">
        <v>779</v>
      </c>
      <c r="J393" s="39" t="s">
        <v>50</v>
      </c>
      <c r="K393" s="50" t="s">
        <v>124</v>
      </c>
      <c r="L393" s="40" t="s">
        <v>21</v>
      </c>
      <c r="M393" s="41" t="s">
        <v>22</v>
      </c>
      <c r="N393" s="42" t="s">
        <v>23</v>
      </c>
      <c r="O393" s="43" t="s">
        <v>24</v>
      </c>
      <c r="P393" s="42" t="s">
        <v>25</v>
      </c>
      <c r="Q393" s="42" t="s">
        <v>21</v>
      </c>
      <c r="R393" s="44"/>
    </row>
    <row r="394" spans="1:18" x14ac:dyDescent="0.25">
      <c r="A394" t="str">
        <f t="shared" si="12"/>
        <v>Impianto Ventilazione_Ventilatore_ALR_VIBRAZIONE_CUSCINETTO_2-Allarme vibrazione cuscinetto 2</v>
      </c>
      <c r="B394" t="str">
        <f t="shared" si="13"/>
        <v>ALR_VIBRAZIONE_CUSCINETTO_2-Allarme vibrazione cuscinetto 2</v>
      </c>
      <c r="C394" t="str">
        <f>VLOOKUP(B394,'[2]Classi allarmi RMT-STIG_rev4'!$C:$C,1,0)</f>
        <v>ALR_VIBRAZIONE_CUSCINETTO_2-Allarme vibrazione cuscinetto 2</v>
      </c>
      <c r="D394" t="str">
        <f>VLOOKUP(B394,'EXPORT IRIS PROD 13-11-2024'!A:A,1,0)</f>
        <v>ALR_VIBRAZIONE_CUSCINETTO_2-Allarme vibrazione cuscinetto 2</v>
      </c>
      <c r="E394" t="str">
        <f>VLOOKUP(H394,'EXPORT IRIS PROD 13-11-2024'!F:F,1,0)</f>
        <v>ALR_VIBRAZIONE_CUSCINETTO_2</v>
      </c>
      <c r="F394" t="str">
        <f>VLOOKUP(I394,'EXPORT IRIS PROD 13-11-2024'!D:D,1,0)</f>
        <v>Allarme vibrazione cuscinetto 2</v>
      </c>
      <c r="G394" s="37" t="s">
        <v>85</v>
      </c>
      <c r="H394" s="38" t="s">
        <v>781</v>
      </c>
      <c r="I394" s="38" t="s">
        <v>782</v>
      </c>
      <c r="J394" s="39" t="s">
        <v>50</v>
      </c>
      <c r="K394" s="39" t="s">
        <v>124</v>
      </c>
      <c r="L394" s="40" t="s">
        <v>21</v>
      </c>
      <c r="M394" s="41" t="s">
        <v>22</v>
      </c>
      <c r="N394" s="42" t="s">
        <v>23</v>
      </c>
      <c r="O394" s="43" t="s">
        <v>24</v>
      </c>
      <c r="P394" s="42" t="s">
        <v>25</v>
      </c>
      <c r="Q394" s="42" t="s">
        <v>21</v>
      </c>
      <c r="R394" s="44"/>
    </row>
    <row r="395" spans="1:18" x14ac:dyDescent="0.25">
      <c r="A395" t="str">
        <f t="shared" si="12"/>
        <v>Impianto Antincendio_Pompa_ALT_TERMICO_POMPA-Allarme termico pompa</v>
      </c>
      <c r="B395" t="str">
        <f t="shared" si="13"/>
        <v>ALT_TERMICO_POMPA-Allarme termico pompa</v>
      </c>
      <c r="C395" t="str">
        <f>VLOOKUP(B395,'[2]Classi allarmi RMT-STIG_rev4'!$C:$C,1,0)</f>
        <v>ALT_TERMICO_POMPA-Allarme termico pompa</v>
      </c>
      <c r="D395" t="str">
        <f>VLOOKUP(B395,'EXPORT IRIS PROD 13-11-2024'!A:A,1,0)</f>
        <v>ALT_TERMICO_POMPA-Allarme termico pompa</v>
      </c>
      <c r="E395" t="str">
        <f>VLOOKUP(H395,'EXPORT IRIS PROD 13-11-2024'!F:F,1,0)</f>
        <v>ALT_TERMICO_POMPA</v>
      </c>
      <c r="F395" t="str">
        <f>VLOOKUP(I395,'EXPORT IRIS PROD 13-11-2024'!D:D,1,0)</f>
        <v>Allarme termico pompa</v>
      </c>
      <c r="G395" s="37" t="s">
        <v>35</v>
      </c>
      <c r="H395" s="38" t="s">
        <v>783</v>
      </c>
      <c r="I395" s="38" t="s">
        <v>784</v>
      </c>
      <c r="J395" s="39" t="s">
        <v>38</v>
      </c>
      <c r="K395" s="39" t="s">
        <v>39</v>
      </c>
      <c r="L395" s="40" t="s">
        <v>21</v>
      </c>
      <c r="M395" s="41" t="s">
        <v>22</v>
      </c>
      <c r="N395" s="42" t="s">
        <v>23</v>
      </c>
      <c r="O395" s="43" t="s">
        <v>24</v>
      </c>
      <c r="P395" s="42" t="s">
        <v>25</v>
      </c>
      <c r="Q395" s="42" t="s">
        <v>21</v>
      </c>
      <c r="R395" s="44"/>
    </row>
    <row r="396" spans="1:18" x14ac:dyDescent="0.25">
      <c r="A396" t="str">
        <f t="shared" si="12"/>
        <v>Impianto Ventilazione_AN_AN_GUASTO-Allarme guasto sensore AN</v>
      </c>
      <c r="B396" t="str">
        <f t="shared" si="13"/>
        <v>AN_GUASTO-Allarme guasto sensore AN</v>
      </c>
      <c r="C396" t="str">
        <f>VLOOKUP(B396,'[2]Classi allarmi RMT-STIG_rev4'!$C:$C,1,0)</f>
        <v>AN_GUASTO-Allarme guasto sensore AN</v>
      </c>
      <c r="D396" t="str">
        <f>VLOOKUP(B396,'EXPORT IRIS PROD 13-11-2024'!A:A,1,0)</f>
        <v>AN_GUASTO-Allarme guasto sensore AN</v>
      </c>
      <c r="E396" t="str">
        <f>VLOOKUP(H396,'EXPORT IRIS PROD 13-11-2024'!F:F,1,0)</f>
        <v>AN_GUASTO</v>
      </c>
      <c r="F396" t="str">
        <f>VLOOKUP(I396,'EXPORT IRIS PROD 13-11-2024'!D:D,1,0)</f>
        <v>Allarme guasto sensore AN</v>
      </c>
      <c r="G396" s="37" t="s">
        <v>85</v>
      </c>
      <c r="H396" s="38" t="s">
        <v>785</v>
      </c>
      <c r="I396" s="38" t="s">
        <v>786</v>
      </c>
      <c r="J396" s="39" t="s">
        <v>50</v>
      </c>
      <c r="K396" s="50" t="s">
        <v>787</v>
      </c>
      <c r="L396" s="40" t="s">
        <v>21</v>
      </c>
      <c r="M396" s="41" t="s">
        <v>22</v>
      </c>
      <c r="N396" s="42" t="s">
        <v>23</v>
      </c>
      <c r="O396" s="43" t="s">
        <v>24</v>
      </c>
      <c r="P396" s="42" t="s">
        <v>25</v>
      </c>
      <c r="Q396" s="42" t="s">
        <v>21</v>
      </c>
      <c r="R396" s="44"/>
    </row>
    <row r="397" spans="1:18" x14ac:dyDescent="0.25">
      <c r="A397" t="str">
        <f t="shared" si="12"/>
        <v>Impianto Illuminazione_Regolatore di flusso_ANOMALIA_DISPOSITIVO-Allarme dispositivo in errore</v>
      </c>
      <c r="B397" t="str">
        <f t="shared" si="13"/>
        <v>ANOMALIA_DISPOSITIVO-Allarme dispositivo in errore</v>
      </c>
      <c r="C397" t="str">
        <f>VLOOKUP(B397,'[2]Classi allarmi RMT-STIG_rev4'!$C:$C,1,0)</f>
        <v>ANOMALIA_DISPOSITIVO-Allarme dispositivo in errore</v>
      </c>
      <c r="D397" t="str">
        <f>VLOOKUP(B397,'EXPORT IRIS PROD 13-11-2024'!A:A,1,0)</f>
        <v>ANOMALIA_DISPOSITIVO-Allarme dispositivo in errore</v>
      </c>
      <c r="E397" t="str">
        <f>VLOOKUP(H397,'EXPORT IRIS PROD 13-11-2024'!F:F,1,0)</f>
        <v>ANOMALIA_DISPOSITIVO</v>
      </c>
      <c r="F397" t="str">
        <f>VLOOKUP(I397,'EXPORT IRIS PROD 13-11-2024'!D:D,1,0)</f>
        <v>Allarme dispositivo in errore</v>
      </c>
      <c r="G397" s="37" t="s">
        <v>115</v>
      </c>
      <c r="H397" s="38" t="s">
        <v>788</v>
      </c>
      <c r="I397" s="38" t="s">
        <v>789</v>
      </c>
      <c r="J397" s="39" t="s">
        <v>116</v>
      </c>
      <c r="K397" s="39" t="s">
        <v>256</v>
      </c>
      <c r="L397" s="40" t="s">
        <v>21</v>
      </c>
      <c r="M397" s="41" t="s">
        <v>22</v>
      </c>
      <c r="N397" s="42" t="s">
        <v>23</v>
      </c>
      <c r="O397" s="43" t="s">
        <v>24</v>
      </c>
      <c r="P397" s="42" t="s">
        <v>25</v>
      </c>
      <c r="Q397" s="42" t="s">
        <v>21</v>
      </c>
      <c r="R397" s="44"/>
    </row>
    <row r="398" spans="1:18" customFormat="1" x14ac:dyDescent="0.25">
      <c r="A398" t="str">
        <f t="shared" si="12"/>
        <v>Impianto Ventilazione_Anemometro_ANOMALIA_DISPOSITIVO-Allarme dispositivo in errore</v>
      </c>
      <c r="B398" t="str">
        <f t="shared" si="13"/>
        <v>ANOMALIA_DISPOSITIVO-Allarme dispositivo in errore</v>
      </c>
      <c r="C398" t="str">
        <f>VLOOKUP(B398,'[2]Classi allarmi RMT-STIG_rev4'!$C:$C,1,0)</f>
        <v>ANOMALIA_DISPOSITIVO-Allarme dispositivo in errore</v>
      </c>
      <c r="D398" t="str">
        <f>VLOOKUP(B398,'EXPORT IRIS PROD 13-11-2024'!A:A,1,0)</f>
        <v>ANOMALIA_DISPOSITIVO-Allarme dispositivo in errore</v>
      </c>
      <c r="E398" t="str">
        <f>VLOOKUP(H398,'EXPORT IRIS PROD 13-11-2024'!F:F,1,0)</f>
        <v>ANOMALIA_DISPOSITIVO</v>
      </c>
      <c r="F398" t="str">
        <f>VLOOKUP(I398,'EXPORT IRIS PROD 13-11-2024'!D:D,1,0)</f>
        <v>Allarme dispositivo in errore</v>
      </c>
      <c r="G398" s="37" t="s">
        <v>85</v>
      </c>
      <c r="H398" s="38" t="s">
        <v>788</v>
      </c>
      <c r="I398" s="38" t="s">
        <v>789</v>
      </c>
      <c r="J398" s="39" t="s">
        <v>50</v>
      </c>
      <c r="K398" s="39" t="s">
        <v>88</v>
      </c>
      <c r="L398" s="40" t="s">
        <v>21</v>
      </c>
      <c r="M398" s="41" t="s">
        <v>22</v>
      </c>
      <c r="N398" s="42" t="s">
        <v>23</v>
      </c>
      <c r="O398" s="43" t="s">
        <v>24</v>
      </c>
      <c r="P398" s="42" t="s">
        <v>25</v>
      </c>
      <c r="Q398" s="42" t="s">
        <v>21</v>
      </c>
      <c r="R398" s="44"/>
    </row>
    <row r="399" spans="1:18" customFormat="1" x14ac:dyDescent="0.25">
      <c r="A399" t="str">
        <f t="shared" si="12"/>
        <v>Impianto Ventilazione_CO_ANOMALIA_DISPOSITIVO-Allarme dispositivo in errore</v>
      </c>
      <c r="B399" t="str">
        <f t="shared" si="13"/>
        <v>ANOMALIA_DISPOSITIVO-Allarme dispositivo in errore</v>
      </c>
      <c r="C399" t="str">
        <f>VLOOKUP(B399,'[2]Classi allarmi RMT-STIG_rev4'!$C:$C,1,0)</f>
        <v>ANOMALIA_DISPOSITIVO-Allarme dispositivo in errore</v>
      </c>
      <c r="D399" t="str">
        <f>VLOOKUP(B399,'EXPORT IRIS PROD 13-11-2024'!A:A,1,0)</f>
        <v>ANOMALIA_DISPOSITIVO-Allarme dispositivo in errore</v>
      </c>
      <c r="E399" t="str">
        <f>VLOOKUP(H399,'EXPORT IRIS PROD 13-11-2024'!F:F,1,0)</f>
        <v>ANOMALIA_DISPOSITIVO</v>
      </c>
      <c r="F399" t="str">
        <f>VLOOKUP(I399,'EXPORT IRIS PROD 13-11-2024'!D:D,1,0)</f>
        <v>Allarme dispositivo in errore</v>
      </c>
      <c r="G399" s="37" t="s">
        <v>85</v>
      </c>
      <c r="H399" s="38" t="s">
        <v>788</v>
      </c>
      <c r="I399" s="38" t="s">
        <v>789</v>
      </c>
      <c r="J399" s="39" t="s">
        <v>50</v>
      </c>
      <c r="K399" s="39" t="s">
        <v>51</v>
      </c>
      <c r="L399" s="40" t="s">
        <v>21</v>
      </c>
      <c r="M399" s="41" t="s">
        <v>22</v>
      </c>
      <c r="N399" s="42" t="s">
        <v>23</v>
      </c>
      <c r="O399" s="43" t="s">
        <v>24</v>
      </c>
      <c r="P399" s="42" t="s">
        <v>25</v>
      </c>
      <c r="Q399" s="42" t="s">
        <v>21</v>
      </c>
      <c r="R399" s="44"/>
    </row>
    <row r="400" spans="1:18" x14ac:dyDescent="0.25">
      <c r="A400" t="str">
        <f t="shared" si="12"/>
        <v>Impianto Ventilazione_OP_ANOMALIA_DISPOSITIVO-Allarme dispositivo in errore</v>
      </c>
      <c r="B400" t="str">
        <f t="shared" si="13"/>
        <v>ANOMALIA_DISPOSITIVO-Allarme dispositivo in errore</v>
      </c>
      <c r="C400" t="str">
        <f>VLOOKUP(B400,'[2]Classi allarmi RMT-STIG_rev4'!$C:$C,1,0)</f>
        <v>ANOMALIA_DISPOSITIVO-Allarme dispositivo in errore</v>
      </c>
      <c r="D400" t="str">
        <f>VLOOKUP(B400,'EXPORT IRIS PROD 13-11-2024'!A:A,1,0)</f>
        <v>ANOMALIA_DISPOSITIVO-Allarme dispositivo in errore</v>
      </c>
      <c r="E400" t="str">
        <f>VLOOKUP(H400,'EXPORT IRIS PROD 13-11-2024'!F:F,1,0)</f>
        <v>ANOMALIA_DISPOSITIVO</v>
      </c>
      <c r="F400" t="str">
        <f>VLOOKUP(I400,'EXPORT IRIS PROD 13-11-2024'!D:D,1,0)</f>
        <v>Allarme dispositivo in errore</v>
      </c>
      <c r="G400" s="37" t="s">
        <v>85</v>
      </c>
      <c r="H400" s="38" t="s">
        <v>788</v>
      </c>
      <c r="I400" s="38" t="s">
        <v>789</v>
      </c>
      <c r="J400" s="39" t="s">
        <v>50</v>
      </c>
      <c r="K400" s="39" t="s">
        <v>52</v>
      </c>
      <c r="L400" s="40" t="s">
        <v>21</v>
      </c>
      <c r="M400" s="41" t="s">
        <v>22</v>
      </c>
      <c r="N400" s="42" t="s">
        <v>23</v>
      </c>
      <c r="O400" s="43" t="s">
        <v>24</v>
      </c>
      <c r="P400" s="42" t="s">
        <v>25</v>
      </c>
      <c r="Q400" s="42" t="s">
        <v>21</v>
      </c>
      <c r="R400" s="44"/>
    </row>
    <row r="401" spans="1:18" x14ac:dyDescent="0.25">
      <c r="A401" t="str">
        <f t="shared" si="12"/>
        <v>Impianto Elettrico_UPS_ANOMALIA_UPS_QUADRO_ALIMENTAZIONE-Allarme anomalia ups quadro alimentazione</v>
      </c>
      <c r="B401" t="str">
        <f t="shared" si="13"/>
        <v>ANOMALIA_UPS_QUADRO_ALIMENTAZIONE-Allarme anomalia ups quadro alimentazione</v>
      </c>
      <c r="C401" t="str">
        <f>VLOOKUP(B401,'[2]Classi allarmi RMT-STIG_rev4'!$C:$C,1,0)</f>
        <v>ANOMALIA_UPS_QUADRO_ALIMENTAZIONE-Allarme anomalia ups quadro alimentazione</v>
      </c>
      <c r="D401" t="str">
        <f>VLOOKUP(B401,'EXPORT IRIS PROD 13-11-2024'!A:A,1,0)</f>
        <v>ANOMALIA_UPS_QUADRO_ALIMENTAZIONE-Allarme anomalia ups quadro alimentazione</v>
      </c>
      <c r="E401" t="str">
        <f>VLOOKUP(H401,'EXPORT IRIS PROD 13-11-2024'!F:F,1,0)</f>
        <v>ANOMALIA_UPS_QUADRO_ALIMENTAZIONE</v>
      </c>
      <c r="F401" t="str">
        <f>VLOOKUP(I401,'EXPORT IRIS PROD 13-11-2024'!D:D,1,0)</f>
        <v>Allarme anomalia ups quadro alimentazione</v>
      </c>
      <c r="G401" s="37" t="s">
        <v>53</v>
      </c>
      <c r="H401" s="38" t="s">
        <v>790</v>
      </c>
      <c r="I401" s="38" t="s">
        <v>791</v>
      </c>
      <c r="J401" s="39" t="s">
        <v>56</v>
      </c>
      <c r="K401" s="39" t="s">
        <v>104</v>
      </c>
      <c r="L401" s="40" t="s">
        <v>21</v>
      </c>
      <c r="M401" s="41" t="s">
        <v>22</v>
      </c>
      <c r="N401" s="42" t="s">
        <v>23</v>
      </c>
      <c r="O401" s="43" t="s">
        <v>24</v>
      </c>
      <c r="P401" s="42" t="s">
        <v>25</v>
      </c>
      <c r="Q401" s="42" t="s">
        <v>21</v>
      </c>
      <c r="R401" s="44"/>
    </row>
    <row r="402" spans="1:18" x14ac:dyDescent="0.25">
      <c r="A402" t="str">
        <f t="shared" si="12"/>
        <v>Impianto Bypass_Porta_APERTA-Allarme porta aperta</v>
      </c>
      <c r="B402" t="str">
        <f t="shared" si="13"/>
        <v>APERTA-Allarme porta aperta</v>
      </c>
      <c r="C402" t="str">
        <f>VLOOKUP(B402,'[2]Classi allarmi RMT-STIG_rev4'!$C:$C,1,0)</f>
        <v>APERTA-Allarme porta aperta</v>
      </c>
      <c r="D402" t="str">
        <f>VLOOKUP(B402,'EXPORT IRIS PROD 13-11-2024'!A:A,1,0)</f>
        <v>APERTA-Allarme porta aperta</v>
      </c>
      <c r="E402" t="str">
        <f>VLOOKUP(H402,'EXPORT IRIS PROD 13-11-2024'!F:F,1,0)</f>
        <v>APERTA</v>
      </c>
      <c r="F402" t="str">
        <f>VLOOKUP(I402,'EXPORT IRIS PROD 13-11-2024'!D:D,1,0)</f>
        <v>Allarme porta aperta</v>
      </c>
      <c r="G402" s="37" t="s">
        <v>576</v>
      </c>
      <c r="H402" s="38" t="s">
        <v>792</v>
      </c>
      <c r="I402" s="45" t="s">
        <v>793</v>
      </c>
      <c r="J402" s="46" t="s">
        <v>274</v>
      </c>
      <c r="K402" s="46" t="s">
        <v>794</v>
      </c>
      <c r="L402" s="47" t="s">
        <v>31</v>
      </c>
      <c r="M402" s="48" t="s">
        <v>32</v>
      </c>
      <c r="N402" s="43">
        <v>2</v>
      </c>
      <c r="O402" s="43" t="s">
        <v>157</v>
      </c>
      <c r="P402" s="43" t="s">
        <v>158</v>
      </c>
      <c r="Q402" s="42" t="s">
        <v>21</v>
      </c>
      <c r="R402" s="49"/>
    </row>
    <row r="403" spans="1:18" x14ac:dyDescent="0.25">
      <c r="A403" t="str">
        <f t="shared" si="12"/>
        <v>Impianto Videosorveglianza_SVR_AVARIA-Allarme avaria</v>
      </c>
      <c r="B403" t="str">
        <f t="shared" si="13"/>
        <v>AVARIA-Allarme avaria</v>
      </c>
      <c r="C403" t="str">
        <f>VLOOKUP(B403,'[2]Classi allarmi RMT-STIG_rev4'!$C:$C,1,0)</f>
        <v>AVARIA-Allarme avaria</v>
      </c>
      <c r="D403" t="str">
        <f>VLOOKUP(B403,'EXPORT IRIS PROD 13-11-2024'!A:A,1,0)</f>
        <v>AVARIA-Allarme avaria</v>
      </c>
      <c r="E403" t="str">
        <f>VLOOKUP(H403,'EXPORT IRIS PROD 13-11-2024'!F:F,1,0)</f>
        <v>AVARIA</v>
      </c>
      <c r="F403" t="str">
        <f>VLOOKUP(I403,'EXPORT IRIS PROD 13-11-2024'!D:D,1,0)</f>
        <v>Allarme avaria</v>
      </c>
      <c r="G403" s="37" t="s">
        <v>198</v>
      </c>
      <c r="H403" s="38" t="s">
        <v>795</v>
      </c>
      <c r="I403" s="38" t="s">
        <v>796</v>
      </c>
      <c r="J403" s="39" t="s">
        <v>201</v>
      </c>
      <c r="K403" s="39" t="s">
        <v>797</v>
      </c>
      <c r="L403" s="40" t="s">
        <v>21</v>
      </c>
      <c r="M403" s="41" t="s">
        <v>22</v>
      </c>
      <c r="N403" s="42" t="s">
        <v>23</v>
      </c>
      <c r="O403" s="43" t="s">
        <v>24</v>
      </c>
      <c r="P403" s="42" t="s">
        <v>25</v>
      </c>
      <c r="Q403" s="42" t="s">
        <v>21</v>
      </c>
      <c r="R403" s="44"/>
    </row>
    <row r="404" spans="1:18" x14ac:dyDescent="0.25">
      <c r="A404" t="str">
        <f t="shared" si="12"/>
        <v>Impianto Videosorveglianza_Telecamera Attiva_CAMERA_FAULT-Allarme camera KO</v>
      </c>
      <c r="B404" t="str">
        <f t="shared" si="13"/>
        <v>CAMERA_FAULT-Allarme camera KO</v>
      </c>
      <c r="C404" t="str">
        <f>VLOOKUP(B404,'[2]Classi allarmi RMT-STIG_rev4'!$C:$C,1,0)</f>
        <v>CAMERA_FAULT-Allarme camera KO</v>
      </c>
      <c r="D404" t="str">
        <f>VLOOKUP(B404,'EXPORT IRIS PROD 13-11-2024'!A:A,1,0)</f>
        <v>CAMERA_FAULT-Allarme camera KO</v>
      </c>
      <c r="E404" t="str">
        <f>VLOOKUP(H404,'EXPORT IRIS PROD 13-11-2024'!F:F,1,0)</f>
        <v>CAMERA_FAULT</v>
      </c>
      <c r="F404" t="str">
        <f>VLOOKUP(I404,'EXPORT IRIS PROD 13-11-2024'!D:D,1,0)</f>
        <v>Allarme camera KO</v>
      </c>
      <c r="G404" s="37" t="s">
        <v>198</v>
      </c>
      <c r="H404" s="38" t="s">
        <v>798</v>
      </c>
      <c r="I404" s="38" t="s">
        <v>799</v>
      </c>
      <c r="J404" s="39" t="s">
        <v>201</v>
      </c>
      <c r="K404" s="39" t="s">
        <v>533</v>
      </c>
      <c r="L404" s="40" t="s">
        <v>21</v>
      </c>
      <c r="M404" s="41" t="s">
        <v>22</v>
      </c>
      <c r="N404" s="42" t="s">
        <v>23</v>
      </c>
      <c r="O404" s="43" t="s">
        <v>24</v>
      </c>
      <c r="P404" s="42" t="s">
        <v>25</v>
      </c>
      <c r="Q404" s="42" t="s">
        <v>21</v>
      </c>
      <c r="R404" s="44"/>
    </row>
    <row r="405" spans="1:18" x14ac:dyDescent="0.25">
      <c r="A405" t="str">
        <f t="shared" si="12"/>
        <v>Impianto Elettrico_Trasformatore_CENTRALINA_FAULT-Allarme centralina termometrica trasformatore</v>
      </c>
      <c r="B405" t="str">
        <f t="shared" si="13"/>
        <v>CENTRALINA_FAULT-Allarme centralina termometrica trasformatore</v>
      </c>
      <c r="C405" t="str">
        <f>VLOOKUP(B405,'[2]Classi allarmi RMT-STIG_rev4'!$C:$C,1,0)</f>
        <v>CENTRALINA_FAULT-Allarme centralina termometrica trasformatore</v>
      </c>
      <c r="D405" t="str">
        <f>VLOOKUP(B405,'EXPORT IRIS PROD 13-11-2024'!A:A,1,0)</f>
        <v>CENTRALINA_FAULT-Allarme centralina termometrica trasformatore</v>
      </c>
      <c r="E405" t="str">
        <f>VLOOKUP(H405,'EXPORT IRIS PROD 13-11-2024'!F:F,1,0)</f>
        <v>CENTRALINA_FAULT</v>
      </c>
      <c r="F405" t="str">
        <f>VLOOKUP(I405,'EXPORT IRIS PROD 13-11-2024'!D:D,1,0)</f>
        <v>Allarme centralina termometrica trasformatore</v>
      </c>
      <c r="G405" s="37" t="s">
        <v>53</v>
      </c>
      <c r="H405" s="38" t="s">
        <v>800</v>
      </c>
      <c r="I405" s="38" t="s">
        <v>801</v>
      </c>
      <c r="J405" s="39" t="s">
        <v>56</v>
      </c>
      <c r="K405" s="39" t="s">
        <v>208</v>
      </c>
      <c r="L405" s="40" t="s">
        <v>21</v>
      </c>
      <c r="M405" s="41" t="s">
        <v>22</v>
      </c>
      <c r="N405" s="42" t="s">
        <v>23</v>
      </c>
      <c r="O405" s="43" t="s">
        <v>24</v>
      </c>
      <c r="P405" s="42" t="s">
        <v>25</v>
      </c>
      <c r="Q405" s="42" t="s">
        <v>21</v>
      </c>
      <c r="R405" s="44"/>
    </row>
    <row r="406" spans="1:18" x14ac:dyDescent="0.25">
      <c r="A406" t="str">
        <f t="shared" si="12"/>
        <v>Impianto Rilevazione Incendio_Centralina rilevazione incendio_CENTRALINA_FAULT_CANNA_NORD-Guasto centralina rilevazione incendio canna nord</v>
      </c>
      <c r="B406" t="str">
        <f t="shared" si="13"/>
        <v>CENTRALINA_FAULT_CANNA_NORD-Guasto centralina rilevazione incendio canna nord</v>
      </c>
      <c r="C406" t="str">
        <f>VLOOKUP(B406,'[2]Classi allarmi RMT-STIG_rev4'!$C:$C,1,0)</f>
        <v>CENTRALINA_FAULT_CANNA_NORD-Guasto centralina rilevazione incendio canna nord</v>
      </c>
      <c r="D406" t="str">
        <f>VLOOKUP(B406,'EXPORT IRIS PROD 13-11-2024'!A:A,1,0)</f>
        <v>CENTRALINA_FAULT_CANNA_NORD-Guasto centralina rilevazione incendio canna nord</v>
      </c>
      <c r="E406" t="str">
        <f>VLOOKUP(H406,'EXPORT IRIS PROD 13-11-2024'!F:F,1,0)</f>
        <v>CENTRALINA_FAULT_CANNA_NORD</v>
      </c>
      <c r="F406" t="str">
        <f>VLOOKUP(I406,'EXPORT IRIS PROD 13-11-2024'!D:D,1,0)</f>
        <v>Guasto centralina rilevazione incendio canna nord</v>
      </c>
      <c r="G406" s="37" t="s">
        <v>105</v>
      </c>
      <c r="H406" s="38" t="s">
        <v>802</v>
      </c>
      <c r="I406" s="38" t="s">
        <v>803</v>
      </c>
      <c r="J406" s="39" t="s">
        <v>43</v>
      </c>
      <c r="K406" s="39" t="s">
        <v>108</v>
      </c>
      <c r="L406" s="40" t="s">
        <v>31</v>
      </c>
      <c r="M406" s="41" t="s">
        <v>32</v>
      </c>
      <c r="N406" s="42">
        <v>3</v>
      </c>
      <c r="O406" s="43" t="s">
        <v>33</v>
      </c>
      <c r="P406" s="42" t="s">
        <v>34</v>
      </c>
      <c r="Q406" s="42" t="s">
        <v>31</v>
      </c>
      <c r="R406" s="44"/>
    </row>
    <row r="407" spans="1:18" x14ac:dyDescent="0.25">
      <c r="A407" t="str">
        <f t="shared" si="12"/>
        <v>Impianto Rilevazione Incendio_Centralina rilevazione incendio_CENTRALINA_FAULT_CANNA_SUD-Guasto centralina rilevazione incendio canna sud</v>
      </c>
      <c r="B407" t="str">
        <f t="shared" si="13"/>
        <v>CENTRALINA_FAULT_CANNA_SUD-Guasto centralina rilevazione incendio canna sud</v>
      </c>
      <c r="C407" t="str">
        <f>VLOOKUP(B407,'[2]Classi allarmi RMT-STIG_rev4'!$C:$C,1,0)</f>
        <v>CENTRALINA_FAULT_CANNA_SUD-Guasto centralina rilevazione incendio canna sud</v>
      </c>
      <c r="D407" t="str">
        <f>VLOOKUP(B407,'EXPORT IRIS PROD 13-11-2024'!A:A,1,0)</f>
        <v>CENTRALINA_FAULT_CANNA_SUD-Guasto centralina rilevazione incendio canna sud</v>
      </c>
      <c r="E407" t="str">
        <f>VLOOKUP(H407,'EXPORT IRIS PROD 13-11-2024'!F:F,1,0)</f>
        <v>CENTRALINA_FAULT_CANNA_SUD</v>
      </c>
      <c r="F407" t="str">
        <f>VLOOKUP(I407,'EXPORT IRIS PROD 13-11-2024'!D:D,1,0)</f>
        <v>Guasto centralina rilevazione incendio canna sud</v>
      </c>
      <c r="G407" s="37" t="s">
        <v>105</v>
      </c>
      <c r="H407" s="38" t="s">
        <v>804</v>
      </c>
      <c r="I407" s="38" t="s">
        <v>805</v>
      </c>
      <c r="J407" s="39" t="s">
        <v>43</v>
      </c>
      <c r="K407" s="39" t="s">
        <v>108</v>
      </c>
      <c r="L407" s="40" t="s">
        <v>31</v>
      </c>
      <c r="M407" s="41" t="s">
        <v>32</v>
      </c>
      <c r="N407" s="42">
        <v>3</v>
      </c>
      <c r="O407" s="43" t="s">
        <v>33</v>
      </c>
      <c r="P407" s="42" t="s">
        <v>34</v>
      </c>
      <c r="Q407" s="42" t="s">
        <v>31</v>
      </c>
      <c r="R407" s="44"/>
    </row>
    <row r="408" spans="1:18" x14ac:dyDescent="0.25">
      <c r="A408" t="str">
        <f t="shared" si="12"/>
        <v>Impianto Ventilazione_CO_CO_GUASTO-Allarme guasto sensore CO</v>
      </c>
      <c r="B408" t="str">
        <f t="shared" si="13"/>
        <v>CO_GUASTO-Allarme guasto sensore CO</v>
      </c>
      <c r="C408" t="str">
        <f>VLOOKUP(B408,'[2]Classi allarmi RMT-STIG_rev4'!$C:$C,1,0)</f>
        <v>CO_GUASTO-Allarme guasto sensore CO</v>
      </c>
      <c r="D408" t="str">
        <f>VLOOKUP(B408,'EXPORT IRIS PROD 13-11-2024'!A:A,1,0)</f>
        <v>CO_GUASTO-Allarme guasto sensore CO</v>
      </c>
      <c r="E408" t="str">
        <f>VLOOKUP(H408,'EXPORT IRIS PROD 13-11-2024'!F:F,1,0)</f>
        <v>CO_GUASTO</v>
      </c>
      <c r="F408" t="str">
        <f>VLOOKUP(I408,'EXPORT IRIS PROD 13-11-2024'!D:D,1,0)</f>
        <v>Allarme guasto sensore CO</v>
      </c>
      <c r="G408" s="37" t="s">
        <v>85</v>
      </c>
      <c r="H408" s="38" t="s">
        <v>806</v>
      </c>
      <c r="I408" s="38" t="s">
        <v>514</v>
      </c>
      <c r="J408" s="39" t="s">
        <v>50</v>
      </c>
      <c r="K408" s="50" t="s">
        <v>51</v>
      </c>
      <c r="L408" s="40" t="s">
        <v>21</v>
      </c>
      <c r="M408" s="41" t="s">
        <v>22</v>
      </c>
      <c r="N408" s="42" t="s">
        <v>23</v>
      </c>
      <c r="O408" s="43" t="s">
        <v>24</v>
      </c>
      <c r="P408" s="42" t="s">
        <v>25</v>
      </c>
      <c r="Q408" s="42" t="s">
        <v>21</v>
      </c>
      <c r="R408" s="44"/>
    </row>
    <row r="409" spans="1:18" x14ac:dyDescent="0.25">
      <c r="A409" t="str">
        <f t="shared" si="12"/>
        <v>Impianto Videosorveglianza_Telecamera attiva_CODA-Allarme coda in galleria</v>
      </c>
      <c r="B409" t="str">
        <f t="shared" si="13"/>
        <v>CODA-Allarme coda in galleria</v>
      </c>
      <c r="C409" t="str">
        <f>VLOOKUP(B409,'[2]Classi allarmi RMT-STIG_rev4'!$C:$C,1,0)</f>
        <v>CODA-Allarme coda in galleria</v>
      </c>
      <c r="D409" t="str">
        <f>VLOOKUP(B409,'EXPORT IRIS PROD 13-11-2024'!A:A,1,0)</f>
        <v>CODA-Allarme coda in galleria</v>
      </c>
      <c r="E409" t="str">
        <f>VLOOKUP(H409,'EXPORT IRIS PROD 13-11-2024'!F:F,1,0)</f>
        <v>CODA</v>
      </c>
      <c r="F409" t="str">
        <f>VLOOKUP(I409,'EXPORT IRIS PROD 13-11-2024'!D:D,1,0)</f>
        <v>Allarme coda in galleria</v>
      </c>
      <c r="G409" s="37" t="s">
        <v>807</v>
      </c>
      <c r="H409" s="38" t="s">
        <v>808</v>
      </c>
      <c r="I409" s="45" t="s">
        <v>809</v>
      </c>
      <c r="J409" s="46" t="s">
        <v>201</v>
      </c>
      <c r="K409" s="46" t="s">
        <v>380</v>
      </c>
      <c r="L409" s="47" t="s">
        <v>31</v>
      </c>
      <c r="M409" s="48" t="s">
        <v>32</v>
      </c>
      <c r="N409" s="43">
        <v>1</v>
      </c>
      <c r="O409" s="43" t="s">
        <v>24</v>
      </c>
      <c r="P409" s="43" t="s">
        <v>25</v>
      </c>
      <c r="Q409" s="42" t="s">
        <v>21</v>
      </c>
      <c r="R409" s="49"/>
    </row>
    <row r="410" spans="1:18" x14ac:dyDescent="0.25">
      <c r="A410" t="str">
        <f t="shared" si="12"/>
        <v>Impianto Videosorveglianza_Telecamera passiva_CODA-Allarme coda in galleria</v>
      </c>
      <c r="B410" t="str">
        <f t="shared" si="13"/>
        <v>CODA-Allarme coda in galleria</v>
      </c>
      <c r="C410" t="str">
        <f>VLOOKUP(B410,'[2]Classi allarmi RMT-STIG_rev4'!$C:$C,1,0)</f>
        <v>CODA-Allarme coda in galleria</v>
      </c>
      <c r="D410" t="str">
        <f>VLOOKUP(B410,'EXPORT IRIS PROD 13-11-2024'!A:A,1,0)</f>
        <v>CODA-Allarme coda in galleria</v>
      </c>
      <c r="E410" t="str">
        <f>VLOOKUP(H410,'EXPORT IRIS PROD 13-11-2024'!F:F,1,0)</f>
        <v>CODA</v>
      </c>
      <c r="F410" t="str">
        <f>VLOOKUP(I410,'EXPORT IRIS PROD 13-11-2024'!D:D,1,0)</f>
        <v>Allarme coda in galleria</v>
      </c>
      <c r="G410" s="37" t="s">
        <v>807</v>
      </c>
      <c r="H410" s="38" t="s">
        <v>808</v>
      </c>
      <c r="I410" s="45" t="s">
        <v>809</v>
      </c>
      <c r="J410" s="46" t="s">
        <v>201</v>
      </c>
      <c r="K410" s="46" t="s">
        <v>263</v>
      </c>
      <c r="L410" s="47" t="s">
        <v>31</v>
      </c>
      <c r="M410" s="48" t="s">
        <v>32</v>
      </c>
      <c r="N410" s="43">
        <v>1</v>
      </c>
      <c r="O410" s="43" t="s">
        <v>24</v>
      </c>
      <c r="P410" s="43" t="s">
        <v>25</v>
      </c>
      <c r="Q410" s="42" t="s">
        <v>21</v>
      </c>
      <c r="R410" s="49"/>
    </row>
    <row r="411" spans="1:18" x14ac:dyDescent="0.25">
      <c r="A411" t="str">
        <f t="shared" si="12"/>
        <v>Impianto Videosorveglianza_Telecamera attiva_CODA_CORSIA_2-Allarme coda in corsia di marcia</v>
      </c>
      <c r="B411" t="str">
        <f t="shared" si="13"/>
        <v>CODA_CORSIA_2-Allarme coda in corsia di marcia</v>
      </c>
      <c r="C411" t="str">
        <f>VLOOKUP(B411,'[2]Classi allarmi RMT-STIG_rev4'!$C:$C,1,0)</f>
        <v>CODA_CORSIA_2-Allarme coda in corsia di marcia</v>
      </c>
      <c r="D411" t="str">
        <f>VLOOKUP(B411,'EXPORT IRIS PROD 13-11-2024'!A:A,1,0)</f>
        <v>CODA_CORSIA_2-Allarme coda in corsia di marcia</v>
      </c>
      <c r="E411" t="str">
        <f>VLOOKUP(H411,'EXPORT IRIS PROD 13-11-2024'!F:F,1,0)</f>
        <v>CODA_CORSIA_2</v>
      </c>
      <c r="F411" t="str">
        <f>VLOOKUP(I411,'EXPORT IRIS PROD 13-11-2024'!D:D,1,0)</f>
        <v>Allarme coda in corsia di marcia</v>
      </c>
      <c r="G411" s="37" t="s">
        <v>807</v>
      </c>
      <c r="H411" s="38" t="s">
        <v>810</v>
      </c>
      <c r="I411" s="45" t="s">
        <v>811</v>
      </c>
      <c r="J411" s="46" t="s">
        <v>201</v>
      </c>
      <c r="K411" s="46" t="s">
        <v>380</v>
      </c>
      <c r="L411" s="47" t="s">
        <v>31</v>
      </c>
      <c r="M411" s="48" t="s">
        <v>32</v>
      </c>
      <c r="N411" s="43">
        <v>1</v>
      </c>
      <c r="O411" s="43" t="s">
        <v>24</v>
      </c>
      <c r="P411" s="43" t="s">
        <v>25</v>
      </c>
      <c r="Q411" s="42" t="s">
        <v>21</v>
      </c>
      <c r="R411" s="49"/>
    </row>
    <row r="412" spans="1:18" x14ac:dyDescent="0.25">
      <c r="A412" t="str">
        <f t="shared" si="12"/>
        <v>Impianto Videosorveglianza_Telecamera passiva_CODA_CORSIA_2-Allarme coda in corsia di marcia</v>
      </c>
      <c r="B412" t="str">
        <f t="shared" si="13"/>
        <v>CODA_CORSIA_2-Allarme coda in corsia di marcia</v>
      </c>
      <c r="C412" t="str">
        <f>VLOOKUP(B412,'[2]Classi allarmi RMT-STIG_rev4'!$C:$C,1,0)</f>
        <v>CODA_CORSIA_2-Allarme coda in corsia di marcia</v>
      </c>
      <c r="D412" t="str">
        <f>VLOOKUP(B412,'EXPORT IRIS PROD 13-11-2024'!A:A,1,0)</f>
        <v>CODA_CORSIA_2-Allarme coda in corsia di marcia</v>
      </c>
      <c r="E412" t="str">
        <f>VLOOKUP(H412,'EXPORT IRIS PROD 13-11-2024'!F:F,1,0)</f>
        <v>CODA_CORSIA_2</v>
      </c>
      <c r="F412" t="str">
        <f>VLOOKUP(I412,'EXPORT IRIS PROD 13-11-2024'!D:D,1,0)</f>
        <v>Allarme coda in corsia di marcia</v>
      </c>
      <c r="G412" s="37" t="s">
        <v>807</v>
      </c>
      <c r="H412" s="38" t="s">
        <v>810</v>
      </c>
      <c r="I412" s="45" t="s">
        <v>811</v>
      </c>
      <c r="J412" s="46" t="s">
        <v>201</v>
      </c>
      <c r="K412" s="46" t="s">
        <v>263</v>
      </c>
      <c r="L412" s="47" t="s">
        <v>31</v>
      </c>
      <c r="M412" s="48" t="s">
        <v>32</v>
      </c>
      <c r="N412" s="43">
        <v>1</v>
      </c>
      <c r="O412" s="43" t="s">
        <v>24</v>
      </c>
      <c r="P412" s="43" t="s">
        <v>25</v>
      </c>
      <c r="Q412" s="42" t="s">
        <v>21</v>
      </c>
      <c r="R412" s="49"/>
    </row>
    <row r="413" spans="1:18" x14ac:dyDescent="0.25">
      <c r="A413" t="str">
        <f t="shared" si="12"/>
        <v>Impianto Videosorveglianza_Telecamera attiva_CODA_CORSIA_3-Allarme coda in corsia di sorpasso</v>
      </c>
      <c r="B413" t="str">
        <f t="shared" si="13"/>
        <v>CODA_CORSIA_3-Allarme coda in corsia di sorpasso</v>
      </c>
      <c r="C413" t="str">
        <f>VLOOKUP(B413,'[2]Classi allarmi RMT-STIG_rev4'!$C:$C,1,0)</f>
        <v>CODA_CORSIA_3-Allarme coda in corsia di sorpasso</v>
      </c>
      <c r="D413" t="str">
        <f>VLOOKUP(B413,'EXPORT IRIS PROD 13-11-2024'!A:A,1,0)</f>
        <v>CODA_CORSIA_3-Allarme coda in corsia di sorpasso</v>
      </c>
      <c r="E413" t="str">
        <f>VLOOKUP(H413,'EXPORT IRIS PROD 13-11-2024'!F:F,1,0)</f>
        <v>CODA_CORSIA_3</v>
      </c>
      <c r="F413" t="str">
        <f>VLOOKUP(I413,'EXPORT IRIS PROD 13-11-2024'!D:D,1,0)</f>
        <v>Allarme coda in corsia di sorpasso</v>
      </c>
      <c r="G413" s="37" t="s">
        <v>807</v>
      </c>
      <c r="H413" s="38" t="s">
        <v>812</v>
      </c>
      <c r="I413" s="45" t="s">
        <v>813</v>
      </c>
      <c r="J413" s="46" t="s">
        <v>201</v>
      </c>
      <c r="K413" s="46" t="s">
        <v>380</v>
      </c>
      <c r="L413" s="47" t="s">
        <v>31</v>
      </c>
      <c r="M413" s="48" t="s">
        <v>32</v>
      </c>
      <c r="N413" s="43">
        <v>1</v>
      </c>
      <c r="O413" s="43" t="s">
        <v>24</v>
      </c>
      <c r="P413" s="43" t="s">
        <v>25</v>
      </c>
      <c r="Q413" s="42" t="s">
        <v>21</v>
      </c>
      <c r="R413" s="49"/>
    </row>
    <row r="414" spans="1:18" customFormat="1" x14ac:dyDescent="0.25">
      <c r="A414" t="str">
        <f t="shared" si="12"/>
        <v>Impianto Videosorveglianza_Telecamera passiva_CODA_CORSIA_3-Allarme coda in corsia di sorpasso</v>
      </c>
      <c r="B414" t="str">
        <f t="shared" si="13"/>
        <v>CODA_CORSIA_3-Allarme coda in corsia di sorpasso</v>
      </c>
      <c r="C414" t="str">
        <f>VLOOKUP(B414,'[2]Classi allarmi RMT-STIG_rev4'!$C:$C,1,0)</f>
        <v>CODA_CORSIA_3-Allarme coda in corsia di sorpasso</v>
      </c>
      <c r="D414" t="str">
        <f>VLOOKUP(B414,'EXPORT IRIS PROD 13-11-2024'!A:A,1,0)</f>
        <v>CODA_CORSIA_3-Allarme coda in corsia di sorpasso</v>
      </c>
      <c r="E414" t="str">
        <f>VLOOKUP(H414,'EXPORT IRIS PROD 13-11-2024'!F:F,1,0)</f>
        <v>CODA_CORSIA_3</v>
      </c>
      <c r="F414" t="str">
        <f>VLOOKUP(I414,'EXPORT IRIS PROD 13-11-2024'!D:D,1,0)</f>
        <v>Allarme coda in corsia di sorpasso</v>
      </c>
      <c r="G414" s="37" t="s">
        <v>807</v>
      </c>
      <c r="H414" s="38" t="s">
        <v>812</v>
      </c>
      <c r="I414" s="45" t="s">
        <v>813</v>
      </c>
      <c r="J414" s="46" t="s">
        <v>201</v>
      </c>
      <c r="K414" s="46" t="s">
        <v>263</v>
      </c>
      <c r="L414" s="47" t="s">
        <v>31</v>
      </c>
      <c r="M414" s="48" t="s">
        <v>32</v>
      </c>
      <c r="N414" s="43">
        <v>1</v>
      </c>
      <c r="O414" s="43" t="s">
        <v>24</v>
      </c>
      <c r="P414" s="43" t="s">
        <v>25</v>
      </c>
      <c r="Q414" s="42" t="s">
        <v>21</v>
      </c>
      <c r="R414" s="49"/>
    </row>
    <row r="415" spans="1:18" customFormat="1" x14ac:dyDescent="0.25">
      <c r="A415" t="str">
        <f t="shared" si="12"/>
        <v>Impianto Videosorveglianza_Telecamera passiva_CODA_DIR_NORD-Allarme coda direzione Nord</v>
      </c>
      <c r="B415" t="str">
        <f t="shared" si="13"/>
        <v>CODA_DIR_NORD-Allarme coda direzione Nord</v>
      </c>
      <c r="C415" t="str">
        <f>VLOOKUP(B415,'[2]Classi allarmi RMT-STIG_rev4'!$C:$C,1,0)</f>
        <v>CODA_DIR_NORD-Allarme coda direzione Nord</v>
      </c>
      <c r="D415" t="str">
        <f>VLOOKUP(B415,'EXPORT IRIS PROD 13-11-2024'!A:A,1,0)</f>
        <v>CODA_DIR_NORD-Allarme coda direzione Nord</v>
      </c>
      <c r="E415" t="str">
        <f>VLOOKUP(H415,'EXPORT IRIS PROD 13-11-2024'!F:F,1,0)</f>
        <v>CODA_DIR_NORD</v>
      </c>
      <c r="F415" t="str">
        <f>VLOOKUP(I415,'EXPORT IRIS PROD 13-11-2024'!D:D,1,0)</f>
        <v>Allarme coda direzione Nord</v>
      </c>
      <c r="G415" s="37" t="s">
        <v>807</v>
      </c>
      <c r="H415" s="38" t="s">
        <v>814</v>
      </c>
      <c r="I415" s="45" t="s">
        <v>815</v>
      </c>
      <c r="J415" s="46" t="s">
        <v>201</v>
      </c>
      <c r="K415" s="46" t="s">
        <v>263</v>
      </c>
      <c r="L415" s="47" t="s">
        <v>31</v>
      </c>
      <c r="M415" s="48" t="s">
        <v>32</v>
      </c>
      <c r="N415" s="43">
        <v>1</v>
      </c>
      <c r="O415" s="43" t="s">
        <v>24</v>
      </c>
      <c r="P415" s="43" t="s">
        <v>25</v>
      </c>
      <c r="Q415" s="42" t="s">
        <v>21</v>
      </c>
      <c r="R415" s="49"/>
    </row>
    <row r="416" spans="1:18" customFormat="1" x14ac:dyDescent="0.25">
      <c r="A416" t="str">
        <f t="shared" si="12"/>
        <v>Impianto Videosorveglianza_Telecamera passiva_CODA_DIR_SUD-Allarme coda direzione Sud</v>
      </c>
      <c r="B416" t="str">
        <f t="shared" si="13"/>
        <v>CODA_DIR_SUD-Allarme coda direzione Sud</v>
      </c>
      <c r="C416" t="str">
        <f>VLOOKUP(B416,'[2]Classi allarmi RMT-STIG_rev4'!$C:$C,1,0)</f>
        <v>CODA_DIR_SUD-Allarme coda direzione Sud</v>
      </c>
      <c r="D416" t="str">
        <f>VLOOKUP(B416,'EXPORT IRIS PROD 13-11-2024'!A:A,1,0)</f>
        <v>CODA_DIR_SUD-Allarme coda direzione Sud</v>
      </c>
      <c r="E416" t="str">
        <f>VLOOKUP(H416,'EXPORT IRIS PROD 13-11-2024'!F:F,1,0)</f>
        <v>CODA_DIR_SUD</v>
      </c>
      <c r="F416" t="str">
        <f>VLOOKUP(I416,'EXPORT IRIS PROD 13-11-2024'!D:D,1,0)</f>
        <v>Allarme coda direzione Sud</v>
      </c>
      <c r="G416" s="37" t="s">
        <v>807</v>
      </c>
      <c r="H416" s="38" t="s">
        <v>816</v>
      </c>
      <c r="I416" s="45" t="s">
        <v>817</v>
      </c>
      <c r="J416" s="46" t="s">
        <v>201</v>
      </c>
      <c r="K416" s="46" t="s">
        <v>263</v>
      </c>
      <c r="L416" s="47" t="s">
        <v>31</v>
      </c>
      <c r="M416" s="48" t="s">
        <v>32</v>
      </c>
      <c r="N416" s="43">
        <v>1</v>
      </c>
      <c r="O416" s="43" t="s">
        <v>24</v>
      </c>
      <c r="P416" s="43" t="s">
        <v>25</v>
      </c>
      <c r="Q416" s="42" t="s">
        <v>21</v>
      </c>
      <c r="R416" s="49"/>
    </row>
    <row r="417" spans="1:18" customFormat="1" x14ac:dyDescent="0.25">
      <c r="A417" t="str">
        <f t="shared" si="12"/>
        <v>Impianto Videosorveglianza_Telecamera Attiva_CUMULATIVO_CAMERA-Allarme cumulativo camera</v>
      </c>
      <c r="B417" t="str">
        <f t="shared" si="13"/>
        <v>CUMULATIVO_CAMERA-Allarme cumulativo camera</v>
      </c>
      <c r="C417" t="str">
        <f>VLOOKUP(B417,'[2]Classi allarmi RMT-STIG_rev4'!$C:$C,1,0)</f>
        <v>CUMULATIVO_CAMERA-Allarme cumulativo camera</v>
      </c>
      <c r="D417" t="str">
        <f>VLOOKUP(B417,'EXPORT IRIS PROD 13-11-2024'!A:A,1,0)</f>
        <v>CUMULATIVO_CAMERA-Allarme cumulativo camera</v>
      </c>
      <c r="E417" t="str">
        <f>VLOOKUP(H417,'EXPORT IRIS PROD 13-11-2024'!F:F,1,0)</f>
        <v>CUMULATIVO_CAMERA</v>
      </c>
      <c r="F417" t="str">
        <f>VLOOKUP(I417,'EXPORT IRIS PROD 13-11-2024'!D:D,1,0)</f>
        <v>Allarme cumulativo camera</v>
      </c>
      <c r="G417" s="37" t="s">
        <v>198</v>
      </c>
      <c r="H417" s="38" t="s">
        <v>818</v>
      </c>
      <c r="I417" s="38" t="s">
        <v>819</v>
      </c>
      <c r="J417" s="39" t="s">
        <v>201</v>
      </c>
      <c r="K417" s="39" t="s">
        <v>533</v>
      </c>
      <c r="L417" s="40" t="s">
        <v>21</v>
      </c>
      <c r="M417" s="41" t="s">
        <v>22</v>
      </c>
      <c r="N417" s="42" t="s">
        <v>23</v>
      </c>
      <c r="O417" s="43" t="s">
        <v>24</v>
      </c>
      <c r="P417" s="42" t="s">
        <v>25</v>
      </c>
      <c r="Q417" s="42" t="s">
        <v>21</v>
      </c>
      <c r="R417" s="44"/>
    </row>
    <row r="418" spans="1:18" x14ac:dyDescent="0.25">
      <c r="A418" t="str">
        <f t="shared" si="12"/>
        <v>Impianto Rilevazione Incendio_Centralina rilevazione incendio_FAULT_LETT_PORTATA-Allarme lettura portata non riuscita</v>
      </c>
      <c r="B418" t="str">
        <f t="shared" si="13"/>
        <v>FAULT_LETT_PORTATA-Allarme lettura portata non riuscita</v>
      </c>
      <c r="C418" t="str">
        <f>VLOOKUP(B418,'[2]Classi allarmi RMT-STIG_rev4'!$C:$C,1,0)</f>
        <v>FAULT_LETT_PORTATA-Allarme lettura portata non riuscita</v>
      </c>
      <c r="D418" t="str">
        <f>VLOOKUP(B418,'EXPORT IRIS PROD 13-11-2024'!A:A,1,0)</f>
        <v>FAULT_LETT_PORTATA-Allarme lettura portata non riuscita</v>
      </c>
      <c r="E418" t="str">
        <f>VLOOKUP(H418,'EXPORT IRIS PROD 13-11-2024'!F:F,1,0)</f>
        <v>FAULT_LETT_PORTATA</v>
      </c>
      <c r="F418" t="str">
        <f>VLOOKUP(I418,'EXPORT IRIS PROD 13-11-2024'!D:D,1,0)</f>
        <v>Allarme lettura portata non riuscita</v>
      </c>
      <c r="G418" s="37" t="s">
        <v>105</v>
      </c>
      <c r="H418" s="38" t="s">
        <v>820</v>
      </c>
      <c r="I418" s="38" t="s">
        <v>821</v>
      </c>
      <c r="J418" s="39" t="s">
        <v>43</v>
      </c>
      <c r="K418" s="39" t="s">
        <v>108</v>
      </c>
      <c r="L418" s="40" t="s">
        <v>21</v>
      </c>
      <c r="M418" s="41" t="s">
        <v>22</v>
      </c>
      <c r="N418" s="42" t="s">
        <v>23</v>
      </c>
      <c r="O418" s="43" t="s">
        <v>24</v>
      </c>
      <c r="P418" s="42" t="s">
        <v>25</v>
      </c>
      <c r="Q418" s="42" t="s">
        <v>21</v>
      </c>
      <c r="R418" s="44"/>
    </row>
    <row r="419" spans="1:18" x14ac:dyDescent="0.25">
      <c r="A419" t="str">
        <f t="shared" si="12"/>
        <v>Impianto Videosorveglianza_Telecamere passiva_FORTE_RALLENTAMENTO-Allarme forte rallentamento</v>
      </c>
      <c r="B419" t="str">
        <f t="shared" si="13"/>
        <v>FORTE_RALLENTAMENTO-Allarme forte rallentamento</v>
      </c>
      <c r="C419" t="str">
        <f>VLOOKUP(B419,'[2]Classi allarmi RMT-STIG_rev4'!$C:$C,1,0)</f>
        <v>FORTE_RALLENTAMENTO-Allarme forte rallentamento</v>
      </c>
      <c r="D419" t="str">
        <f>VLOOKUP(B419,'EXPORT IRIS PROD 13-11-2024'!A:A,1,0)</f>
        <v>FORTE_RALLENTAMENTO-Allarme forte rallentamento</v>
      </c>
      <c r="E419" t="str">
        <f>VLOOKUP(H419,'EXPORT IRIS PROD 13-11-2024'!F:F,1,0)</f>
        <v>FORTE_RALLENTAMENTO</v>
      </c>
      <c r="F419" t="str">
        <f>VLOOKUP(I419,'EXPORT IRIS PROD 13-11-2024'!D:D,1,0)</f>
        <v>Allarme forte rallentamento</v>
      </c>
      <c r="G419" s="37" t="s">
        <v>822</v>
      </c>
      <c r="H419" s="38" t="s">
        <v>823</v>
      </c>
      <c r="I419" s="45" t="s">
        <v>824</v>
      </c>
      <c r="J419" s="46" t="s">
        <v>201</v>
      </c>
      <c r="K419" s="46" t="s">
        <v>825</v>
      </c>
      <c r="L419" s="47" t="s">
        <v>31</v>
      </c>
      <c r="M419" s="48" t="s">
        <v>32</v>
      </c>
      <c r="N419" s="43">
        <v>1</v>
      </c>
      <c r="O419" s="43" t="s">
        <v>24</v>
      </c>
      <c r="P419" s="43" t="s">
        <v>25</v>
      </c>
      <c r="Q419" s="42" t="s">
        <v>21</v>
      </c>
      <c r="R419" s="49"/>
    </row>
    <row r="420" spans="1:18" x14ac:dyDescent="0.25">
      <c r="A420" t="str">
        <f t="shared" si="12"/>
        <v>Impianto Videosorveglianza_Telecamera passiva_FORTE_RALLENTAMENTO_CORSIA_1-Allarme forte rallentamento corsia di emergenza</v>
      </c>
      <c r="B420" t="str">
        <f t="shared" si="13"/>
        <v>FORTE_RALLENTAMENTO_CORSIA_1-Allarme forte rallentamento corsia di emergenza</v>
      </c>
      <c r="C420" t="str">
        <f>VLOOKUP(B420,'[2]Classi allarmi RMT-STIG_rev4'!$C:$C,1,0)</f>
        <v>FORTE_RALLENTAMENTO_CORSIA_1-Allarme forte rallentamento corsia di emergenza</v>
      </c>
      <c r="D420" t="str">
        <f>VLOOKUP(B420,'EXPORT IRIS PROD 13-11-2024'!A:A,1,0)</f>
        <v>FORTE_RALLENTAMENTO_CORSIA_1-Allarme forte rallentamento corsia di emergenza</v>
      </c>
      <c r="E420" t="str">
        <f>VLOOKUP(H420,'EXPORT IRIS PROD 13-11-2024'!F:F,1,0)</f>
        <v>FORTE_RALLENTAMENTO_CORSIA_1</v>
      </c>
      <c r="F420" t="str">
        <f>VLOOKUP(I420,'EXPORT IRIS PROD 13-11-2024'!D:D,1,0)</f>
        <v>Allarme forte rallentamento corsia di emergenza</v>
      </c>
      <c r="G420" s="37" t="s">
        <v>822</v>
      </c>
      <c r="H420" s="38" t="s">
        <v>826</v>
      </c>
      <c r="I420" s="45" t="s">
        <v>827</v>
      </c>
      <c r="J420" s="46" t="s">
        <v>201</v>
      </c>
      <c r="K420" s="46" t="s">
        <v>263</v>
      </c>
      <c r="L420" s="47" t="s">
        <v>31</v>
      </c>
      <c r="M420" s="48" t="s">
        <v>32</v>
      </c>
      <c r="N420" s="43">
        <v>1</v>
      </c>
      <c r="O420" s="43" t="s">
        <v>24</v>
      </c>
      <c r="P420" s="43" t="s">
        <v>25</v>
      </c>
      <c r="Q420" s="42" t="s">
        <v>21</v>
      </c>
      <c r="R420" s="49"/>
    </row>
    <row r="421" spans="1:18" customFormat="1" x14ac:dyDescent="0.25">
      <c r="A421" t="str">
        <f t="shared" si="12"/>
        <v>Impianto Videosorveglianza_Telecamera passiva_FORTE_RALLENTAMENTO_CORSIA_2-Allarme forte rallentamento corsia di marcia</v>
      </c>
      <c r="B421" t="str">
        <f t="shared" si="13"/>
        <v>FORTE_RALLENTAMENTO_CORSIA_2-Allarme forte rallentamento corsia di marcia</v>
      </c>
      <c r="C421" t="str">
        <f>VLOOKUP(B421,'[2]Classi allarmi RMT-STIG_rev4'!$C:$C,1,0)</f>
        <v>FORTE_RALLENTAMENTO_CORSIA_2-Allarme forte rallentamento corsia di marcia</v>
      </c>
      <c r="D421" t="str">
        <f>VLOOKUP(B421,'EXPORT IRIS PROD 13-11-2024'!A:A,1,0)</f>
        <v>FORTE_RALLENTAMENTO_CORSIA_2-Allarme forte rallentamento corsia di marcia</v>
      </c>
      <c r="E421" t="str">
        <f>VLOOKUP(H421,'EXPORT IRIS PROD 13-11-2024'!F:F,1,0)</f>
        <v>FORTE_RALLENTAMENTO_CORSIA_2</v>
      </c>
      <c r="F421" t="str">
        <f>VLOOKUP(I421,'EXPORT IRIS PROD 13-11-2024'!D:D,1,0)</f>
        <v>Allarme forte rallentamento corsia di marcia</v>
      </c>
      <c r="G421" s="37" t="s">
        <v>822</v>
      </c>
      <c r="H421" s="38" t="s">
        <v>828</v>
      </c>
      <c r="I421" s="45" t="s">
        <v>829</v>
      </c>
      <c r="J421" s="46" t="s">
        <v>201</v>
      </c>
      <c r="K421" s="46" t="s">
        <v>263</v>
      </c>
      <c r="L421" s="47" t="s">
        <v>31</v>
      </c>
      <c r="M421" s="48" t="s">
        <v>32</v>
      </c>
      <c r="N421" s="43">
        <v>1</v>
      </c>
      <c r="O421" s="43" t="s">
        <v>24</v>
      </c>
      <c r="P421" s="43" t="s">
        <v>25</v>
      </c>
      <c r="Q421" s="42" t="s">
        <v>21</v>
      </c>
      <c r="R421" s="49"/>
    </row>
    <row r="422" spans="1:18" x14ac:dyDescent="0.25">
      <c r="A422" t="str">
        <f t="shared" si="12"/>
        <v>Impianto Videosorveglianza_Telecamera passiva_FORTE_RALLENTAMENTO_CORSIA_3-Allarme forte rallentamento corsia veloce</v>
      </c>
      <c r="B422" t="str">
        <f t="shared" si="13"/>
        <v>FORTE_RALLENTAMENTO_CORSIA_3-Allarme forte rallentamento corsia veloce</v>
      </c>
      <c r="C422" t="str">
        <f>VLOOKUP(B422,'[2]Classi allarmi RMT-STIG_rev4'!$C:$C,1,0)</f>
        <v>FORTE_RALLENTAMENTO_CORSIA_3-Allarme forte rallentamento corsia veloce</v>
      </c>
      <c r="D422" t="str">
        <f>VLOOKUP(B422,'EXPORT IRIS PROD 13-11-2024'!A:A,1,0)</f>
        <v>FORTE_RALLENTAMENTO_CORSIA_3-Allarme forte rallentamento corsia veloce</v>
      </c>
      <c r="E422" t="str">
        <f>VLOOKUP(H422,'EXPORT IRIS PROD 13-11-2024'!F:F,1,0)</f>
        <v>FORTE_RALLENTAMENTO_CORSIA_3</v>
      </c>
      <c r="F422" t="str">
        <f>VLOOKUP(I422,'EXPORT IRIS PROD 13-11-2024'!D:D,1,0)</f>
        <v>Allarme forte rallentamento corsia veloce</v>
      </c>
      <c r="G422" s="37" t="s">
        <v>822</v>
      </c>
      <c r="H422" s="38" t="s">
        <v>830</v>
      </c>
      <c r="I422" s="45" t="s">
        <v>831</v>
      </c>
      <c r="J422" s="46" t="s">
        <v>201</v>
      </c>
      <c r="K422" s="46" t="s">
        <v>263</v>
      </c>
      <c r="L422" s="47" t="s">
        <v>31</v>
      </c>
      <c r="M422" s="48" t="s">
        <v>32</v>
      </c>
      <c r="N422" s="43">
        <v>1</v>
      </c>
      <c r="O422" s="43" t="s">
        <v>24</v>
      </c>
      <c r="P422" s="43" t="s">
        <v>25</v>
      </c>
      <c r="Q422" s="42" t="s">
        <v>21</v>
      </c>
      <c r="R422" s="49"/>
    </row>
    <row r="423" spans="1:18" customFormat="1" x14ac:dyDescent="0.25">
      <c r="A423" t="str">
        <f t="shared" si="12"/>
        <v>Impianto Videosorveglianza_Telecamera passiva_FORTE_RALLENTAMENTO_DIR_NORD-Allarme forte rallentamento direzione Nord</v>
      </c>
      <c r="B423" t="str">
        <f t="shared" si="13"/>
        <v>FORTE_RALLENTAMENTO_DIR_NORD-Allarme forte rallentamento direzione Nord</v>
      </c>
      <c r="C423" t="str">
        <f>VLOOKUP(B423,'[2]Classi allarmi RMT-STIG_rev4'!$C:$C,1,0)</f>
        <v>FORTE_RALLENTAMENTO_DIR_NORD-Allarme forte rallentamento direzione Nord</v>
      </c>
      <c r="D423" t="str">
        <f>VLOOKUP(B423,'EXPORT IRIS PROD 13-11-2024'!A:A,1,0)</f>
        <v>FORTE_RALLENTAMENTO_DIR_NORD-Allarme forte rallentamento direzione Nord</v>
      </c>
      <c r="E423" t="str">
        <f>VLOOKUP(H423,'EXPORT IRIS PROD 13-11-2024'!F:F,1,0)</f>
        <v>FORTE_RALLENTAMENTO_DIR_NORD</v>
      </c>
      <c r="F423" t="str">
        <f>VLOOKUP(I423,'EXPORT IRIS PROD 13-11-2024'!D:D,1,0)</f>
        <v>Allarme forte rallentamento direzione Nord</v>
      </c>
      <c r="G423" s="37" t="s">
        <v>822</v>
      </c>
      <c r="H423" s="38" t="s">
        <v>832</v>
      </c>
      <c r="I423" s="45" t="s">
        <v>833</v>
      </c>
      <c r="J423" s="46" t="s">
        <v>201</v>
      </c>
      <c r="K423" s="46" t="s">
        <v>263</v>
      </c>
      <c r="L423" s="47" t="s">
        <v>31</v>
      </c>
      <c r="M423" s="48" t="s">
        <v>32</v>
      </c>
      <c r="N423" s="43">
        <v>1</v>
      </c>
      <c r="O423" s="43" t="s">
        <v>24</v>
      </c>
      <c r="P423" s="43" t="s">
        <v>25</v>
      </c>
      <c r="Q423" s="42" t="s">
        <v>21</v>
      </c>
      <c r="R423" s="49"/>
    </row>
    <row r="424" spans="1:18" customFormat="1" x14ac:dyDescent="0.25">
      <c r="A424" t="str">
        <f t="shared" si="12"/>
        <v>Impianto Videosorveglianza_Telecamera passiva_FORTE_RALLENTAMENTO_DIR_SUD-Allarme forte rallentamento direzione Sud</v>
      </c>
      <c r="B424" t="str">
        <f t="shared" si="13"/>
        <v>FORTE_RALLENTAMENTO_DIR_SUD-Allarme forte rallentamento direzione Sud</v>
      </c>
      <c r="C424" t="str">
        <f>VLOOKUP(B424,'[2]Classi allarmi RMT-STIG_rev4'!$C:$C,1,0)</f>
        <v>FORTE_RALLENTAMENTO_DIR_SUD-Allarme forte rallentamento direzione Sud</v>
      </c>
      <c r="D424" t="str">
        <f>VLOOKUP(B424,'EXPORT IRIS PROD 13-11-2024'!A:A,1,0)</f>
        <v>FORTE_RALLENTAMENTO_DIR_SUD-Allarme forte rallentamento direzione Sud</v>
      </c>
      <c r="E424" t="str">
        <f>VLOOKUP(H424,'EXPORT IRIS PROD 13-11-2024'!F:F,1,0)</f>
        <v>FORTE_RALLENTAMENTO_DIR_SUD</v>
      </c>
      <c r="F424" t="str">
        <f>VLOOKUP(I424,'EXPORT IRIS PROD 13-11-2024'!D:D,1,0)</f>
        <v>Allarme forte rallentamento direzione Sud</v>
      </c>
      <c r="G424" s="37" t="s">
        <v>822</v>
      </c>
      <c r="H424" s="38" t="s">
        <v>834</v>
      </c>
      <c r="I424" s="45" t="s">
        <v>835</v>
      </c>
      <c r="J424" s="46" t="s">
        <v>201</v>
      </c>
      <c r="K424" s="46" t="s">
        <v>263</v>
      </c>
      <c r="L424" s="47" t="s">
        <v>31</v>
      </c>
      <c r="M424" s="48" t="s">
        <v>32</v>
      </c>
      <c r="N424" s="43">
        <v>1</v>
      </c>
      <c r="O424" s="43" t="s">
        <v>24</v>
      </c>
      <c r="P424" s="43" t="s">
        <v>25</v>
      </c>
      <c r="Q424" s="42" t="s">
        <v>21</v>
      </c>
      <c r="R424" s="49"/>
    </row>
    <row r="425" spans="1:18" customFormat="1" x14ac:dyDescent="0.25">
      <c r="A425" t="str">
        <f t="shared" si="12"/>
        <v>Impianto Videosorveglianza_Telecamera attiva_FUMO-Allarme fumo</v>
      </c>
      <c r="B425" t="str">
        <f t="shared" si="13"/>
        <v>FUMO-Allarme fumo</v>
      </c>
      <c r="C425" t="str">
        <f>VLOOKUP(B425,'[2]Classi allarmi RMT-STIG_rev4'!$C:$C,1,0)</f>
        <v>FUMO-Allarme fumo</v>
      </c>
      <c r="D425" t="str">
        <f>VLOOKUP(B425,'EXPORT IRIS PROD 13-11-2024'!A:A,1,0)</f>
        <v>FUMO-Allarme fumo</v>
      </c>
      <c r="E425" t="str">
        <f>VLOOKUP(H425,'EXPORT IRIS PROD 13-11-2024'!F:F,1,0)</f>
        <v>FUMO</v>
      </c>
      <c r="F425" t="str">
        <f>VLOOKUP(I425,'EXPORT IRIS PROD 13-11-2024'!D:D,1,0)</f>
        <v>Allarme fumo</v>
      </c>
      <c r="G425" s="37" t="s">
        <v>836</v>
      </c>
      <c r="H425" s="38" t="s">
        <v>837</v>
      </c>
      <c r="I425" s="45" t="s">
        <v>838</v>
      </c>
      <c r="J425" s="46" t="s">
        <v>201</v>
      </c>
      <c r="K425" s="46" t="s">
        <v>380</v>
      </c>
      <c r="L425" s="47" t="s">
        <v>31</v>
      </c>
      <c r="M425" s="48" t="s">
        <v>32</v>
      </c>
      <c r="N425" s="43">
        <v>2</v>
      </c>
      <c r="O425" s="43" t="s">
        <v>45</v>
      </c>
      <c r="P425" s="43" t="s">
        <v>46</v>
      </c>
      <c r="Q425" s="43" t="s">
        <v>31</v>
      </c>
      <c r="R425" s="49"/>
    </row>
    <row r="426" spans="1:18" customFormat="1" x14ac:dyDescent="0.25">
      <c r="A426" t="str">
        <f t="shared" si="12"/>
        <v>Impianto Videosorveglianza_Telecamera passiva_FUMO-Allarme fumo</v>
      </c>
      <c r="B426" t="str">
        <f t="shared" si="13"/>
        <v>FUMO-Allarme fumo</v>
      </c>
      <c r="C426" t="str">
        <f>VLOOKUP(B426,'[2]Classi allarmi RMT-STIG_rev4'!$C:$C,1,0)</f>
        <v>FUMO-Allarme fumo</v>
      </c>
      <c r="D426" t="str">
        <f>VLOOKUP(B426,'EXPORT IRIS PROD 13-11-2024'!A:A,1,0)</f>
        <v>FUMO-Allarme fumo</v>
      </c>
      <c r="E426" t="str">
        <f>VLOOKUP(H426,'EXPORT IRIS PROD 13-11-2024'!F:F,1,0)</f>
        <v>FUMO</v>
      </c>
      <c r="F426" t="str">
        <f>VLOOKUP(I426,'EXPORT IRIS PROD 13-11-2024'!D:D,1,0)</f>
        <v>Allarme fumo</v>
      </c>
      <c r="G426" s="37" t="s">
        <v>836</v>
      </c>
      <c r="H426" s="38" t="s">
        <v>837</v>
      </c>
      <c r="I426" s="45" t="s">
        <v>838</v>
      </c>
      <c r="J426" s="46" t="s">
        <v>201</v>
      </c>
      <c r="K426" s="46" t="s">
        <v>263</v>
      </c>
      <c r="L426" s="47" t="s">
        <v>31</v>
      </c>
      <c r="M426" s="48" t="s">
        <v>32</v>
      </c>
      <c r="N426" s="43">
        <v>2</v>
      </c>
      <c r="O426" s="43" t="s">
        <v>45</v>
      </c>
      <c r="P426" s="43" t="s">
        <v>46</v>
      </c>
      <c r="Q426" s="43" t="s">
        <v>31</v>
      </c>
      <c r="R426" s="49"/>
    </row>
    <row r="427" spans="1:18" customFormat="1" x14ac:dyDescent="0.25">
      <c r="A427" t="str">
        <f t="shared" si="12"/>
        <v>Impianto Videosorveglianza_Telecamera attiva_FUMO_CORSIA_1-Allarme fumo corsia di emergenza</v>
      </c>
      <c r="B427" t="str">
        <f t="shared" si="13"/>
        <v>FUMO_CORSIA_1-Allarme fumo corsia di emergenza</v>
      </c>
      <c r="C427" t="str">
        <f>VLOOKUP(B427,'[2]Classi allarmi RMT-STIG_rev4'!$C:$C,1,0)</f>
        <v>FUMO_CORSIA_1-Allarme fumo corsia di emergenza</v>
      </c>
      <c r="D427" t="str">
        <f>VLOOKUP(B427,'EXPORT IRIS PROD 13-11-2024'!A:A,1,0)</f>
        <v>FUMO_CORSIA_1-Allarme fumo corsia di emergenza</v>
      </c>
      <c r="E427" t="str">
        <f>VLOOKUP(H427,'EXPORT IRIS PROD 13-11-2024'!F:F,1,0)</f>
        <v>FUMO_CORSIA_1</v>
      </c>
      <c r="F427" t="str">
        <f>VLOOKUP(I427,'EXPORT IRIS PROD 13-11-2024'!D:D,1,0)</f>
        <v>Allarme fumo corsia di emergenza</v>
      </c>
      <c r="G427" s="37" t="s">
        <v>836</v>
      </c>
      <c r="H427" s="38" t="s">
        <v>839</v>
      </c>
      <c r="I427" s="45" t="s">
        <v>840</v>
      </c>
      <c r="J427" s="46" t="s">
        <v>201</v>
      </c>
      <c r="K427" s="46" t="s">
        <v>380</v>
      </c>
      <c r="L427" s="47" t="s">
        <v>31</v>
      </c>
      <c r="M427" s="48" t="s">
        <v>32</v>
      </c>
      <c r="N427" s="43">
        <v>2</v>
      </c>
      <c r="O427" s="43" t="s">
        <v>45</v>
      </c>
      <c r="P427" s="43" t="s">
        <v>46</v>
      </c>
      <c r="Q427" s="43" t="s">
        <v>31</v>
      </c>
      <c r="R427" s="49"/>
    </row>
    <row r="428" spans="1:18" customFormat="1" x14ac:dyDescent="0.25">
      <c r="A428" t="str">
        <f t="shared" si="12"/>
        <v>Impianto Videosorveglianza_Telecamera passiva_FUMO_CORSIA_1-Allarme fumo corsia di emergenza</v>
      </c>
      <c r="B428" t="str">
        <f t="shared" si="13"/>
        <v>FUMO_CORSIA_1-Allarme fumo corsia di emergenza</v>
      </c>
      <c r="C428" t="str">
        <f>VLOOKUP(B428,'[2]Classi allarmi RMT-STIG_rev4'!$C:$C,1,0)</f>
        <v>FUMO_CORSIA_1-Allarme fumo corsia di emergenza</v>
      </c>
      <c r="D428" t="str">
        <f>VLOOKUP(B428,'EXPORT IRIS PROD 13-11-2024'!A:A,1,0)</f>
        <v>FUMO_CORSIA_1-Allarme fumo corsia di emergenza</v>
      </c>
      <c r="E428" t="str">
        <f>VLOOKUP(H428,'EXPORT IRIS PROD 13-11-2024'!F:F,1,0)</f>
        <v>FUMO_CORSIA_1</v>
      </c>
      <c r="F428" t="str">
        <f>VLOOKUP(I428,'EXPORT IRIS PROD 13-11-2024'!D:D,1,0)</f>
        <v>Allarme fumo corsia di emergenza</v>
      </c>
      <c r="G428" s="37" t="s">
        <v>836</v>
      </c>
      <c r="H428" s="38" t="s">
        <v>839</v>
      </c>
      <c r="I428" s="45" t="s">
        <v>840</v>
      </c>
      <c r="J428" s="46" t="s">
        <v>201</v>
      </c>
      <c r="K428" s="46" t="s">
        <v>263</v>
      </c>
      <c r="L428" s="47" t="s">
        <v>31</v>
      </c>
      <c r="M428" s="48" t="s">
        <v>32</v>
      </c>
      <c r="N428" s="43">
        <v>2</v>
      </c>
      <c r="O428" s="43" t="s">
        <v>45</v>
      </c>
      <c r="P428" s="43" t="s">
        <v>46</v>
      </c>
      <c r="Q428" s="43" t="s">
        <v>31</v>
      </c>
      <c r="R428" s="49"/>
    </row>
    <row r="429" spans="1:18" customFormat="1" x14ac:dyDescent="0.25">
      <c r="A429" t="str">
        <f t="shared" si="12"/>
        <v>Impianto Videosorveglianza_Telecamera attiva_FUMO_CORSIA_2-Allarme fumo corsia di marcia</v>
      </c>
      <c r="B429" t="str">
        <f t="shared" si="13"/>
        <v>FUMO_CORSIA_2-Allarme fumo corsia di marcia</v>
      </c>
      <c r="C429" t="str">
        <f>VLOOKUP(B429,'[2]Classi allarmi RMT-STIG_rev4'!$C:$C,1,0)</f>
        <v>FUMO_CORSIA_2-Allarme fumo corsia di marcia</v>
      </c>
      <c r="D429" t="str">
        <f>VLOOKUP(B429,'EXPORT IRIS PROD 13-11-2024'!A:A,1,0)</f>
        <v>FUMO_CORSIA_2-Allarme fumo corsia di marcia</v>
      </c>
      <c r="E429" t="str">
        <f>VLOOKUP(H429,'EXPORT IRIS PROD 13-11-2024'!F:F,1,0)</f>
        <v>FUMO_CORSIA_2</v>
      </c>
      <c r="F429" t="str">
        <f>VLOOKUP(I429,'EXPORT IRIS PROD 13-11-2024'!D:D,1,0)</f>
        <v>Allarme fumo corsia di marcia</v>
      </c>
      <c r="G429" s="37" t="s">
        <v>836</v>
      </c>
      <c r="H429" s="38" t="s">
        <v>841</v>
      </c>
      <c r="I429" s="45" t="s">
        <v>842</v>
      </c>
      <c r="J429" s="46" t="s">
        <v>201</v>
      </c>
      <c r="K429" s="46" t="s">
        <v>380</v>
      </c>
      <c r="L429" s="47" t="s">
        <v>31</v>
      </c>
      <c r="M429" s="48" t="s">
        <v>32</v>
      </c>
      <c r="N429" s="43">
        <v>2</v>
      </c>
      <c r="O429" s="43" t="s">
        <v>45</v>
      </c>
      <c r="P429" s="43" t="s">
        <v>46</v>
      </c>
      <c r="Q429" s="43" t="s">
        <v>31</v>
      </c>
      <c r="R429" s="49"/>
    </row>
    <row r="430" spans="1:18" customFormat="1" x14ac:dyDescent="0.25">
      <c r="A430" t="str">
        <f t="shared" si="12"/>
        <v>Impianto Videosorveglianza_Telecamera passiva_FUMO_CORSIA_2-Allarme fumo corsia di marcia</v>
      </c>
      <c r="B430" t="str">
        <f t="shared" si="13"/>
        <v>FUMO_CORSIA_2-Allarme fumo corsia di marcia</v>
      </c>
      <c r="C430" t="str">
        <f>VLOOKUP(B430,'[2]Classi allarmi RMT-STIG_rev4'!$C:$C,1,0)</f>
        <v>FUMO_CORSIA_2-Allarme fumo corsia di marcia</v>
      </c>
      <c r="D430" t="str">
        <f>VLOOKUP(B430,'EXPORT IRIS PROD 13-11-2024'!A:A,1,0)</f>
        <v>FUMO_CORSIA_2-Allarme fumo corsia di marcia</v>
      </c>
      <c r="E430" t="str">
        <f>VLOOKUP(H430,'EXPORT IRIS PROD 13-11-2024'!F:F,1,0)</f>
        <v>FUMO_CORSIA_2</v>
      </c>
      <c r="F430" t="str">
        <f>VLOOKUP(I430,'EXPORT IRIS PROD 13-11-2024'!D:D,1,0)</f>
        <v>Allarme fumo corsia di marcia</v>
      </c>
      <c r="G430" s="37" t="s">
        <v>836</v>
      </c>
      <c r="H430" s="38" t="s">
        <v>841</v>
      </c>
      <c r="I430" s="45" t="s">
        <v>842</v>
      </c>
      <c r="J430" s="46" t="s">
        <v>201</v>
      </c>
      <c r="K430" s="46" t="s">
        <v>263</v>
      </c>
      <c r="L430" s="47" t="s">
        <v>31</v>
      </c>
      <c r="M430" s="48" t="s">
        <v>32</v>
      </c>
      <c r="N430" s="43">
        <v>2</v>
      </c>
      <c r="O430" s="43" t="s">
        <v>45</v>
      </c>
      <c r="P430" s="43" t="s">
        <v>46</v>
      </c>
      <c r="Q430" s="43" t="s">
        <v>31</v>
      </c>
      <c r="R430" s="49"/>
    </row>
    <row r="431" spans="1:18" customFormat="1" x14ac:dyDescent="0.25">
      <c r="A431" t="str">
        <f t="shared" si="12"/>
        <v>Impianto Videosorveglianza_Telecamera attiva_FUMO_CORSIA_3-Allarme fumo corsia veloce</v>
      </c>
      <c r="B431" t="str">
        <f t="shared" si="13"/>
        <v>FUMO_CORSIA_3-Allarme fumo corsia veloce</v>
      </c>
      <c r="C431" t="str">
        <f>VLOOKUP(B431,'[2]Classi allarmi RMT-STIG_rev4'!$C:$C,1,0)</f>
        <v>FUMO_CORSIA_3-Allarme fumo corsia veloce</v>
      </c>
      <c r="D431" t="str">
        <f>VLOOKUP(B431,'EXPORT IRIS PROD 13-11-2024'!A:A,1,0)</f>
        <v>FUMO_CORSIA_3-Allarme fumo corsia veloce</v>
      </c>
      <c r="E431" t="str">
        <f>VLOOKUP(H431,'EXPORT IRIS PROD 13-11-2024'!F:F,1,0)</f>
        <v>FUMO_CORSIA_3</v>
      </c>
      <c r="F431" t="str">
        <f>VLOOKUP(I431,'EXPORT IRIS PROD 13-11-2024'!D:D,1,0)</f>
        <v>Allarme fumo corsia veloce</v>
      </c>
      <c r="G431" s="37" t="s">
        <v>836</v>
      </c>
      <c r="H431" s="38" t="s">
        <v>843</v>
      </c>
      <c r="I431" s="45" t="s">
        <v>844</v>
      </c>
      <c r="J431" s="46" t="s">
        <v>201</v>
      </c>
      <c r="K431" s="46" t="s">
        <v>380</v>
      </c>
      <c r="L431" s="47" t="s">
        <v>31</v>
      </c>
      <c r="M431" s="48" t="s">
        <v>32</v>
      </c>
      <c r="N431" s="43">
        <v>2</v>
      </c>
      <c r="O431" s="43" t="s">
        <v>45</v>
      </c>
      <c r="P431" s="43" t="s">
        <v>46</v>
      </c>
      <c r="Q431" s="43" t="s">
        <v>31</v>
      </c>
      <c r="R431" s="49"/>
    </row>
    <row r="432" spans="1:18" customFormat="1" x14ac:dyDescent="0.25">
      <c r="A432" t="str">
        <f t="shared" si="12"/>
        <v>Impianto Videosorveglianza_Telecamera passiva_FUMO_CORSIA_3-Allarme fumo corsia veloce</v>
      </c>
      <c r="B432" t="str">
        <f t="shared" si="13"/>
        <v>FUMO_CORSIA_3-Allarme fumo corsia veloce</v>
      </c>
      <c r="C432" t="str">
        <f>VLOOKUP(B432,'[2]Classi allarmi RMT-STIG_rev4'!$C:$C,1,0)</f>
        <v>FUMO_CORSIA_3-Allarme fumo corsia veloce</v>
      </c>
      <c r="D432" t="str">
        <f>VLOOKUP(B432,'EXPORT IRIS PROD 13-11-2024'!A:A,1,0)</f>
        <v>FUMO_CORSIA_3-Allarme fumo corsia veloce</v>
      </c>
      <c r="E432" t="str">
        <f>VLOOKUP(H432,'EXPORT IRIS PROD 13-11-2024'!F:F,1,0)</f>
        <v>FUMO_CORSIA_3</v>
      </c>
      <c r="F432" t="str">
        <f>VLOOKUP(I432,'EXPORT IRIS PROD 13-11-2024'!D:D,1,0)</f>
        <v>Allarme fumo corsia veloce</v>
      </c>
      <c r="G432" s="37" t="s">
        <v>836</v>
      </c>
      <c r="H432" s="38" t="s">
        <v>843</v>
      </c>
      <c r="I432" s="45" t="s">
        <v>844</v>
      </c>
      <c r="J432" s="46" t="s">
        <v>201</v>
      </c>
      <c r="K432" s="46" t="s">
        <v>263</v>
      </c>
      <c r="L432" s="47" t="s">
        <v>31</v>
      </c>
      <c r="M432" s="48" t="s">
        <v>32</v>
      </c>
      <c r="N432" s="43">
        <v>2</v>
      </c>
      <c r="O432" s="43" t="s">
        <v>45</v>
      </c>
      <c r="P432" s="43" t="s">
        <v>46</v>
      </c>
      <c r="Q432" s="43" t="s">
        <v>31</v>
      </c>
      <c r="R432" s="49"/>
    </row>
    <row r="433" spans="1:18" customFormat="1" x14ac:dyDescent="0.25">
      <c r="A433" t="str">
        <f t="shared" si="12"/>
        <v>Impianto Elettrico_Quadro elettrico_FUSIBILE-Allarme fusibile</v>
      </c>
      <c r="B433" t="str">
        <f t="shared" si="13"/>
        <v>FUSIBILE-Allarme fusibile</v>
      </c>
      <c r="C433" t="str">
        <f>VLOOKUP(B433,'[2]Classi allarmi RMT-STIG_rev4'!$C:$C,1,0)</f>
        <v>FUSIBILE-Allarme fusibile</v>
      </c>
      <c r="D433" t="str">
        <f>VLOOKUP(B433,'EXPORT IRIS PROD 13-11-2024'!A:A,1,0)</f>
        <v>FUSIBILE-Allarme fusibile</v>
      </c>
      <c r="E433" t="str">
        <f>VLOOKUP(H433,'EXPORT IRIS PROD 13-11-2024'!F:F,1,0)</f>
        <v>FUSIBILE</v>
      </c>
      <c r="F433" t="str">
        <f>VLOOKUP(I433,'EXPORT IRIS PROD 13-11-2024'!D:D,1,0)</f>
        <v>Allarme fusibile</v>
      </c>
      <c r="G433" s="37" t="s">
        <v>53</v>
      </c>
      <c r="H433" s="38" t="s">
        <v>845</v>
      </c>
      <c r="I433" s="38" t="s">
        <v>846</v>
      </c>
      <c r="J433" s="39" t="s">
        <v>56</v>
      </c>
      <c r="K433" s="39" t="s">
        <v>114</v>
      </c>
      <c r="L433" s="40" t="s">
        <v>21</v>
      </c>
      <c r="M433" s="41" t="s">
        <v>22</v>
      </c>
      <c r="N433" s="42" t="s">
        <v>23</v>
      </c>
      <c r="O433" s="43" t="s">
        <v>24</v>
      </c>
      <c r="P433" s="42" t="s">
        <v>25</v>
      </c>
      <c r="Q433" s="42" t="s">
        <v>21</v>
      </c>
      <c r="R433" s="44"/>
    </row>
    <row r="434" spans="1:18" customFormat="1" x14ac:dyDescent="0.25">
      <c r="A434" t="str">
        <f t="shared" si="12"/>
        <v>Idrometrico_Dispositivo stazione di misura_HYDROMETRIC_STATION_ALARM_HIGH-Stazione in Allarme High</v>
      </c>
      <c r="B434" t="str">
        <f t="shared" si="13"/>
        <v>HYDROMETRIC_STATION_ALARM_HIGH-Stazione in Allarme High</v>
      </c>
      <c r="C434" t="str">
        <f>VLOOKUP(B434,'[2]Classi allarmi RMT-STIG_rev4'!$C:$C,1,0)</f>
        <v>HYDROMETRIC_STATION_ALARM_HIGH-Stazione in Allarme High</v>
      </c>
      <c r="D434" t="str">
        <f>VLOOKUP(B434,'EXPORT IRIS PROD 13-11-2024'!A:A,1,0)</f>
        <v>HYDROMETRIC_STATION_ALARM_HIGH-Stazione in Allarme High</v>
      </c>
      <c r="E434" t="str">
        <f>VLOOKUP(H434,'EXPORT IRIS PROD 13-11-2024'!F:F,1,0)</f>
        <v>HYDROMETRIC_STATION_ALARM_HIGH</v>
      </c>
      <c r="F434" t="str">
        <f>VLOOKUP(I434,'EXPORT IRIS PROD 13-11-2024'!D:D,1,0)</f>
        <v>Stazione in Allarme High</v>
      </c>
      <c r="G434" s="37" t="s">
        <v>847</v>
      </c>
      <c r="H434" s="38" t="s">
        <v>848</v>
      </c>
      <c r="I434" s="38" t="s">
        <v>849</v>
      </c>
      <c r="J434" s="39" t="s">
        <v>847</v>
      </c>
      <c r="K434" s="57" t="s">
        <v>850</v>
      </c>
      <c r="L434" s="40" t="s">
        <v>31</v>
      </c>
      <c r="M434" s="41" t="s">
        <v>32</v>
      </c>
      <c r="N434" s="43">
        <v>2</v>
      </c>
      <c r="O434" s="43" t="s">
        <v>33</v>
      </c>
      <c r="P434" s="42" t="s">
        <v>34</v>
      </c>
      <c r="Q434" s="42" t="s">
        <v>31</v>
      </c>
      <c r="R434" s="44"/>
    </row>
    <row r="435" spans="1:18" customFormat="1" x14ac:dyDescent="0.25">
      <c r="A435" t="str">
        <f t="shared" si="12"/>
        <v>Idrometrico_Dispositivo stazione di misura_HYDROMETRIC_STATION_ALARM_LOW-Stazione in Allarme Low</v>
      </c>
      <c r="B435" t="str">
        <f t="shared" si="13"/>
        <v>HYDROMETRIC_STATION_ALARM_LOW-Stazione in Allarme Low</v>
      </c>
      <c r="C435" t="str">
        <f>VLOOKUP(B435,'[2]Classi allarmi RMT-STIG_rev4'!$C:$C,1,0)</f>
        <v>HYDROMETRIC_STATION_ALARM_LOW-Stazione in Allarme Low</v>
      </c>
      <c r="D435" t="str">
        <f>VLOOKUP(B435,'EXPORT IRIS PROD 13-11-2024'!A:A,1,0)</f>
        <v>HYDROMETRIC_STATION_ALARM_LOW-Stazione in Allarme Low</v>
      </c>
      <c r="E435" t="str">
        <f>VLOOKUP(H435,'EXPORT IRIS PROD 13-11-2024'!F:F,1,0)</f>
        <v>HYDROMETRIC_STATION_ALARM_LOW</v>
      </c>
      <c r="F435" t="str">
        <f>VLOOKUP(I435,'EXPORT IRIS PROD 13-11-2024'!D:D,1,0)</f>
        <v>Stazione in Allarme Low</v>
      </c>
      <c r="G435" s="37" t="s">
        <v>847</v>
      </c>
      <c r="H435" s="38" t="s">
        <v>851</v>
      </c>
      <c r="I435" s="38" t="s">
        <v>852</v>
      </c>
      <c r="J435" s="39" t="s">
        <v>847</v>
      </c>
      <c r="K435" s="57" t="s">
        <v>850</v>
      </c>
      <c r="L435" s="40" t="s">
        <v>21</v>
      </c>
      <c r="M435" s="41" t="s">
        <v>22</v>
      </c>
      <c r="N435" s="42" t="s">
        <v>23</v>
      </c>
      <c r="O435" s="43" t="s">
        <v>24</v>
      </c>
      <c r="P435" s="42" t="s">
        <v>25</v>
      </c>
      <c r="Q435" s="42" t="s">
        <v>21</v>
      </c>
      <c r="R435" s="44"/>
    </row>
    <row r="436" spans="1:18" customFormat="1" x14ac:dyDescent="0.25">
      <c r="A436" t="str">
        <f t="shared" si="12"/>
        <v>Idrometrico_Dispositivo stazione di misura_HYDROMETRIC_STATION_ALARM_MEDIUM-Stazione in Allarme Medium</v>
      </c>
      <c r="B436" t="str">
        <f t="shared" si="13"/>
        <v>HYDROMETRIC_STATION_ALARM_MEDIUM-Stazione in Allarme Medium</v>
      </c>
      <c r="C436" t="str">
        <f>VLOOKUP(B436,'[2]Classi allarmi RMT-STIG_rev4'!$C:$C,1,0)</f>
        <v>HYDROMETRIC_STATION_ALARM_MEDIUM-Stazione in Allarme Medium</v>
      </c>
      <c r="D436" t="str">
        <f>VLOOKUP(B436,'EXPORT IRIS PROD 13-11-2024'!A:A,1,0)</f>
        <v>HYDROMETRIC_STATION_ALARM_MEDIUM-Stazione in Allarme Medium</v>
      </c>
      <c r="E436" t="str">
        <f>VLOOKUP(H436,'EXPORT IRIS PROD 13-11-2024'!F:F,1,0)</f>
        <v>HYDROMETRIC_STATION_ALARM_MEDIUM</v>
      </c>
      <c r="F436" t="str">
        <f>VLOOKUP(I436,'EXPORT IRIS PROD 13-11-2024'!D:D,1,0)</f>
        <v>Stazione in Allarme Medium</v>
      </c>
      <c r="G436" s="37" t="s">
        <v>847</v>
      </c>
      <c r="H436" s="38" t="s">
        <v>853</v>
      </c>
      <c r="I436" s="38" t="s">
        <v>854</v>
      </c>
      <c r="J436" s="39" t="s">
        <v>847</v>
      </c>
      <c r="K436" s="57" t="s">
        <v>850</v>
      </c>
      <c r="L436" s="40" t="s">
        <v>31</v>
      </c>
      <c r="M436" s="41" t="s">
        <v>32</v>
      </c>
      <c r="N436" s="43">
        <v>2</v>
      </c>
      <c r="O436" s="43" t="s">
        <v>157</v>
      </c>
      <c r="P436" s="42" t="s">
        <v>158</v>
      </c>
      <c r="Q436" s="42" t="s">
        <v>21</v>
      </c>
      <c r="R436" s="44"/>
    </row>
    <row r="437" spans="1:18" customFormat="1" x14ac:dyDescent="0.25">
      <c r="A437" t="str">
        <f t="shared" si="12"/>
        <v>Impianto Antincendio_Rilevatore incendio (presente in galleria - zone)_INCENDIO_IN_GALLERIA-Allarme incendio in galleria</v>
      </c>
      <c r="B437" t="str">
        <f t="shared" si="13"/>
        <v>INCENDIO_IN_GALLERIA-Allarme incendio in galleria</v>
      </c>
      <c r="C437" t="str">
        <f>VLOOKUP(B437,'[2]Classi allarmi RMT-STIG_rev4'!$C:$C,1,0)</f>
        <v>INCENDIO_IN_GALLERIA-Allarme incendio in galleria</v>
      </c>
      <c r="D437" t="str">
        <f>VLOOKUP(B437,'EXPORT IRIS PROD 13-11-2024'!A:A,1,0)</f>
        <v>INCENDIO_IN_GALLERIA-Allarme incendio in galleria</v>
      </c>
      <c r="E437" t="str">
        <f>VLOOKUP(H437,'EXPORT IRIS PROD 13-11-2024'!F:F,1,0)</f>
        <v>INCENDIO_IN_GALLERIA</v>
      </c>
      <c r="F437" t="str">
        <f>VLOOKUP(I437,'EXPORT IRIS PROD 13-11-2024'!D:D,1,0)</f>
        <v>Allarme incendio in galleria</v>
      </c>
      <c r="G437" s="37" t="s">
        <v>298</v>
      </c>
      <c r="H437" s="38" t="s">
        <v>855</v>
      </c>
      <c r="I437" s="45" t="s">
        <v>420</v>
      </c>
      <c r="J437" s="46" t="s">
        <v>38</v>
      </c>
      <c r="K437" s="46" t="s">
        <v>856</v>
      </c>
      <c r="L437" s="47" t="s">
        <v>31</v>
      </c>
      <c r="M437" s="48" t="s">
        <v>32</v>
      </c>
      <c r="N437" s="43">
        <v>2</v>
      </c>
      <c r="O437" s="43" t="s">
        <v>45</v>
      </c>
      <c r="P437" s="43" t="s">
        <v>46</v>
      </c>
      <c r="Q437" s="43" t="s">
        <v>31</v>
      </c>
      <c r="R437" s="49"/>
    </row>
    <row r="438" spans="1:18" customFormat="1" x14ac:dyDescent="0.25">
      <c r="A438" t="str">
        <f t="shared" si="12"/>
        <v>Impianto Rilevazione Incendio_Centralina rilevazione incendio (presente in cabina)_INCENDIO_IN_GALLERIA-Allarme incendio in galleria</v>
      </c>
      <c r="B438" t="str">
        <f t="shared" si="13"/>
        <v>INCENDIO_IN_GALLERIA-Allarme incendio in galleria</v>
      </c>
      <c r="C438" t="str">
        <f>VLOOKUP(B438,'[2]Classi allarmi RMT-STIG_rev4'!$C:$C,1,0)</f>
        <v>INCENDIO_IN_GALLERIA-Allarme incendio in galleria</v>
      </c>
      <c r="D438" t="str">
        <f>VLOOKUP(B438,'EXPORT IRIS PROD 13-11-2024'!A:A,1,0)</f>
        <v>INCENDIO_IN_GALLERIA-Allarme incendio in galleria</v>
      </c>
      <c r="E438" t="str">
        <f>VLOOKUP(H438,'EXPORT IRIS PROD 13-11-2024'!F:F,1,0)</f>
        <v>INCENDIO_IN_GALLERIA</v>
      </c>
      <c r="F438" t="str">
        <f>VLOOKUP(I438,'EXPORT IRIS PROD 13-11-2024'!D:D,1,0)</f>
        <v>Allarme incendio in galleria</v>
      </c>
      <c r="G438" s="37" t="s">
        <v>40</v>
      </c>
      <c r="H438" s="38" t="s">
        <v>855</v>
      </c>
      <c r="I438" s="45" t="s">
        <v>420</v>
      </c>
      <c r="J438" s="46" t="s">
        <v>43</v>
      </c>
      <c r="K438" s="46" t="s">
        <v>857</v>
      </c>
      <c r="L438" s="47" t="s">
        <v>31</v>
      </c>
      <c r="M438" s="48" t="s">
        <v>32</v>
      </c>
      <c r="N438" s="43">
        <v>2</v>
      </c>
      <c r="O438" s="43" t="s">
        <v>45</v>
      </c>
      <c r="P438" s="43" t="s">
        <v>46</v>
      </c>
      <c r="Q438" s="43" t="s">
        <v>31</v>
      </c>
      <c r="R438" s="49"/>
    </row>
    <row r="439" spans="1:18" customFormat="1" x14ac:dyDescent="0.25">
      <c r="A439" t="str">
        <f t="shared" si="12"/>
        <v>Impianto Rilevazione Incendio_Centralina rilevazione incendio_INCENDIO_IN_GALLERIA-Allarme incendio in galleria</v>
      </c>
      <c r="B439" t="str">
        <f t="shared" si="13"/>
        <v>INCENDIO_IN_GALLERIA-Allarme incendio in galleria</v>
      </c>
      <c r="C439" t="str">
        <f>VLOOKUP(B439,'[2]Classi allarmi RMT-STIG_rev4'!$C:$C,1,0)</f>
        <v>INCENDIO_IN_GALLERIA-Allarme incendio in galleria</v>
      </c>
      <c r="D439" t="str">
        <f>VLOOKUP(B439,'EXPORT IRIS PROD 13-11-2024'!A:A,1,0)</f>
        <v>INCENDIO_IN_GALLERIA-Allarme incendio in galleria</v>
      </c>
      <c r="E439" t="str">
        <f>VLOOKUP(H439,'EXPORT IRIS PROD 13-11-2024'!F:F,1,0)</f>
        <v>INCENDIO_IN_GALLERIA</v>
      </c>
      <c r="F439" t="str">
        <f>VLOOKUP(I439,'EXPORT IRIS PROD 13-11-2024'!D:D,1,0)</f>
        <v>Allarme incendio in galleria</v>
      </c>
      <c r="G439" s="37" t="s">
        <v>40</v>
      </c>
      <c r="H439" s="38" t="s">
        <v>855</v>
      </c>
      <c r="I439" s="45" t="s">
        <v>420</v>
      </c>
      <c r="J439" s="46" t="s">
        <v>43</v>
      </c>
      <c r="K439" s="46" t="s">
        <v>108</v>
      </c>
      <c r="L439" s="47" t="s">
        <v>31</v>
      </c>
      <c r="M439" s="48" t="s">
        <v>32</v>
      </c>
      <c r="N439" s="43">
        <v>2</v>
      </c>
      <c r="O439" s="43" t="s">
        <v>45</v>
      </c>
      <c r="P439" s="43" t="s">
        <v>46</v>
      </c>
      <c r="Q439" s="43" t="s">
        <v>31</v>
      </c>
      <c r="R439" s="49"/>
    </row>
    <row r="440" spans="1:18" customFormat="1" x14ac:dyDescent="0.25">
      <c r="A440" t="str">
        <f t="shared" si="12"/>
        <v>Impianto Canalizzazione_Rotocartello (trittico)_INCIDENTE-Allarme attivazione pannello incidente</v>
      </c>
      <c r="B440" t="str">
        <f t="shared" si="13"/>
        <v>INCIDENTE-Allarme attivazione pannello incidente</v>
      </c>
      <c r="C440" t="str">
        <f>VLOOKUP(B440,'[2]Classi allarmi RMT-STIG_rev4'!$C:$C,1,0)</f>
        <v>INCIDENTE-Allarme attivazione pannello incidente</v>
      </c>
      <c r="D440" t="str">
        <f>VLOOKUP(B440,'EXPORT IRIS PROD 13-11-2024'!A:A,1,0)</f>
        <v>INCIDENTE-Allarme attivazione pannello incidente</v>
      </c>
      <c r="E440" t="str">
        <f>VLOOKUP(H440,'EXPORT IRIS PROD 13-11-2024'!F:F,1,0)</f>
        <v>INCIDENTE</v>
      </c>
      <c r="F440" t="str">
        <f>VLOOKUP(I440,'EXPORT IRIS PROD 13-11-2024'!D:D,1,0)</f>
        <v>Allarme attivazione pannello incidente</v>
      </c>
      <c r="G440" s="37" t="s">
        <v>109</v>
      </c>
      <c r="H440" s="38" t="s">
        <v>858</v>
      </c>
      <c r="I440" s="38" t="s">
        <v>859</v>
      </c>
      <c r="J440" s="39" t="s">
        <v>111</v>
      </c>
      <c r="K440" s="39" t="s">
        <v>434</v>
      </c>
      <c r="L440" s="40" t="s">
        <v>21</v>
      </c>
      <c r="M440" s="41" t="s">
        <v>22</v>
      </c>
      <c r="N440" s="42" t="s">
        <v>23</v>
      </c>
      <c r="O440" s="43" t="s">
        <v>24</v>
      </c>
      <c r="P440" s="42" t="s">
        <v>25</v>
      </c>
      <c r="Q440" s="42" t="s">
        <v>21</v>
      </c>
      <c r="R440" s="44"/>
    </row>
    <row r="441" spans="1:18" customFormat="1" x14ac:dyDescent="0.25">
      <c r="A441" t="str">
        <f t="shared" si="12"/>
        <v>Impianto Elettrico_Interruttore generale_INTERRUTTORE_GENERALE-Allarme interruttore generale</v>
      </c>
      <c r="B441" t="str">
        <f t="shared" si="13"/>
        <v>INTERRUTTORE_GENERALE-Allarme interruttore generale</v>
      </c>
      <c r="C441" t="str">
        <f>VLOOKUP(B441,'[2]Classi allarmi RMT-STIG_rev4'!$C:$C,1,0)</f>
        <v>INTERRUTTORE_GENERALE-Allarme interruttore generale</v>
      </c>
      <c r="D441" t="str">
        <f>VLOOKUP(B441,'EXPORT IRIS PROD 13-11-2024'!A:A,1,0)</f>
        <v>INTERRUTTORE_GENERALE-Allarme interruttore generale</v>
      </c>
      <c r="E441" t="str">
        <f>VLOOKUP(H441,'EXPORT IRIS PROD 13-11-2024'!F:F,1,0)</f>
        <v>INTERRUTTORE_GENERALE</v>
      </c>
      <c r="F441" t="str">
        <f>VLOOKUP(I441,'EXPORT IRIS PROD 13-11-2024'!D:D,1,0)</f>
        <v>Allarme interruttore generale</v>
      </c>
      <c r="G441" s="37" t="s">
        <v>454</v>
      </c>
      <c r="H441" s="38" t="s">
        <v>860</v>
      </c>
      <c r="I441" s="45" t="s">
        <v>861</v>
      </c>
      <c r="J441" s="46" t="s">
        <v>56</v>
      </c>
      <c r="K441" s="46" t="s">
        <v>862</v>
      </c>
      <c r="L441" s="47" t="s">
        <v>31</v>
      </c>
      <c r="M441" s="48" t="s">
        <v>32</v>
      </c>
      <c r="N441" s="43">
        <v>2</v>
      </c>
      <c r="O441" s="43" t="s">
        <v>33</v>
      </c>
      <c r="P441" s="43" t="s">
        <v>34</v>
      </c>
      <c r="Q441" s="43" t="s">
        <v>31</v>
      </c>
      <c r="R441" s="49"/>
    </row>
    <row r="442" spans="1:18" customFormat="1" x14ac:dyDescent="0.25">
      <c r="A442" t="str">
        <f t="shared" si="12"/>
        <v>Impianto Bypass_Serranda_MANCATA_APERTURA-Allarme mancata apertura serranda</v>
      </c>
      <c r="B442" t="str">
        <f t="shared" si="13"/>
        <v>MANCATA_APERTURA-Allarme mancata apertura serranda</v>
      </c>
      <c r="C442" t="str">
        <f>VLOOKUP(B442,'[2]Classi allarmi RMT-STIG_rev4'!$C:$C,1,0)</f>
        <v>MANCATA_APERTURA-Allarme mancata apertura serranda</v>
      </c>
      <c r="D442" t="str">
        <f>VLOOKUP(B442,'EXPORT IRIS PROD 13-11-2024'!A:A,1,0)</f>
        <v>MANCATA_APERTURA-Allarme mancata apertura serranda</v>
      </c>
      <c r="E442" t="str">
        <f>VLOOKUP(H442,'EXPORT IRIS PROD 13-11-2024'!F:F,1,0)</f>
        <v>MANCATA_APERTURA</v>
      </c>
      <c r="F442" t="str">
        <f>VLOOKUP(I442,'EXPORT IRIS PROD 13-11-2024'!D:D,1,0)</f>
        <v>Allarme mancata apertura serranda</v>
      </c>
      <c r="G442" s="37" t="s">
        <v>863</v>
      </c>
      <c r="H442" s="38" t="s">
        <v>864</v>
      </c>
      <c r="I442" s="38" t="s">
        <v>865</v>
      </c>
      <c r="J442" s="39" t="s">
        <v>274</v>
      </c>
      <c r="K442" s="39" t="s">
        <v>275</v>
      </c>
      <c r="L442" s="40" t="s">
        <v>21</v>
      </c>
      <c r="M442" s="41" t="s">
        <v>22</v>
      </c>
      <c r="N442" s="42" t="s">
        <v>23</v>
      </c>
      <c r="O442" s="43" t="s">
        <v>24</v>
      </c>
      <c r="P442" s="42" t="s">
        <v>25</v>
      </c>
      <c r="Q442" s="42" t="s">
        <v>21</v>
      </c>
      <c r="R442" s="44"/>
    </row>
    <row r="443" spans="1:18" customFormat="1" x14ac:dyDescent="0.25">
      <c r="A443" t="str">
        <f t="shared" si="12"/>
        <v>Impianto Bypass_Serranda_MANCATA_CHIUSURA-Allarme mancata chiusura serranda</v>
      </c>
      <c r="B443" t="str">
        <f t="shared" si="13"/>
        <v>MANCATA_CHIUSURA-Allarme mancata chiusura serranda</v>
      </c>
      <c r="C443" t="str">
        <f>VLOOKUP(B443,'[2]Classi allarmi RMT-STIG_rev4'!$C:$C,1,0)</f>
        <v>MANCATA_CHIUSURA-Allarme mancata chiusura serranda</v>
      </c>
      <c r="D443" t="str">
        <f>VLOOKUP(B443,'EXPORT IRIS PROD 13-11-2024'!A:A,1,0)</f>
        <v>MANCATA_CHIUSURA-Allarme mancata chiusura serranda</v>
      </c>
      <c r="E443" t="str">
        <f>VLOOKUP(H443,'EXPORT IRIS PROD 13-11-2024'!F:F,1,0)</f>
        <v>MANCATA_CHIUSURA</v>
      </c>
      <c r="F443" t="str">
        <f>VLOOKUP(I443,'EXPORT IRIS PROD 13-11-2024'!D:D,1,0)</f>
        <v>Allarme mancata chiusura serranda</v>
      </c>
      <c r="G443" s="37" t="s">
        <v>863</v>
      </c>
      <c r="H443" s="38" t="s">
        <v>866</v>
      </c>
      <c r="I443" s="38" t="s">
        <v>867</v>
      </c>
      <c r="J443" s="39" t="s">
        <v>274</v>
      </c>
      <c r="K443" s="39" t="s">
        <v>275</v>
      </c>
      <c r="L443" s="40" t="s">
        <v>21</v>
      </c>
      <c r="M443" s="41" t="s">
        <v>22</v>
      </c>
      <c r="N443" s="42" t="s">
        <v>23</v>
      </c>
      <c r="O443" s="43" t="s">
        <v>24</v>
      </c>
      <c r="P443" s="42" t="s">
        <v>25</v>
      </c>
      <c r="Q443" s="42" t="s">
        <v>21</v>
      </c>
      <c r="R443" s="44"/>
    </row>
    <row r="444" spans="1:18" customFormat="1" x14ac:dyDescent="0.25">
      <c r="A444" t="str">
        <f t="shared" si="12"/>
        <v>Impianto Antincendio_Elettropompa_MANCATO_AVVIO_ELETTROPOMPA-Allarme mancato avvio elettropompa</v>
      </c>
      <c r="B444" t="str">
        <f t="shared" si="13"/>
        <v>MANCATO_AVVIO_ELETTROPOMPA-Allarme mancato avvio elettropompa</v>
      </c>
      <c r="C444" t="str">
        <f>VLOOKUP(B444,'[2]Classi allarmi RMT-STIG_rev4'!$C:$C,1,0)</f>
        <v>MANCATO_AVVIO_ELETTROPOMPA-Allarme mancato avvio elettropompa</v>
      </c>
      <c r="D444" t="str">
        <f>VLOOKUP(B444,'EXPORT IRIS PROD 13-11-2024'!A:A,1,0)</f>
        <v>MANCATO_AVVIO_ELETTROPOMPA-Allarme mancato avvio elettropompa</v>
      </c>
      <c r="E444" t="str">
        <f>VLOOKUP(H444,'EXPORT IRIS PROD 13-11-2024'!F:F,1,0)</f>
        <v>MANCATO_AVVIO_ELETTROPOMPA</v>
      </c>
      <c r="F444" t="str">
        <f>VLOOKUP(I444,'EXPORT IRIS PROD 13-11-2024'!D:D,1,0)</f>
        <v>Allarme mancato avvio elettropompa</v>
      </c>
      <c r="G444" s="37" t="s">
        <v>35</v>
      </c>
      <c r="H444" s="38" t="s">
        <v>868</v>
      </c>
      <c r="I444" s="38" t="s">
        <v>869</v>
      </c>
      <c r="J444" s="39" t="s">
        <v>38</v>
      </c>
      <c r="K444" s="39" t="s">
        <v>301</v>
      </c>
      <c r="L444" s="40" t="s">
        <v>21</v>
      </c>
      <c r="M444" s="41" t="s">
        <v>22</v>
      </c>
      <c r="N444" s="42" t="s">
        <v>23</v>
      </c>
      <c r="O444" s="43" t="s">
        <v>24</v>
      </c>
      <c r="P444" s="42" t="s">
        <v>25</v>
      </c>
      <c r="Q444" s="42" t="s">
        <v>21</v>
      </c>
      <c r="R444" s="44"/>
    </row>
    <row r="445" spans="1:18" customFormat="1" x14ac:dyDescent="0.25">
      <c r="A445" t="str">
        <f t="shared" si="12"/>
        <v>Impianto Antincendio_Motopompa_MANCATO_AVVIO_MOTOPOMPA-Allarme mancato avvio motopompa</v>
      </c>
      <c r="B445" t="str">
        <f t="shared" si="13"/>
        <v>MANCATO_AVVIO_MOTOPOMPA-Allarme mancato avvio motopompa</v>
      </c>
      <c r="C445" t="str">
        <f>VLOOKUP(B445,'[2]Classi allarmi RMT-STIG_rev4'!$C:$C,1,0)</f>
        <v>MANCATO_AVVIO_MOTOPOMPA-Allarme mancato avvio motopompa</v>
      </c>
      <c r="D445" t="str">
        <f>VLOOKUP(B445,'EXPORT IRIS PROD 13-11-2024'!A:A,1,0)</f>
        <v>MANCATO_AVVIO_MOTOPOMPA-Allarme mancato avvio motopompa</v>
      </c>
      <c r="E445" t="str">
        <f>VLOOKUP(H445,'EXPORT IRIS PROD 13-11-2024'!F:F,1,0)</f>
        <v>MANCATO_AVVIO_MOTOPOMPA</v>
      </c>
      <c r="F445" t="str">
        <f>VLOOKUP(I445,'EXPORT IRIS PROD 13-11-2024'!D:D,1,0)</f>
        <v>Allarme mancato avvio motopompa</v>
      </c>
      <c r="G445" s="37" t="s">
        <v>35</v>
      </c>
      <c r="H445" s="38" t="s">
        <v>870</v>
      </c>
      <c r="I445" s="38" t="s">
        <v>871</v>
      </c>
      <c r="J445" s="39" t="s">
        <v>38</v>
      </c>
      <c r="K445" s="39" t="s">
        <v>172</v>
      </c>
      <c r="L445" s="40" t="s">
        <v>21</v>
      </c>
      <c r="M445" s="41" t="s">
        <v>22</v>
      </c>
      <c r="N445" s="42" t="s">
        <v>23</v>
      </c>
      <c r="O445" s="43" t="s">
        <v>24</v>
      </c>
      <c r="P445" s="42" t="s">
        <v>25</v>
      </c>
      <c r="Q445" s="42" t="s">
        <v>21</v>
      </c>
      <c r="R445" s="44"/>
    </row>
    <row r="446" spans="1:18" customFormat="1" x14ac:dyDescent="0.25">
      <c r="A446" t="str">
        <f t="shared" si="12"/>
        <v>Impianto Videosorveglianza_Telecamera attiva_MANOMISSIONE-Allarme manomissione</v>
      </c>
      <c r="B446" t="str">
        <f t="shared" si="13"/>
        <v>MANOMISSIONE-Allarme manomissione</v>
      </c>
      <c r="C446" t="str">
        <f>VLOOKUP(B446,'[2]Classi allarmi RMT-STIG_rev4'!$C:$C,1,0)</f>
        <v>MANOMISSIONE-Allarme manomissione</v>
      </c>
      <c r="D446" t="str">
        <f>VLOOKUP(B446,'EXPORT IRIS PROD 13-11-2024'!A:A,1,0)</f>
        <v>MANOMISSIONE-Allarme manomissione</v>
      </c>
      <c r="E446" t="str">
        <f>VLOOKUP(H446,'EXPORT IRIS PROD 13-11-2024'!F:F,1,0)</f>
        <v>MANOMISSIONE</v>
      </c>
      <c r="F446" t="str">
        <f>VLOOKUP(I446,'EXPORT IRIS PROD 13-11-2024'!D:D,1,0)</f>
        <v>Allarme manomissione</v>
      </c>
      <c r="G446" s="37" t="s">
        <v>198</v>
      </c>
      <c r="H446" s="38" t="s">
        <v>872</v>
      </c>
      <c r="I446" s="38" t="s">
        <v>873</v>
      </c>
      <c r="J446" s="39" t="s">
        <v>201</v>
      </c>
      <c r="K446" s="39" t="s">
        <v>380</v>
      </c>
      <c r="L446" s="40" t="s">
        <v>31</v>
      </c>
      <c r="M446" s="41" t="s">
        <v>32</v>
      </c>
      <c r="N446" s="43">
        <v>2</v>
      </c>
      <c r="O446" s="43" t="s">
        <v>24</v>
      </c>
      <c r="P446" s="42" t="s">
        <v>25</v>
      </c>
      <c r="Q446" s="42" t="s">
        <v>21</v>
      </c>
      <c r="R446" s="44"/>
    </row>
    <row r="447" spans="1:18" customFormat="1" x14ac:dyDescent="0.25">
      <c r="A447" t="str">
        <f t="shared" si="12"/>
        <v>Impianto Videosorveglianza_Telecamera passiva_MANOMISSIONE-Allarme manomissione</v>
      </c>
      <c r="B447" t="str">
        <f t="shared" si="13"/>
        <v>MANOMISSIONE-Allarme manomissione</v>
      </c>
      <c r="C447" t="str">
        <f>VLOOKUP(B447,'[2]Classi allarmi RMT-STIG_rev4'!$C:$C,1,0)</f>
        <v>MANOMISSIONE-Allarme manomissione</v>
      </c>
      <c r="D447" t="str">
        <f>VLOOKUP(B447,'EXPORT IRIS PROD 13-11-2024'!A:A,1,0)</f>
        <v>MANOMISSIONE-Allarme manomissione</v>
      </c>
      <c r="E447" t="str">
        <f>VLOOKUP(H447,'EXPORT IRIS PROD 13-11-2024'!F:F,1,0)</f>
        <v>MANOMISSIONE</v>
      </c>
      <c r="F447" t="str">
        <f>VLOOKUP(I447,'EXPORT IRIS PROD 13-11-2024'!D:D,1,0)</f>
        <v>Allarme manomissione</v>
      </c>
      <c r="G447" s="37" t="s">
        <v>198</v>
      </c>
      <c r="H447" s="38" t="s">
        <v>872</v>
      </c>
      <c r="I447" s="38" t="s">
        <v>873</v>
      </c>
      <c r="J447" s="39" t="s">
        <v>201</v>
      </c>
      <c r="K447" s="39" t="s">
        <v>263</v>
      </c>
      <c r="L447" s="40" t="s">
        <v>31</v>
      </c>
      <c r="M447" s="41" t="s">
        <v>32</v>
      </c>
      <c r="N447" s="43">
        <v>2</v>
      </c>
      <c r="O447" s="43" t="s">
        <v>24</v>
      </c>
      <c r="P447" s="42" t="s">
        <v>25</v>
      </c>
      <c r="Q447" s="42" t="s">
        <v>21</v>
      </c>
      <c r="R447" s="44"/>
    </row>
    <row r="448" spans="1:18" customFormat="1" x14ac:dyDescent="0.25">
      <c r="A448" t="str">
        <f t="shared" si="12"/>
        <v>Impianto Ventilazione_Anemometro_MISURA_FAULT-Allarme misurazione fallita</v>
      </c>
      <c r="B448" t="str">
        <f t="shared" si="13"/>
        <v>MISURA_FAULT-Allarme misurazione fallita</v>
      </c>
      <c r="C448" t="str">
        <f>VLOOKUP(B448,'[2]Classi allarmi RMT-STIG_rev4'!$C:$C,1,0)</f>
        <v>MISURA_FAULT-Allarme misurazione fallita</v>
      </c>
      <c r="D448" t="str">
        <f>VLOOKUP(B448,'EXPORT IRIS PROD 13-11-2024'!A:A,1,0)</f>
        <v>MISURA_FAULT-Allarme misurazione fallita</v>
      </c>
      <c r="E448" t="str">
        <f>VLOOKUP(H448,'EXPORT IRIS PROD 13-11-2024'!F:F,1,0)</f>
        <v>MISURA_FAULT</v>
      </c>
      <c r="F448" t="str">
        <f>VLOOKUP(I448,'EXPORT IRIS PROD 13-11-2024'!D:D,1,0)</f>
        <v>Allarme misurazione fallita</v>
      </c>
      <c r="G448" s="37" t="s">
        <v>85</v>
      </c>
      <c r="H448" s="38" t="s">
        <v>874</v>
      </c>
      <c r="I448" s="38" t="s">
        <v>875</v>
      </c>
      <c r="J448" s="39" t="s">
        <v>50</v>
      </c>
      <c r="K448" s="39" t="s">
        <v>88</v>
      </c>
      <c r="L448" s="40" t="s">
        <v>21</v>
      </c>
      <c r="M448" s="41" t="s">
        <v>22</v>
      </c>
      <c r="N448" s="42" t="s">
        <v>23</v>
      </c>
      <c r="O448" s="43" t="s">
        <v>24</v>
      </c>
      <c r="P448" s="42" t="s">
        <v>25</v>
      </c>
      <c r="Q448" s="42" t="s">
        <v>21</v>
      </c>
      <c r="R448" s="44"/>
    </row>
    <row r="449" spans="1:18" customFormat="1" x14ac:dyDescent="0.25">
      <c r="A449" t="str">
        <f t="shared" si="12"/>
        <v>Impianto Ventilazione_CO_MISURA_FAULT-Allarme misurazione fallita</v>
      </c>
      <c r="B449" t="str">
        <f t="shared" si="13"/>
        <v>MISURA_FAULT-Allarme misurazione fallita</v>
      </c>
      <c r="C449" t="str">
        <f>VLOOKUP(B449,'[2]Classi allarmi RMT-STIG_rev4'!$C:$C,1,0)</f>
        <v>MISURA_FAULT-Allarme misurazione fallita</v>
      </c>
      <c r="D449" t="str">
        <f>VLOOKUP(B449,'EXPORT IRIS PROD 13-11-2024'!A:A,1,0)</f>
        <v>MISURA_FAULT-Allarme misurazione fallita</v>
      </c>
      <c r="E449" t="str">
        <f>VLOOKUP(H449,'EXPORT IRIS PROD 13-11-2024'!F:F,1,0)</f>
        <v>MISURA_FAULT</v>
      </c>
      <c r="F449" t="str">
        <f>VLOOKUP(I449,'EXPORT IRIS PROD 13-11-2024'!D:D,1,0)</f>
        <v>Allarme misurazione fallita</v>
      </c>
      <c r="G449" s="37" t="s">
        <v>85</v>
      </c>
      <c r="H449" s="38" t="s">
        <v>874</v>
      </c>
      <c r="I449" s="38" t="s">
        <v>875</v>
      </c>
      <c r="J449" s="39" t="s">
        <v>50</v>
      </c>
      <c r="K449" s="39" t="s">
        <v>51</v>
      </c>
      <c r="L449" s="40" t="s">
        <v>21</v>
      </c>
      <c r="M449" s="41" t="s">
        <v>22</v>
      </c>
      <c r="N449" s="42" t="s">
        <v>23</v>
      </c>
      <c r="O449" s="43" t="s">
        <v>24</v>
      </c>
      <c r="P449" s="42" t="s">
        <v>25</v>
      </c>
      <c r="Q449" s="42" t="s">
        <v>21</v>
      </c>
      <c r="R449" s="44"/>
    </row>
    <row r="450" spans="1:18" customFormat="1" x14ac:dyDescent="0.25">
      <c r="A450" t="str">
        <f t="shared" ref="A450:A513" si="14">CONCATENATE(J450,"_",K450,"_",B450)</f>
        <v>Impianto Ventilazione_OP_MISURA_FAULT-Allarme misurazione fallita</v>
      </c>
      <c r="B450" t="str">
        <f t="shared" si="13"/>
        <v>MISURA_FAULT-Allarme misurazione fallita</v>
      </c>
      <c r="C450" t="str">
        <f>VLOOKUP(B450,'[2]Classi allarmi RMT-STIG_rev4'!$C:$C,1,0)</f>
        <v>MISURA_FAULT-Allarme misurazione fallita</v>
      </c>
      <c r="D450" t="str">
        <f>VLOOKUP(B450,'EXPORT IRIS PROD 13-11-2024'!A:A,1,0)</f>
        <v>MISURA_FAULT-Allarme misurazione fallita</v>
      </c>
      <c r="E450" t="str">
        <f>VLOOKUP(H450,'EXPORT IRIS PROD 13-11-2024'!F:F,1,0)</f>
        <v>MISURA_FAULT</v>
      </c>
      <c r="F450" t="str">
        <f>VLOOKUP(I450,'EXPORT IRIS PROD 13-11-2024'!D:D,1,0)</f>
        <v>Allarme misurazione fallita</v>
      </c>
      <c r="G450" s="37" t="s">
        <v>85</v>
      </c>
      <c r="H450" s="38" t="s">
        <v>874</v>
      </c>
      <c r="I450" s="38" t="s">
        <v>875</v>
      </c>
      <c r="J450" s="39" t="s">
        <v>50</v>
      </c>
      <c r="K450" s="39" t="s">
        <v>52</v>
      </c>
      <c r="L450" s="40" t="s">
        <v>21</v>
      </c>
      <c r="M450" s="41" t="s">
        <v>22</v>
      </c>
      <c r="N450" s="42" t="s">
        <v>23</v>
      </c>
      <c r="O450" s="43" t="s">
        <v>24</v>
      </c>
      <c r="P450" s="42" t="s">
        <v>25</v>
      </c>
      <c r="Q450" s="42" t="s">
        <v>21</v>
      </c>
      <c r="R450" s="44"/>
    </row>
    <row r="451" spans="1:18" customFormat="1" x14ac:dyDescent="0.25">
      <c r="A451" t="str">
        <f t="shared" si="14"/>
        <v>Impianto Ventilazione_Ventilatore_MISURA_FAULT-Allarme misurazione fallita</v>
      </c>
      <c r="B451" t="str">
        <f t="shared" ref="B451:B514" si="15">CONCATENATE(H451,"-",I451)</f>
        <v>MISURA_FAULT-Allarme misurazione fallita</v>
      </c>
      <c r="C451" t="str">
        <f>VLOOKUP(B451,'[2]Classi allarmi RMT-STIG_rev4'!$C:$C,1,0)</f>
        <v>MISURA_FAULT-Allarme misurazione fallita</v>
      </c>
      <c r="D451" t="str">
        <f>VLOOKUP(B451,'EXPORT IRIS PROD 13-11-2024'!A:A,1,0)</f>
        <v>MISURA_FAULT-Allarme misurazione fallita</v>
      </c>
      <c r="E451" t="str">
        <f>VLOOKUP(H451,'EXPORT IRIS PROD 13-11-2024'!F:F,1,0)</f>
        <v>MISURA_FAULT</v>
      </c>
      <c r="F451" t="str">
        <f>VLOOKUP(I451,'EXPORT IRIS PROD 13-11-2024'!D:D,1,0)</f>
        <v>Allarme misurazione fallita</v>
      </c>
      <c r="G451" s="37" t="s">
        <v>85</v>
      </c>
      <c r="H451" s="38" t="s">
        <v>874</v>
      </c>
      <c r="I451" s="38" t="s">
        <v>875</v>
      </c>
      <c r="J451" s="39" t="s">
        <v>50</v>
      </c>
      <c r="K451" s="39" t="s">
        <v>124</v>
      </c>
      <c r="L451" s="40" t="s">
        <v>21</v>
      </c>
      <c r="M451" s="41" t="s">
        <v>22</v>
      </c>
      <c r="N451" s="42" t="s">
        <v>23</v>
      </c>
      <c r="O451" s="43" t="s">
        <v>24</v>
      </c>
      <c r="P451" s="42" t="s">
        <v>25</v>
      </c>
      <c r="Q451" s="42" t="s">
        <v>21</v>
      </c>
      <c r="R451" s="44"/>
    </row>
    <row r="452" spans="1:18" customFormat="1" x14ac:dyDescent="0.25">
      <c r="A452" t="str">
        <f t="shared" si="14"/>
        <v>Impianto Elettrico_Gruppo elettrogeno_MISURA_FUORI_SOGLIA-Misura fuori soglia</v>
      </c>
      <c r="B452" t="str">
        <f t="shared" si="15"/>
        <v>MISURA_FUORI_SOGLIA-Misura fuori soglia</v>
      </c>
      <c r="C452" t="str">
        <f>VLOOKUP(B452,'[2]Classi allarmi RMT-STIG_rev4'!$C:$C,1,0)</f>
        <v>MISURA_FUORI_SOGLIA-Misura fuori soglia</v>
      </c>
      <c r="D452" t="str">
        <f>VLOOKUP(B452,'EXPORT IRIS PROD 13-11-2024'!A:A,1,0)</f>
        <v>MISURA_FUORI_SOGLIA-Misura fuori soglia</v>
      </c>
      <c r="E452" t="str">
        <f>VLOOKUP(H452,'EXPORT IRIS PROD 13-11-2024'!F:F,1,0)</f>
        <v>MISURA_FUORI_SOGLIA</v>
      </c>
      <c r="F452" t="str">
        <f>VLOOKUP(I452,'EXPORT IRIS PROD 13-11-2024'!D:D,1,0)</f>
        <v>Misura fuori soglia</v>
      </c>
      <c r="G452" s="37" t="s">
        <v>53</v>
      </c>
      <c r="H452" s="38" t="s">
        <v>876</v>
      </c>
      <c r="I452" s="38" t="s">
        <v>877</v>
      </c>
      <c r="J452" s="39" t="s">
        <v>56</v>
      </c>
      <c r="K452" s="39" t="s">
        <v>57</v>
      </c>
      <c r="L452" s="40" t="s">
        <v>21</v>
      </c>
      <c r="M452" s="41" t="s">
        <v>22</v>
      </c>
      <c r="N452" s="42" t="s">
        <v>23</v>
      </c>
      <c r="O452" s="43" t="s">
        <v>24</v>
      </c>
      <c r="P452" s="42" t="s">
        <v>25</v>
      </c>
      <c r="Q452" s="42" t="s">
        <v>21</v>
      </c>
      <c r="R452" s="44"/>
    </row>
    <row r="453" spans="1:18" customFormat="1" x14ac:dyDescent="0.25">
      <c r="A453" t="str">
        <f t="shared" si="14"/>
        <v>Impianto Ventilazione_Anemometro_MISURA_FUORI_SOGLIA_AN_INFERIORE_SUPERATA-Misura fuori soglia AN inferiore superata</v>
      </c>
      <c r="B453" t="str">
        <f t="shared" si="15"/>
        <v>MISURA_FUORI_SOGLIA_AN_INFERIORE_SUPERATA-Misura fuori soglia AN inferiore superata</v>
      </c>
      <c r="C453" t="str">
        <f>VLOOKUP(B453,'[2]Classi allarmi RMT-STIG_rev4'!$C:$C,1,0)</f>
        <v>MISURA_FUORI_SOGLIA_AN_INFERIORE_SUPERATA-Misura fuori soglia AN inferiore superata</v>
      </c>
      <c r="D453" t="str">
        <f>VLOOKUP(B453,'EXPORT IRIS PROD 13-11-2024'!A:A,1,0)</f>
        <v>MISURA_FUORI_SOGLIA_AN_INFERIORE_SUPERATA-Misura fuori soglia AN inferiore superata</v>
      </c>
      <c r="E453" t="str">
        <f>VLOOKUP(H453,'EXPORT IRIS PROD 13-11-2024'!F:F,1,0)</f>
        <v>MISURA_FUORI_SOGLIA_AN_INFERIORE_SUPERATA</v>
      </c>
      <c r="F453" t="str">
        <f>VLOOKUP(I453,'EXPORT IRIS PROD 13-11-2024'!D:D,1,0)</f>
        <v>Misura fuori soglia AN inferiore superata</v>
      </c>
      <c r="G453" s="37" t="s">
        <v>878</v>
      </c>
      <c r="H453" s="38" t="s">
        <v>879</v>
      </c>
      <c r="I453" s="38" t="s">
        <v>880</v>
      </c>
      <c r="J453" s="39" t="s">
        <v>50</v>
      </c>
      <c r="K453" s="39" t="s">
        <v>88</v>
      </c>
      <c r="L453" s="40" t="s">
        <v>21</v>
      </c>
      <c r="M453" s="41" t="s">
        <v>22</v>
      </c>
      <c r="N453" s="42" t="s">
        <v>23</v>
      </c>
      <c r="O453" s="43" t="s">
        <v>24</v>
      </c>
      <c r="P453" s="42" t="s">
        <v>25</v>
      </c>
      <c r="Q453" s="42" t="s">
        <v>21</v>
      </c>
      <c r="R453" s="44"/>
    </row>
    <row r="454" spans="1:18" customFormat="1" x14ac:dyDescent="0.25">
      <c r="A454" t="str">
        <f t="shared" si="14"/>
        <v>Impianto Ventilazione_Anemometro_MISURA_FUORI_SOGLIA_AN_SUPERIORE_SUPERATA-Misura fuori soglia AN superiore superata</v>
      </c>
      <c r="B454" t="str">
        <f t="shared" si="15"/>
        <v>MISURA_FUORI_SOGLIA_AN_SUPERIORE_SUPERATA-Misura fuori soglia AN superiore superata</v>
      </c>
      <c r="C454" t="str">
        <f>VLOOKUP(B454,'[2]Classi allarmi RMT-STIG_rev4'!$C:$C,1,0)</f>
        <v>MISURA_FUORI_SOGLIA_AN_SUPERIORE_SUPERATA-Misura fuori soglia AN superiore superata</v>
      </c>
      <c r="D454" t="str">
        <f>VLOOKUP(B454,'EXPORT IRIS PROD 13-11-2024'!A:A,1,0)</f>
        <v>MISURA_FUORI_SOGLIA_AN_SUPERIORE_SUPERATA-Misura fuori soglia AN superiore superata</v>
      </c>
      <c r="E454" t="str">
        <f>VLOOKUP(H454,'EXPORT IRIS PROD 13-11-2024'!F:F,1,0)</f>
        <v>MISURA_FUORI_SOGLIA_AN_SUPERIORE_SUPERATA</v>
      </c>
      <c r="F454" t="str">
        <f>VLOOKUP(I454,'EXPORT IRIS PROD 13-11-2024'!D:D,1,0)</f>
        <v>Misura fuori soglia AN superiore superata</v>
      </c>
      <c r="G454" s="37" t="s">
        <v>878</v>
      </c>
      <c r="H454" s="38" t="s">
        <v>881</v>
      </c>
      <c r="I454" s="38" t="s">
        <v>882</v>
      </c>
      <c r="J454" s="39" t="s">
        <v>50</v>
      </c>
      <c r="K454" s="39" t="s">
        <v>88</v>
      </c>
      <c r="L454" s="40" t="s">
        <v>21</v>
      </c>
      <c r="M454" s="41" t="s">
        <v>22</v>
      </c>
      <c r="N454" s="42" t="s">
        <v>23</v>
      </c>
      <c r="O454" s="43" t="s">
        <v>24</v>
      </c>
      <c r="P454" s="42" t="s">
        <v>25</v>
      </c>
      <c r="Q454" s="42" t="s">
        <v>21</v>
      </c>
      <c r="R454" s="44"/>
    </row>
    <row r="455" spans="1:18" customFormat="1" x14ac:dyDescent="0.25">
      <c r="A455" t="str">
        <f t="shared" si="14"/>
        <v>Impianto Ventilazione_CO_MISURA_FUORI_SOGLIA_CO_INFERIORE_SUPERATA-Misura fuori soglia CO inferiore superata</v>
      </c>
      <c r="B455" t="str">
        <f t="shared" si="15"/>
        <v>MISURA_FUORI_SOGLIA_CO_INFERIORE_SUPERATA-Misura fuori soglia CO inferiore superata</v>
      </c>
      <c r="C455" t="str">
        <f>VLOOKUP(B455,'[2]Classi allarmi RMT-STIG_rev4'!$C:$C,1,0)</f>
        <v>MISURA_FUORI_SOGLIA_CO_INFERIORE_SUPERATA-Misura fuori soglia CO inferiore superata</v>
      </c>
      <c r="D455" t="str">
        <f>VLOOKUP(B455,'EXPORT IRIS PROD 13-11-2024'!A:A,1,0)</f>
        <v>MISURA_FUORI_SOGLIA_CO_INFERIORE_SUPERATA-Misura fuori soglia CO inferiore superata</v>
      </c>
      <c r="E455" t="str">
        <f>VLOOKUP(H455,'EXPORT IRIS PROD 13-11-2024'!F:F,1,0)</f>
        <v>MISURA_FUORI_SOGLIA_CO_INFERIORE_SUPERATA</v>
      </c>
      <c r="F455" t="str">
        <f>VLOOKUP(I455,'EXPORT IRIS PROD 13-11-2024'!D:D,1,0)</f>
        <v>Misura fuori soglia CO inferiore superata</v>
      </c>
      <c r="G455" s="37" t="s">
        <v>878</v>
      </c>
      <c r="H455" s="38" t="s">
        <v>883</v>
      </c>
      <c r="I455" s="38" t="s">
        <v>884</v>
      </c>
      <c r="J455" s="39" t="s">
        <v>50</v>
      </c>
      <c r="K455" s="39" t="s">
        <v>51</v>
      </c>
      <c r="L455" s="40" t="s">
        <v>21</v>
      </c>
      <c r="M455" s="41" t="s">
        <v>22</v>
      </c>
      <c r="N455" s="42" t="s">
        <v>23</v>
      </c>
      <c r="O455" s="43" t="s">
        <v>24</v>
      </c>
      <c r="P455" s="42" t="s">
        <v>25</v>
      </c>
      <c r="Q455" s="42" t="s">
        <v>21</v>
      </c>
      <c r="R455" s="44"/>
    </row>
    <row r="456" spans="1:18" customFormat="1" x14ac:dyDescent="0.25">
      <c r="A456" t="str">
        <f t="shared" si="14"/>
        <v>Impianto Ventilazione_CO_MISURA_FUORI_SOGLIA_CO_SUPERIORE_SUPERATA-Misura fuori soglia CO superiore superata</v>
      </c>
      <c r="B456" t="str">
        <f t="shared" si="15"/>
        <v>MISURA_FUORI_SOGLIA_CO_SUPERIORE_SUPERATA-Misura fuori soglia CO superiore superata</v>
      </c>
      <c r="C456" t="str">
        <f>VLOOKUP(B456,'[2]Classi allarmi RMT-STIG_rev4'!$C:$C,1,0)</f>
        <v>MISURA_FUORI_SOGLIA_CO_SUPERIORE_SUPERATA-Misura fuori soglia CO superiore superata</v>
      </c>
      <c r="D456" t="str">
        <f>VLOOKUP(B456,'EXPORT IRIS PROD 13-11-2024'!A:A,1,0)</f>
        <v>MISURA_FUORI_SOGLIA_CO_SUPERIORE_SUPERATA-Misura fuori soglia CO superiore superata</v>
      </c>
      <c r="E456" t="str">
        <f>VLOOKUP(H456,'EXPORT IRIS PROD 13-11-2024'!F:F,1,0)</f>
        <v>MISURA_FUORI_SOGLIA_CO_SUPERIORE_SUPERATA</v>
      </c>
      <c r="F456" t="str">
        <f>VLOOKUP(I456,'EXPORT IRIS PROD 13-11-2024'!D:D,1,0)</f>
        <v>Misura fuori soglia CO superiore superata</v>
      </c>
      <c r="G456" s="37" t="s">
        <v>878</v>
      </c>
      <c r="H456" s="38" t="s">
        <v>885</v>
      </c>
      <c r="I456" s="38" t="s">
        <v>886</v>
      </c>
      <c r="J456" s="39" t="s">
        <v>50</v>
      </c>
      <c r="K456" s="39" t="s">
        <v>51</v>
      </c>
      <c r="L456" s="40" t="s">
        <v>21</v>
      </c>
      <c r="M456" s="41" t="s">
        <v>22</v>
      </c>
      <c r="N456" s="42" t="s">
        <v>23</v>
      </c>
      <c r="O456" s="43" t="s">
        <v>24</v>
      </c>
      <c r="P456" s="42" t="s">
        <v>25</v>
      </c>
      <c r="Q456" s="42" t="s">
        <v>21</v>
      </c>
      <c r="R456" s="44"/>
    </row>
    <row r="457" spans="1:18" customFormat="1" x14ac:dyDescent="0.25">
      <c r="A457" t="str">
        <f t="shared" si="14"/>
        <v>Impianto Ventilazione_Ventilatore_MISURA_FUORI_SOGLIA_CORRENTE_INFERIORE_SUPERATA-Misura fuori soglia corrente inferiore superata</v>
      </c>
      <c r="B457" t="str">
        <f t="shared" si="15"/>
        <v>MISURA_FUORI_SOGLIA_CORRENTE_INFERIORE_SUPERATA-Misura fuori soglia corrente inferiore superata</v>
      </c>
      <c r="C457" t="str">
        <f>VLOOKUP(B457,'[2]Classi allarmi RMT-STIG_rev4'!$C:$C,1,0)</f>
        <v>MISURA_FUORI_SOGLIA_CORRENTE_INFERIORE_SUPERATA-Misura fuori soglia corrente inferiore superata</v>
      </c>
      <c r="D457" t="str">
        <f>VLOOKUP(B457,'EXPORT IRIS PROD 13-11-2024'!A:A,1,0)</f>
        <v>MISURA_FUORI_SOGLIA_CORRENTE_INFERIORE_SUPERATA-Misura fuori soglia corrente inferiore superata</v>
      </c>
      <c r="E457" t="str">
        <f>VLOOKUP(H457,'EXPORT IRIS PROD 13-11-2024'!F:F,1,0)</f>
        <v>MISURA_FUORI_SOGLIA_CORRENTE_INFERIORE_SUPERATA</v>
      </c>
      <c r="F457" t="str">
        <f>VLOOKUP(I457,'EXPORT IRIS PROD 13-11-2024'!D:D,1,0)</f>
        <v>Misura fuori soglia corrente inferiore superata</v>
      </c>
      <c r="G457" s="37" t="s">
        <v>85</v>
      </c>
      <c r="H457" s="38" t="s">
        <v>887</v>
      </c>
      <c r="I457" s="38" t="s">
        <v>888</v>
      </c>
      <c r="J457" s="39" t="s">
        <v>50</v>
      </c>
      <c r="K457" s="39" t="s">
        <v>124</v>
      </c>
      <c r="L457" s="40" t="s">
        <v>21</v>
      </c>
      <c r="M457" s="41" t="s">
        <v>22</v>
      </c>
      <c r="N457" s="42" t="s">
        <v>23</v>
      </c>
      <c r="O457" s="43" t="s">
        <v>24</v>
      </c>
      <c r="P457" s="42" t="s">
        <v>25</v>
      </c>
      <c r="Q457" s="42" t="s">
        <v>21</v>
      </c>
      <c r="R457" s="44"/>
    </row>
    <row r="458" spans="1:18" x14ac:dyDescent="0.25">
      <c r="A458" t="str">
        <f t="shared" si="14"/>
        <v>Impianto Ventilazione_Ventilatore_MISURA_FUORI_SOGLIA_CORRENTE_SUPERIORE_SUPERATA-Misura fuori soglia corrente superiore superata</v>
      </c>
      <c r="B458" t="str">
        <f t="shared" si="15"/>
        <v>MISURA_FUORI_SOGLIA_CORRENTE_SUPERIORE_SUPERATA-Misura fuori soglia corrente superiore superata</v>
      </c>
      <c r="C458" t="str">
        <f>VLOOKUP(B458,'[2]Classi allarmi RMT-STIG_rev4'!$C:$C,1,0)</f>
        <v>MISURA_FUORI_SOGLIA_CORRENTE_SUPERIORE_SUPERATA-Misura fuori soglia corrente superiore superata</v>
      </c>
      <c r="D458" t="str">
        <f>VLOOKUP(B458,'EXPORT IRIS PROD 13-11-2024'!A:A,1,0)</f>
        <v>MISURA_FUORI_SOGLIA_CORRENTE_SUPERIORE_SUPERATA-Misura fuori soglia corrente superiore superata</v>
      </c>
      <c r="E458" t="str">
        <f>VLOOKUP(H458,'EXPORT IRIS PROD 13-11-2024'!F:F,1,0)</f>
        <v>MISURA_FUORI_SOGLIA_CORRENTE_SUPERIORE_SUPERATA</v>
      </c>
      <c r="F458" t="str">
        <f>VLOOKUP(I458,'EXPORT IRIS PROD 13-11-2024'!D:D,1,0)</f>
        <v>Misura fuori soglia corrente superiore superata</v>
      </c>
      <c r="G458" s="37" t="s">
        <v>85</v>
      </c>
      <c r="H458" s="38" t="s">
        <v>889</v>
      </c>
      <c r="I458" s="38" t="s">
        <v>890</v>
      </c>
      <c r="J458" s="39" t="s">
        <v>50</v>
      </c>
      <c r="K458" s="39" t="s">
        <v>124</v>
      </c>
      <c r="L458" s="40" t="s">
        <v>21</v>
      </c>
      <c r="M458" s="41" t="s">
        <v>22</v>
      </c>
      <c r="N458" s="42" t="s">
        <v>23</v>
      </c>
      <c r="O458" s="43" t="s">
        <v>24</v>
      </c>
      <c r="P458" s="42" t="s">
        <v>25</v>
      </c>
      <c r="Q458" s="42" t="s">
        <v>21</v>
      </c>
      <c r="R458" s="44"/>
    </row>
    <row r="459" spans="1:18" x14ac:dyDescent="0.25">
      <c r="A459" t="str">
        <f t="shared" si="14"/>
        <v>Impianto Elettrico_Gruppo elettrogeno_MISURA_FUORI_SOGLIA_INFERIORE-Misura fuori soglia inferiore</v>
      </c>
      <c r="B459" t="str">
        <f t="shared" si="15"/>
        <v>MISURA_FUORI_SOGLIA_INFERIORE-Misura fuori soglia inferiore</v>
      </c>
      <c r="C459" t="str">
        <f>VLOOKUP(B459,'[2]Classi allarmi RMT-STIG_rev4'!$C:$C,1,0)</f>
        <v>MISURA_FUORI_SOGLIA_INFERIORE-Misura fuori soglia inferiore</v>
      </c>
      <c r="D459" t="str">
        <f>VLOOKUP(B459,'EXPORT IRIS PROD 13-11-2024'!A:A,1,0)</f>
        <v>MISURA_FUORI_SOGLIA_INFERIORE-Misura fuori soglia inferiore</v>
      </c>
      <c r="E459" t="str">
        <f>VLOOKUP(H459,'EXPORT IRIS PROD 13-11-2024'!F:F,1,0)</f>
        <v>MISURA_FUORI_SOGLIA_INFERIORE</v>
      </c>
      <c r="F459" t="str">
        <f>VLOOKUP(I459,'EXPORT IRIS PROD 13-11-2024'!D:D,1,0)</f>
        <v>Misura fuori soglia inferiore</v>
      </c>
      <c r="G459" s="37" t="s">
        <v>53</v>
      </c>
      <c r="H459" s="38" t="s">
        <v>891</v>
      </c>
      <c r="I459" s="38" t="s">
        <v>892</v>
      </c>
      <c r="J459" s="39" t="s">
        <v>56</v>
      </c>
      <c r="K459" s="50" t="s">
        <v>57</v>
      </c>
      <c r="L459" s="40" t="s">
        <v>21</v>
      </c>
      <c r="M459" s="41" t="s">
        <v>22</v>
      </c>
      <c r="N459" s="42" t="s">
        <v>23</v>
      </c>
      <c r="O459" s="43" t="s">
        <v>24</v>
      </c>
      <c r="P459" s="42" t="s">
        <v>25</v>
      </c>
      <c r="Q459" s="42" t="s">
        <v>21</v>
      </c>
      <c r="R459" s="44"/>
    </row>
    <row r="460" spans="1:18" x14ac:dyDescent="0.25">
      <c r="A460" t="str">
        <f t="shared" si="14"/>
        <v>Impianto Elettrico_Gruppo elettrogeno_MISURA_FUORI_SOGLIA_INFERIORE_SUPERATA-Misura fuori soglia inferiore</v>
      </c>
      <c r="B460" t="str">
        <f t="shared" si="15"/>
        <v>MISURA_FUORI_SOGLIA_INFERIORE_SUPERATA-Misura fuori soglia inferiore</v>
      </c>
      <c r="C460" t="str">
        <f>VLOOKUP(B460,'[2]Classi allarmi RMT-STIG_rev4'!$C:$C,1,0)</f>
        <v>MISURA_FUORI_SOGLIA_INFERIORE_SUPERATA-Misura fuori soglia inferiore</v>
      </c>
      <c r="D460" t="str">
        <f>VLOOKUP(B460,'EXPORT IRIS PROD 13-11-2024'!A:A,1,0)</f>
        <v>MISURA_FUORI_SOGLIA_INFERIORE_SUPERATA-Misura fuori soglia inferiore</v>
      </c>
      <c r="E460" t="str">
        <f>VLOOKUP(H460,'EXPORT IRIS PROD 13-11-2024'!F:F,1,0)</f>
        <v>MISURA_FUORI_SOGLIA_INFERIORE_SUPERATA</v>
      </c>
      <c r="F460" t="str">
        <f>VLOOKUP(I460,'EXPORT IRIS PROD 13-11-2024'!D:D,1,0)</f>
        <v>Misura fuori soglia inferiore</v>
      </c>
      <c r="G460" s="37" t="s">
        <v>53</v>
      </c>
      <c r="H460" s="38" t="s">
        <v>893</v>
      </c>
      <c r="I460" s="38" t="s">
        <v>892</v>
      </c>
      <c r="J460" s="39" t="s">
        <v>56</v>
      </c>
      <c r="K460" s="39" t="s">
        <v>57</v>
      </c>
      <c r="L460" s="40" t="s">
        <v>21</v>
      </c>
      <c r="M460" s="41" t="s">
        <v>22</v>
      </c>
      <c r="N460" s="42" t="s">
        <v>23</v>
      </c>
      <c r="O460" s="43" t="s">
        <v>24</v>
      </c>
      <c r="P460" s="42" t="s">
        <v>25</v>
      </c>
      <c r="Q460" s="42" t="s">
        <v>21</v>
      </c>
      <c r="R460" s="44"/>
    </row>
    <row r="461" spans="1:18" x14ac:dyDescent="0.25">
      <c r="A461" t="str">
        <f t="shared" si="14"/>
        <v>Impianto Rilevazione Incendio_Centralina rilevazione incendio_MISURA_FUORI_SOGLIA_METRICA_SUPERIORE_NORD-Misura soglia metrica superiore superata nord</v>
      </c>
      <c r="B461" t="str">
        <f t="shared" si="15"/>
        <v>MISURA_FUORI_SOGLIA_METRICA_SUPERIORE_NORD-Misura soglia metrica superiore superata nord</v>
      </c>
      <c r="C461" t="str">
        <f>VLOOKUP(B461,'[2]Classi allarmi RMT-STIG_rev4'!$C:$C,1,0)</f>
        <v>MISURA_FUORI_SOGLIA_METRICA_SUPERIORE_NORD-Misura soglia metrica superiore superata nord</v>
      </c>
      <c r="D461" t="str">
        <f>VLOOKUP(B461,'EXPORT IRIS PROD 13-11-2024'!A:A,1,0)</f>
        <v>MISURA_FUORI_SOGLIA_METRICA_SUPERIORE_NORD-Misura soglia metrica superiore superata nord</v>
      </c>
      <c r="E461" t="str">
        <f>VLOOKUP(H461,'EXPORT IRIS PROD 13-11-2024'!F:F,1,0)</f>
        <v>MISURA_FUORI_SOGLIA_METRICA_SUPERIORE_NORD</v>
      </c>
      <c r="F461" t="str">
        <f>VLOOKUP(I461,'EXPORT IRIS PROD 13-11-2024'!D:D,1,0)</f>
        <v>Misura soglia metrica superiore superata nord</v>
      </c>
      <c r="G461" s="37" t="s">
        <v>105</v>
      </c>
      <c r="H461" s="38" t="s">
        <v>894</v>
      </c>
      <c r="I461" s="38" t="s">
        <v>895</v>
      </c>
      <c r="J461" s="39" t="s">
        <v>43</v>
      </c>
      <c r="K461" s="39" t="s">
        <v>108</v>
      </c>
      <c r="L461" s="40" t="s">
        <v>21</v>
      </c>
      <c r="M461" s="41" t="s">
        <v>22</v>
      </c>
      <c r="N461" s="42" t="s">
        <v>23</v>
      </c>
      <c r="O461" s="43" t="s">
        <v>24</v>
      </c>
      <c r="P461" s="42" t="s">
        <v>25</v>
      </c>
      <c r="Q461" s="42" t="s">
        <v>21</v>
      </c>
      <c r="R461" s="44"/>
    </row>
    <row r="462" spans="1:18" x14ac:dyDescent="0.25">
      <c r="A462" t="str">
        <f t="shared" si="14"/>
        <v>Impianto Rilevazione Incendio_Centralina rilevazione incendio_MISURA_FUORI_SOGLIA_METRICA_SUPERIORE_SUD-Misura soglia metrica superiore superata sud</v>
      </c>
      <c r="B462" t="str">
        <f t="shared" si="15"/>
        <v>MISURA_FUORI_SOGLIA_METRICA_SUPERIORE_SUD-Misura soglia metrica superiore superata sud</v>
      </c>
      <c r="C462" t="str">
        <f>VLOOKUP(B462,'[2]Classi allarmi RMT-STIG_rev4'!$C:$C,1,0)</f>
        <v>MISURA_FUORI_SOGLIA_METRICA_SUPERIORE_SUD-Misura soglia metrica superiore superata sud</v>
      </c>
      <c r="D462" t="str">
        <f>VLOOKUP(B462,'EXPORT IRIS PROD 13-11-2024'!A:A,1,0)</f>
        <v>MISURA_FUORI_SOGLIA_METRICA_SUPERIORE_SUD-Misura soglia metrica superiore superata sud</v>
      </c>
      <c r="E462" t="str">
        <f>VLOOKUP(H462,'EXPORT IRIS PROD 13-11-2024'!F:F,1,0)</f>
        <v>MISURA_FUORI_SOGLIA_METRICA_SUPERIORE_SUD</v>
      </c>
      <c r="F462" t="str">
        <f>VLOOKUP(I462,'EXPORT IRIS PROD 13-11-2024'!D:D,1,0)</f>
        <v>Misura soglia metrica superiore superata sud</v>
      </c>
      <c r="G462" s="37" t="s">
        <v>105</v>
      </c>
      <c r="H462" s="38" t="s">
        <v>896</v>
      </c>
      <c r="I462" s="38" t="s">
        <v>897</v>
      </c>
      <c r="J462" s="39" t="s">
        <v>43</v>
      </c>
      <c r="K462" s="39" t="s">
        <v>108</v>
      </c>
      <c r="L462" s="40" t="s">
        <v>21</v>
      </c>
      <c r="M462" s="41" t="s">
        <v>22</v>
      </c>
      <c r="N462" s="42" t="s">
        <v>23</v>
      </c>
      <c r="O462" s="43" t="s">
        <v>24</v>
      </c>
      <c r="P462" s="42" t="s">
        <v>25</v>
      </c>
      <c r="Q462" s="42" t="s">
        <v>21</v>
      </c>
      <c r="R462" s="44"/>
    </row>
    <row r="463" spans="1:18" x14ac:dyDescent="0.25">
      <c r="A463" t="str">
        <f t="shared" si="14"/>
        <v>Impianto Ventilazione_NO_MISURA_FUORI_SOGLIA_NO_INFERIORE_SUPERATA-Misura fuori soglia NO inferiore superata</v>
      </c>
      <c r="B463" t="str">
        <f t="shared" si="15"/>
        <v>MISURA_FUORI_SOGLIA_NO_INFERIORE_SUPERATA-Misura fuori soglia NO inferiore superata</v>
      </c>
      <c r="C463" t="str">
        <f>VLOOKUP(B463,'[2]Classi allarmi RMT-STIG_rev4'!$C:$C,1,0)</f>
        <v>MISURA_FUORI_SOGLIA_NO_INFERIORE_SUPERATA-Misura fuori soglia NO inferiore superata</v>
      </c>
      <c r="D463" t="str">
        <f>VLOOKUP(B463,'EXPORT IRIS PROD 13-11-2024'!A:A,1,0)</f>
        <v>MISURA_FUORI_SOGLIA_NO_INFERIORE_SUPERATA-Misura fuori soglia NO inferiore superata</v>
      </c>
      <c r="E463" t="str">
        <f>VLOOKUP(H463,'EXPORT IRIS PROD 13-11-2024'!F:F,1,0)</f>
        <v>MISURA_FUORI_SOGLIA_NO_INFERIORE_SUPERATA</v>
      </c>
      <c r="F463" t="str">
        <f>VLOOKUP(I463,'EXPORT IRIS PROD 13-11-2024'!D:D,1,0)</f>
        <v>Misura fuori soglia NO inferiore superata</v>
      </c>
      <c r="G463" s="37" t="s">
        <v>878</v>
      </c>
      <c r="H463" s="38" t="s">
        <v>898</v>
      </c>
      <c r="I463" s="38" t="s">
        <v>899</v>
      </c>
      <c r="J463" s="39" t="s">
        <v>50</v>
      </c>
      <c r="K463" s="39" t="s">
        <v>21</v>
      </c>
      <c r="L463" s="40" t="s">
        <v>21</v>
      </c>
      <c r="M463" s="41" t="s">
        <v>22</v>
      </c>
      <c r="N463" s="42" t="s">
        <v>23</v>
      </c>
      <c r="O463" s="43" t="s">
        <v>24</v>
      </c>
      <c r="P463" s="42" t="s">
        <v>25</v>
      </c>
      <c r="Q463" s="42" t="s">
        <v>21</v>
      </c>
      <c r="R463" s="44"/>
    </row>
    <row r="464" spans="1:18" x14ac:dyDescent="0.25">
      <c r="A464" t="str">
        <f t="shared" si="14"/>
        <v>Impianto Ventilazione_NO_MISURA_FUORI_SOGLIA_NO_SUPERIORE_SUPERATA-Misura fuori soglia NO superiore superata</v>
      </c>
      <c r="B464" t="str">
        <f t="shared" si="15"/>
        <v>MISURA_FUORI_SOGLIA_NO_SUPERIORE_SUPERATA-Misura fuori soglia NO superiore superata</v>
      </c>
      <c r="C464" t="str">
        <f>VLOOKUP(B464,'[2]Classi allarmi RMT-STIG_rev4'!$C:$C,1,0)</f>
        <v>MISURA_FUORI_SOGLIA_NO_SUPERIORE_SUPERATA-Misura fuori soglia NO superiore superata</v>
      </c>
      <c r="D464" t="str">
        <f>VLOOKUP(B464,'EXPORT IRIS PROD 13-11-2024'!A:A,1,0)</f>
        <v>MISURA_FUORI_SOGLIA_NO_SUPERIORE_SUPERATA-Misura fuori soglia NO superiore superata</v>
      </c>
      <c r="E464" t="str">
        <f>VLOOKUP(H464,'EXPORT IRIS PROD 13-11-2024'!F:F,1,0)</f>
        <v>MISURA_FUORI_SOGLIA_NO_SUPERIORE_SUPERATA</v>
      </c>
      <c r="F464" t="str">
        <f>VLOOKUP(I464,'EXPORT IRIS PROD 13-11-2024'!D:D,1,0)</f>
        <v>Misura fuori soglia NO superiore superata</v>
      </c>
      <c r="G464" s="37" t="s">
        <v>878</v>
      </c>
      <c r="H464" s="38" t="s">
        <v>900</v>
      </c>
      <c r="I464" s="38" t="s">
        <v>901</v>
      </c>
      <c r="J464" s="39" t="s">
        <v>50</v>
      </c>
      <c r="K464" s="39" t="s">
        <v>21</v>
      </c>
      <c r="L464" s="40" t="s">
        <v>21</v>
      </c>
      <c r="M464" s="41" t="s">
        <v>22</v>
      </c>
      <c r="N464" s="42" t="s">
        <v>23</v>
      </c>
      <c r="O464" s="43" t="s">
        <v>24</v>
      </c>
      <c r="P464" s="42" t="s">
        <v>25</v>
      </c>
      <c r="Q464" s="42" t="s">
        <v>21</v>
      </c>
      <c r="R464" s="44"/>
    </row>
    <row r="465" spans="1:18" x14ac:dyDescent="0.25">
      <c r="A465" t="str">
        <f t="shared" si="14"/>
        <v>Impianto Ventilazione_OP_MISURA_FUORI_SOGLIA_OP_INFERIORE_SUPERATA-Misura fuori soglia OP inferiore superata</v>
      </c>
      <c r="B465" t="str">
        <f t="shared" si="15"/>
        <v>MISURA_FUORI_SOGLIA_OP_INFERIORE_SUPERATA-Misura fuori soglia OP inferiore superata</v>
      </c>
      <c r="C465" t="str">
        <f>VLOOKUP(B465,'[2]Classi allarmi RMT-STIG_rev4'!$C:$C,1,0)</f>
        <v>MISURA_FUORI_SOGLIA_OP_INFERIORE_SUPERATA-Misura fuori soglia OP inferiore superata</v>
      </c>
      <c r="D465" t="str">
        <f>VLOOKUP(B465,'EXPORT IRIS PROD 13-11-2024'!A:A,1,0)</f>
        <v>MISURA_FUORI_SOGLIA_OP_INFERIORE_SUPERATA-Misura fuori soglia OP inferiore superata</v>
      </c>
      <c r="E465" t="str">
        <f>VLOOKUP(H465,'EXPORT IRIS PROD 13-11-2024'!F:F,1,0)</f>
        <v>MISURA_FUORI_SOGLIA_OP_INFERIORE_SUPERATA</v>
      </c>
      <c r="F465" t="str">
        <f>VLOOKUP(I465,'EXPORT IRIS PROD 13-11-2024'!D:D,1,0)</f>
        <v>Misura fuori soglia OP inferiore superata</v>
      </c>
      <c r="G465" s="37" t="s">
        <v>878</v>
      </c>
      <c r="H465" s="38" t="s">
        <v>902</v>
      </c>
      <c r="I465" s="38" t="s">
        <v>903</v>
      </c>
      <c r="J465" s="39" t="s">
        <v>50</v>
      </c>
      <c r="K465" s="39" t="s">
        <v>52</v>
      </c>
      <c r="L465" s="40" t="s">
        <v>21</v>
      </c>
      <c r="M465" s="41" t="s">
        <v>22</v>
      </c>
      <c r="N465" s="42" t="s">
        <v>23</v>
      </c>
      <c r="O465" s="43" t="s">
        <v>24</v>
      </c>
      <c r="P465" s="42" t="s">
        <v>25</v>
      </c>
      <c r="Q465" s="42" t="s">
        <v>21</v>
      </c>
      <c r="R465" s="44"/>
    </row>
    <row r="466" spans="1:18" customFormat="1" x14ac:dyDescent="0.25">
      <c r="A466" t="str">
        <f t="shared" si="14"/>
        <v>Impianto Ventilazione_OP_MISURA_FUORI_SOGLIA_OP_SUPERIORE_SUPERATA-Misura fuori soglia OP superiore superata</v>
      </c>
      <c r="B466" t="str">
        <f t="shared" si="15"/>
        <v>MISURA_FUORI_SOGLIA_OP_SUPERIORE_SUPERATA-Misura fuori soglia OP superiore superata</v>
      </c>
      <c r="C466" t="str">
        <f>VLOOKUP(B466,'[2]Classi allarmi RMT-STIG_rev4'!$C:$C,1,0)</f>
        <v>MISURA_FUORI_SOGLIA_OP_SUPERIORE_SUPERATA-Misura fuori soglia OP superiore superata</v>
      </c>
      <c r="D466" t="str">
        <f>VLOOKUP(B466,'EXPORT IRIS PROD 13-11-2024'!A:A,1,0)</f>
        <v>MISURA_FUORI_SOGLIA_OP_SUPERIORE_SUPERATA-Misura fuori soglia OP superiore superata</v>
      </c>
      <c r="E466" t="str">
        <f>VLOOKUP(H466,'EXPORT IRIS PROD 13-11-2024'!F:F,1,0)</f>
        <v>MISURA_FUORI_SOGLIA_OP_SUPERIORE_SUPERATA</v>
      </c>
      <c r="F466" t="str">
        <f>VLOOKUP(I466,'EXPORT IRIS PROD 13-11-2024'!D:D,1,0)</f>
        <v>Misura fuori soglia OP superiore superata</v>
      </c>
      <c r="G466" s="37" t="s">
        <v>878</v>
      </c>
      <c r="H466" s="38" t="s">
        <v>904</v>
      </c>
      <c r="I466" s="38" t="s">
        <v>905</v>
      </c>
      <c r="J466" s="39" t="s">
        <v>50</v>
      </c>
      <c r="K466" s="39" t="s">
        <v>52</v>
      </c>
      <c r="L466" s="40" t="s">
        <v>21</v>
      </c>
      <c r="M466" s="41" t="s">
        <v>22</v>
      </c>
      <c r="N466" s="42" t="s">
        <v>23</v>
      </c>
      <c r="O466" s="43" t="s">
        <v>24</v>
      </c>
      <c r="P466" s="42" t="s">
        <v>25</v>
      </c>
      <c r="Q466" s="42" t="s">
        <v>21</v>
      </c>
      <c r="R466" s="44"/>
    </row>
    <row r="467" spans="1:18" customFormat="1" x14ac:dyDescent="0.25">
      <c r="A467" t="str">
        <f t="shared" si="14"/>
        <v>Impianto Rilevazione Incendio_Centralina antincendio_MISURA_FUORI_SOGLIA_PRESSIONE_INFERIORE_SUPERATA-Misura fuori soglia pressione inferiore superata</v>
      </c>
      <c r="B467" t="str">
        <f t="shared" si="15"/>
        <v>MISURA_FUORI_SOGLIA_PRESSIONE_INFERIORE_SUPERATA-Misura fuori soglia pressione inferiore superata</v>
      </c>
      <c r="C467" t="str">
        <f>VLOOKUP(B467,'[2]Classi allarmi RMT-STIG_rev4'!$C:$C,1,0)</f>
        <v>MISURA_FUORI_SOGLIA_PRESSIONE_INFERIORE_SUPERATA-Misura fuori soglia pressione inferiore superata</v>
      </c>
      <c r="D467" t="str">
        <f>VLOOKUP(B467,'EXPORT IRIS PROD 13-11-2024'!A:A,1,0)</f>
        <v>MISURA_FUORI_SOGLIA_PRESSIONE_INFERIORE_SUPERATA-Misura fuori soglia pressione inferiore superata</v>
      </c>
      <c r="E467" t="str">
        <f>VLOOKUP(H467,'EXPORT IRIS PROD 13-11-2024'!F:F,1,0)</f>
        <v>MISURA_FUORI_SOGLIA_PRESSIONE_INFERIORE_SUPERATA</v>
      </c>
      <c r="F467" t="str">
        <f>VLOOKUP(I467,'EXPORT IRIS PROD 13-11-2024'!D:D,1,0)</f>
        <v>Misura fuori soglia pressione inferiore superata</v>
      </c>
      <c r="G467" s="37" t="s">
        <v>105</v>
      </c>
      <c r="H467" s="38" t="s">
        <v>906</v>
      </c>
      <c r="I467" s="38" t="s">
        <v>907</v>
      </c>
      <c r="J467" s="39" t="s">
        <v>43</v>
      </c>
      <c r="K467" s="39" t="s">
        <v>130</v>
      </c>
      <c r="L467" s="40" t="s">
        <v>21</v>
      </c>
      <c r="M467" s="41" t="s">
        <v>22</v>
      </c>
      <c r="N467" s="42" t="s">
        <v>23</v>
      </c>
      <c r="O467" s="43" t="s">
        <v>24</v>
      </c>
      <c r="P467" s="42" t="s">
        <v>25</v>
      </c>
      <c r="Q467" s="42" t="s">
        <v>21</v>
      </c>
      <c r="R467" s="44"/>
    </row>
    <row r="468" spans="1:18" customFormat="1" x14ac:dyDescent="0.25">
      <c r="A468" t="str">
        <f t="shared" si="14"/>
        <v>Impianto Rilevazione Incendio_Centralina antincendio_MISURA_FUORI_SOGLIA_PRESSIONE_SUPERIORE_SUPERATA-Misura fuori soglia pressione superiore superata</v>
      </c>
      <c r="B468" t="str">
        <f t="shared" si="15"/>
        <v>MISURA_FUORI_SOGLIA_PRESSIONE_SUPERIORE_SUPERATA-Misura fuori soglia pressione superiore superata</v>
      </c>
      <c r="C468" t="str">
        <f>VLOOKUP(B468,'[2]Classi allarmi RMT-STIG_rev4'!$C:$C,1,0)</f>
        <v>MISURA_FUORI_SOGLIA_PRESSIONE_SUPERIORE_SUPERATA-Misura fuori soglia pressione superiore superata</v>
      </c>
      <c r="D468" t="str">
        <f>VLOOKUP(B468,'EXPORT IRIS PROD 13-11-2024'!A:A,1,0)</f>
        <v>MISURA_FUORI_SOGLIA_PRESSIONE_SUPERIORE_SUPERATA-Misura fuori soglia pressione superiore superata</v>
      </c>
      <c r="E468" t="str">
        <f>VLOOKUP(H468,'EXPORT IRIS PROD 13-11-2024'!F:F,1,0)</f>
        <v>MISURA_FUORI_SOGLIA_PRESSIONE_SUPERIORE_SUPERATA</v>
      </c>
      <c r="F468" t="str">
        <f>VLOOKUP(I468,'EXPORT IRIS PROD 13-11-2024'!D:D,1,0)</f>
        <v>Misura fuori soglia pressione superiore superata</v>
      </c>
      <c r="G468" s="37" t="s">
        <v>105</v>
      </c>
      <c r="H468" s="38" t="s">
        <v>908</v>
      </c>
      <c r="I468" s="38" t="s">
        <v>909</v>
      </c>
      <c r="J468" s="39" t="s">
        <v>43</v>
      </c>
      <c r="K468" s="39" t="s">
        <v>130</v>
      </c>
      <c r="L468" s="40" t="s">
        <v>21</v>
      </c>
      <c r="M468" s="41" t="s">
        <v>22</v>
      </c>
      <c r="N468" s="42" t="s">
        <v>23</v>
      </c>
      <c r="O468" s="43" t="s">
        <v>24</v>
      </c>
      <c r="P468" s="42" t="s">
        <v>25</v>
      </c>
      <c r="Q468" s="42" t="s">
        <v>21</v>
      </c>
      <c r="R468" s="44"/>
    </row>
    <row r="469" spans="1:18" customFormat="1" x14ac:dyDescent="0.25">
      <c r="A469" t="str">
        <f t="shared" si="14"/>
        <v>Impianto Antincendio_Serbatoio acqua_MISURA_FUORI_SOGLIA_SERBATOIO_ACQUA_INFERIORE_SUPERATA-Misura fuori soglia serbatoio acqua inferiore superata</v>
      </c>
      <c r="B469" t="str">
        <f t="shared" si="15"/>
        <v>MISURA_FUORI_SOGLIA_SERBATOIO_ACQUA_INFERIORE_SUPERATA-Misura fuori soglia serbatoio acqua inferiore superata</v>
      </c>
      <c r="C469" t="str">
        <f>VLOOKUP(B469,'[2]Classi allarmi RMT-STIG_rev4'!$C:$C,1,0)</f>
        <v>MISURA_FUORI_SOGLIA_SERBATOIO_ACQUA_INFERIORE_SUPERATA-Misura fuori soglia serbatoio acqua inferiore superata</v>
      </c>
      <c r="D469" t="str">
        <f>VLOOKUP(B469,'EXPORT IRIS PROD 13-11-2024'!A:A,1,0)</f>
        <v>MISURA_FUORI_SOGLIA_SERBATOIO_ACQUA_INFERIORE_SUPERATA-Misura fuori soglia serbatoio acqua inferiore superata</v>
      </c>
      <c r="E469" t="str">
        <f>VLOOKUP(H469,'EXPORT IRIS PROD 13-11-2024'!F:F,1,0)</f>
        <v>MISURA_FUORI_SOGLIA_SERBATOIO_ACQUA_INFERIORE_SUPERATA</v>
      </c>
      <c r="F469" t="str">
        <f>VLOOKUP(I469,'EXPORT IRIS PROD 13-11-2024'!D:D,1,0)</f>
        <v>Misura fuori soglia serbatoio acqua inferiore superata</v>
      </c>
      <c r="G469" s="37" t="s">
        <v>35</v>
      </c>
      <c r="H469" s="38" t="s">
        <v>910</v>
      </c>
      <c r="I469" s="38" t="s">
        <v>911</v>
      </c>
      <c r="J469" s="39" t="s">
        <v>38</v>
      </c>
      <c r="K469" s="39" t="s">
        <v>480</v>
      </c>
      <c r="L469" s="40" t="s">
        <v>21</v>
      </c>
      <c r="M469" s="41" t="s">
        <v>22</v>
      </c>
      <c r="N469" s="42" t="s">
        <v>23</v>
      </c>
      <c r="O469" s="43" t="s">
        <v>24</v>
      </c>
      <c r="P469" s="42" t="s">
        <v>25</v>
      </c>
      <c r="Q469" s="42" t="s">
        <v>21</v>
      </c>
      <c r="R469" s="44"/>
    </row>
    <row r="470" spans="1:18" x14ac:dyDescent="0.25">
      <c r="A470" t="str">
        <f t="shared" si="14"/>
        <v>Impianto Antincendio_Serbatoio acqua_MISURA_FUORI_SOGLIA_SERBATOIO_ACQUA_SUPERIORE_SUPERATA-Misura fuori soglia serbatoio acqua superiore superata</v>
      </c>
      <c r="B470" t="str">
        <f t="shared" si="15"/>
        <v>MISURA_FUORI_SOGLIA_SERBATOIO_ACQUA_SUPERIORE_SUPERATA-Misura fuori soglia serbatoio acqua superiore superata</v>
      </c>
      <c r="C470" t="str">
        <f>VLOOKUP(B470,'[2]Classi allarmi RMT-STIG_rev4'!$C:$C,1,0)</f>
        <v>MISURA_FUORI_SOGLIA_SERBATOIO_ACQUA_SUPERIORE_SUPERATA-Misura fuori soglia serbatoio acqua superiore superata</v>
      </c>
      <c r="D470" t="str">
        <f>VLOOKUP(B470,'EXPORT IRIS PROD 13-11-2024'!A:A,1,0)</f>
        <v>MISURA_FUORI_SOGLIA_SERBATOIO_ACQUA_SUPERIORE_SUPERATA-Misura fuori soglia serbatoio acqua superiore superata</v>
      </c>
      <c r="E470" t="str">
        <f>VLOOKUP(H470,'EXPORT IRIS PROD 13-11-2024'!F:F,1,0)</f>
        <v>MISURA_FUORI_SOGLIA_SERBATOIO_ACQUA_SUPERIORE_SUPERATA</v>
      </c>
      <c r="F470" t="str">
        <f>VLOOKUP(I470,'EXPORT IRIS PROD 13-11-2024'!D:D,1,0)</f>
        <v>Misura fuori soglia serbatoio acqua superiore superata</v>
      </c>
      <c r="G470" s="37" t="s">
        <v>35</v>
      </c>
      <c r="H470" s="38" t="s">
        <v>912</v>
      </c>
      <c r="I470" s="38" t="s">
        <v>913</v>
      </c>
      <c r="J470" s="39" t="s">
        <v>38</v>
      </c>
      <c r="K470" s="39" t="s">
        <v>480</v>
      </c>
      <c r="L470" s="40" t="s">
        <v>21</v>
      </c>
      <c r="M470" s="41" t="s">
        <v>22</v>
      </c>
      <c r="N470" s="42" t="s">
        <v>23</v>
      </c>
      <c r="O470" s="43" t="s">
        <v>24</v>
      </c>
      <c r="P470" s="42" t="s">
        <v>25</v>
      </c>
      <c r="Q470" s="42" t="s">
        <v>21</v>
      </c>
      <c r="R470" s="44"/>
    </row>
    <row r="471" spans="1:18" x14ac:dyDescent="0.25">
      <c r="A471" t="str">
        <f t="shared" si="14"/>
        <v>Impianto Elettrico_Gruppo elettrogeno_MISURA_FUORI_SOGLIA_SUPERIORE-Misura fuori soglia superiore</v>
      </c>
      <c r="B471" t="str">
        <f t="shared" si="15"/>
        <v>MISURA_FUORI_SOGLIA_SUPERIORE-Misura fuori soglia superiore</v>
      </c>
      <c r="C471" t="str">
        <f>VLOOKUP(B471,'[2]Classi allarmi RMT-STIG_rev4'!$C:$C,1,0)</f>
        <v>MISURA_FUORI_SOGLIA_SUPERIORE-Misura fuori soglia superiore</v>
      </c>
      <c r="D471" t="str">
        <f>VLOOKUP(B471,'EXPORT IRIS PROD 13-11-2024'!A:A,1,0)</f>
        <v>MISURA_FUORI_SOGLIA_SUPERIORE-Misura fuori soglia superiore</v>
      </c>
      <c r="E471" t="str">
        <f>VLOOKUP(H471,'EXPORT IRIS PROD 13-11-2024'!F:F,1,0)</f>
        <v>MISURA_FUORI_SOGLIA_SUPERIORE</v>
      </c>
      <c r="F471" t="str">
        <f>VLOOKUP(I471,'EXPORT IRIS PROD 13-11-2024'!D:D,1,0)</f>
        <v>Misura fuori soglia superiore</v>
      </c>
      <c r="G471" s="37" t="s">
        <v>53</v>
      </c>
      <c r="H471" s="38" t="s">
        <v>914</v>
      </c>
      <c r="I471" s="38" t="s">
        <v>915</v>
      </c>
      <c r="J471" s="39" t="s">
        <v>56</v>
      </c>
      <c r="K471" s="39" t="s">
        <v>57</v>
      </c>
      <c r="L471" s="40" t="s">
        <v>21</v>
      </c>
      <c r="M471" s="41" t="s">
        <v>22</v>
      </c>
      <c r="N471" s="42" t="s">
        <v>23</v>
      </c>
      <c r="O471" s="43" t="s">
        <v>24</v>
      </c>
      <c r="P471" s="42" t="s">
        <v>25</v>
      </c>
      <c r="Q471" s="42" t="s">
        <v>21</v>
      </c>
      <c r="R471" s="44"/>
    </row>
    <row r="472" spans="1:18" x14ac:dyDescent="0.25">
      <c r="A472" t="str">
        <f t="shared" si="14"/>
        <v>Impianto Ventilazione_Sensore temperatura_MISURA_FUORI_SOGLIA_T_INFERIORE_SUPERATA-Misura fuori soglia T inferiore superata</v>
      </c>
      <c r="B472" t="str">
        <f t="shared" si="15"/>
        <v>MISURA_FUORI_SOGLIA_T_INFERIORE_SUPERATA-Misura fuori soglia T inferiore superata</v>
      </c>
      <c r="C472" t="str">
        <f>VLOOKUP(B472,'[2]Classi allarmi RMT-STIG_rev4'!$C:$C,1,0)</f>
        <v>MISURA_FUORI_SOGLIA_T_INFERIORE_SUPERATA-Misura fuori soglia T inferiore superata</v>
      </c>
      <c r="D472" t="str">
        <f>VLOOKUP(B472,'EXPORT IRIS PROD 13-11-2024'!A:A,1,0)</f>
        <v>MISURA_FUORI_SOGLIA_T_INFERIORE_SUPERATA-Misura fuori soglia T inferiore superata</v>
      </c>
      <c r="E472" t="str">
        <f>VLOOKUP(H472,'EXPORT IRIS PROD 13-11-2024'!F:F,1,0)</f>
        <v>MISURA_FUORI_SOGLIA_T_INFERIORE_SUPERATA</v>
      </c>
      <c r="F472" t="str">
        <f>VLOOKUP(I472,'EXPORT IRIS PROD 13-11-2024'!D:D,1,0)</f>
        <v>Misura fuori soglia T inferiore superata</v>
      </c>
      <c r="G472" s="37" t="s">
        <v>85</v>
      </c>
      <c r="H472" s="38" t="s">
        <v>916</v>
      </c>
      <c r="I472" s="38" t="s">
        <v>917</v>
      </c>
      <c r="J472" s="39" t="s">
        <v>50</v>
      </c>
      <c r="K472" s="39" t="s">
        <v>918</v>
      </c>
      <c r="L472" s="40" t="s">
        <v>21</v>
      </c>
      <c r="M472" s="41" t="s">
        <v>22</v>
      </c>
      <c r="N472" s="42" t="s">
        <v>23</v>
      </c>
      <c r="O472" s="43" t="s">
        <v>24</v>
      </c>
      <c r="P472" s="42" t="s">
        <v>25</v>
      </c>
      <c r="Q472" s="42" t="s">
        <v>21</v>
      </c>
      <c r="R472" s="44"/>
    </row>
    <row r="473" spans="1:18" customFormat="1" x14ac:dyDescent="0.25">
      <c r="A473" t="str">
        <f t="shared" si="14"/>
        <v>Impianto Ventilazione_Sensore temperatura_MISURA_FUORI_SOGLIA_T_SUPERIORE_SUPERATA-Misura fuori soglia T superiore superata</v>
      </c>
      <c r="B473" t="str">
        <f t="shared" si="15"/>
        <v>MISURA_FUORI_SOGLIA_T_SUPERIORE_SUPERATA-Misura fuori soglia T superiore superata</v>
      </c>
      <c r="C473" t="str">
        <f>VLOOKUP(B473,'[2]Classi allarmi RMT-STIG_rev4'!$C:$C,1,0)</f>
        <v>MISURA_FUORI_SOGLIA_T_SUPERIORE_SUPERATA-Misura fuori soglia T superiore superata</v>
      </c>
      <c r="D473" t="str">
        <f>VLOOKUP(B473,'EXPORT IRIS PROD 13-11-2024'!A:A,1,0)</f>
        <v>MISURA_FUORI_SOGLIA_T_SUPERIORE_SUPERATA-Misura fuori soglia T superiore superata</v>
      </c>
      <c r="E473" t="str">
        <f>VLOOKUP(H473,'EXPORT IRIS PROD 13-11-2024'!F:F,1,0)</f>
        <v>MISURA_FUORI_SOGLIA_T_SUPERIORE_SUPERATA</v>
      </c>
      <c r="F473" t="str">
        <f>VLOOKUP(I473,'EXPORT IRIS PROD 13-11-2024'!D:D,1,0)</f>
        <v>Misura fuori soglia T superiore superata</v>
      </c>
      <c r="G473" s="37" t="s">
        <v>85</v>
      </c>
      <c r="H473" s="38" t="s">
        <v>919</v>
      </c>
      <c r="I473" s="38" t="s">
        <v>920</v>
      </c>
      <c r="J473" s="39" t="s">
        <v>50</v>
      </c>
      <c r="K473" s="39" t="s">
        <v>918</v>
      </c>
      <c r="L473" s="40" t="s">
        <v>21</v>
      </c>
      <c r="M473" s="41" t="s">
        <v>22</v>
      </c>
      <c r="N473" s="42" t="s">
        <v>23</v>
      </c>
      <c r="O473" s="43" t="s">
        <v>24</v>
      </c>
      <c r="P473" s="42" t="s">
        <v>25</v>
      </c>
      <c r="Q473" s="42" t="s">
        <v>21</v>
      </c>
      <c r="R473" s="44"/>
    </row>
    <row r="474" spans="1:18" customFormat="1" x14ac:dyDescent="0.25">
      <c r="A474" t="str">
        <f t="shared" si="14"/>
        <v>Impianto Ventilazione_Ventilatore_MISURA_FUORI_SOGLIA_VIBRAZIONE_INFERIORE_SUPERATA-Misura fuori soglia vibrazione inferiore superata</v>
      </c>
      <c r="B474" t="str">
        <f t="shared" si="15"/>
        <v>MISURA_FUORI_SOGLIA_VIBRAZIONE_INFERIORE_SUPERATA-Misura fuori soglia vibrazione inferiore superata</v>
      </c>
      <c r="C474" t="str">
        <f>VLOOKUP(B474,'[2]Classi allarmi RMT-STIG_rev4'!$C:$C,1,0)</f>
        <v>MISURA_FUORI_SOGLIA_VIBRAZIONE_INFERIORE_SUPERATA-Misura fuori soglia vibrazione inferiore superata</v>
      </c>
      <c r="D474" t="str">
        <f>VLOOKUP(B474,'EXPORT IRIS PROD 13-11-2024'!A:A,1,0)</f>
        <v>MISURA_FUORI_SOGLIA_VIBRAZIONE_INFERIORE_SUPERATA-Misura fuori soglia vibrazione inferiore superata</v>
      </c>
      <c r="E474" t="str">
        <f>VLOOKUP(H474,'EXPORT IRIS PROD 13-11-2024'!F:F,1,0)</f>
        <v>MISURA_FUORI_SOGLIA_VIBRAZIONE_INFERIORE_SUPERATA</v>
      </c>
      <c r="F474" t="str">
        <f>VLOOKUP(I474,'EXPORT IRIS PROD 13-11-2024'!D:D,1,0)</f>
        <v>Misura fuori soglia vibrazione inferiore superata</v>
      </c>
      <c r="G474" s="37" t="s">
        <v>85</v>
      </c>
      <c r="H474" s="38" t="s">
        <v>921</v>
      </c>
      <c r="I474" s="38" t="s">
        <v>922</v>
      </c>
      <c r="J474" s="39" t="s">
        <v>50</v>
      </c>
      <c r="K474" s="39" t="s">
        <v>124</v>
      </c>
      <c r="L474" s="40" t="s">
        <v>21</v>
      </c>
      <c r="M474" s="41" t="s">
        <v>22</v>
      </c>
      <c r="N474" s="42" t="s">
        <v>23</v>
      </c>
      <c r="O474" s="43" t="s">
        <v>24</v>
      </c>
      <c r="P474" s="42" t="s">
        <v>25</v>
      </c>
      <c r="Q474" s="42" t="s">
        <v>21</v>
      </c>
      <c r="R474" s="44"/>
    </row>
    <row r="475" spans="1:18" customFormat="1" x14ac:dyDescent="0.25">
      <c r="A475" t="str">
        <f t="shared" si="14"/>
        <v>Impianto Ventilazione_Ventilatore_MISURA_FUORI_SOGLIA_VIBRAZIONE_SUPERIORE_SUPERATA-Misura fuori soglia vibrazione superiore superata</v>
      </c>
      <c r="B475" t="str">
        <f t="shared" si="15"/>
        <v>MISURA_FUORI_SOGLIA_VIBRAZIONE_SUPERIORE_SUPERATA-Misura fuori soglia vibrazione superiore superata</v>
      </c>
      <c r="C475" t="str">
        <f>VLOOKUP(B475,'[2]Classi allarmi RMT-STIG_rev4'!$C:$C,1,0)</f>
        <v>MISURA_FUORI_SOGLIA_VIBRAZIONE_SUPERIORE_SUPERATA-Misura fuori soglia vibrazione superiore superata</v>
      </c>
      <c r="D475" t="str">
        <f>VLOOKUP(B475,'EXPORT IRIS PROD 13-11-2024'!A:A,1,0)</f>
        <v>MISURA_FUORI_SOGLIA_VIBRAZIONE_SUPERIORE_SUPERATA-Misura fuori soglia vibrazione superiore superata</v>
      </c>
      <c r="E475" t="str">
        <f>VLOOKUP(H475,'EXPORT IRIS PROD 13-11-2024'!F:F,1,0)</f>
        <v>MISURA_FUORI_SOGLIA_VIBRAZIONE_SUPERIORE_SUPERATA</v>
      </c>
      <c r="F475" t="str">
        <f>VLOOKUP(I475,'EXPORT IRIS PROD 13-11-2024'!D:D,1,0)</f>
        <v>Misura fuori soglia vibrazione superiore superata</v>
      </c>
      <c r="G475" s="37" t="s">
        <v>85</v>
      </c>
      <c r="H475" s="38" t="s">
        <v>923</v>
      </c>
      <c r="I475" s="38" t="s">
        <v>924</v>
      </c>
      <c r="J475" s="39" t="s">
        <v>50</v>
      </c>
      <c r="K475" s="39" t="s">
        <v>124</v>
      </c>
      <c r="L475" s="40" t="s">
        <v>21</v>
      </c>
      <c r="M475" s="41" t="s">
        <v>22</v>
      </c>
      <c r="N475" s="42" t="s">
        <v>23</v>
      </c>
      <c r="O475" s="43" t="s">
        <v>24</v>
      </c>
      <c r="P475" s="42" t="s">
        <v>25</v>
      </c>
      <c r="Q475" s="42" t="s">
        <v>21</v>
      </c>
      <c r="R475" s="44"/>
    </row>
    <row r="476" spans="1:18" customFormat="1" x14ac:dyDescent="0.25">
      <c r="A476" t="str">
        <f t="shared" si="14"/>
        <v>Impianto Ventilazione_OP_OP_GUASTO-Allarme guasto sensore OP</v>
      </c>
      <c r="B476" t="str">
        <f t="shared" si="15"/>
        <v>OP_GUASTO-Allarme guasto sensore OP</v>
      </c>
      <c r="C476" t="str">
        <f>VLOOKUP(B476,'[2]Classi allarmi RMT-STIG_rev4'!$C:$C,1,0)</f>
        <v>OP_GUASTO-Allarme guasto sensore OP</v>
      </c>
      <c r="D476" t="str">
        <f>VLOOKUP(B476,'EXPORT IRIS PROD 13-11-2024'!A:A,1,0)</f>
        <v>OP_GUASTO-Allarme guasto sensore OP</v>
      </c>
      <c r="E476" t="str">
        <f>VLOOKUP(H476,'EXPORT IRIS PROD 13-11-2024'!F:F,1,0)</f>
        <v>OP_GUASTO</v>
      </c>
      <c r="F476" t="str">
        <f>VLOOKUP(I476,'EXPORT IRIS PROD 13-11-2024'!D:D,1,0)</f>
        <v>Allarme guasto sensore OP</v>
      </c>
      <c r="G476" s="37" t="s">
        <v>85</v>
      </c>
      <c r="H476" s="38" t="s">
        <v>925</v>
      </c>
      <c r="I476" s="38" t="s">
        <v>549</v>
      </c>
      <c r="J476" s="39" t="s">
        <v>50</v>
      </c>
      <c r="K476" s="50" t="s">
        <v>52</v>
      </c>
      <c r="L476" s="40" t="s">
        <v>21</v>
      </c>
      <c r="M476" s="41" t="s">
        <v>22</v>
      </c>
      <c r="N476" s="42" t="s">
        <v>23</v>
      </c>
      <c r="O476" s="43" t="s">
        <v>24</v>
      </c>
      <c r="P476" s="42" t="s">
        <v>25</v>
      </c>
      <c r="Q476" s="42" t="s">
        <v>21</v>
      </c>
      <c r="R476" s="44"/>
    </row>
    <row r="477" spans="1:18" customFormat="1" x14ac:dyDescent="0.25">
      <c r="A477" t="str">
        <f t="shared" si="14"/>
        <v>Impianto Videosorveglianza_Telecamera attiva_PEDONE-Allarme pedone</v>
      </c>
      <c r="B477" t="str">
        <f t="shared" si="15"/>
        <v>PEDONE-Allarme pedone</v>
      </c>
      <c r="C477" t="str">
        <f>VLOOKUP(B477,'[2]Classi allarmi RMT-STIG_rev4'!$C:$C,1,0)</f>
        <v>PEDONE-Allarme pedone</v>
      </c>
      <c r="D477" t="str">
        <f>VLOOKUP(B477,'EXPORT IRIS PROD 13-11-2024'!A:A,1,0)</f>
        <v>PEDONE-Allarme pedone</v>
      </c>
      <c r="E477" t="str">
        <f>VLOOKUP(H477,'EXPORT IRIS PROD 13-11-2024'!F:F,1,0)</f>
        <v>PEDONE</v>
      </c>
      <c r="F477" t="str">
        <f>VLOOKUP(I477,'EXPORT IRIS PROD 13-11-2024'!D:D,1,0)</f>
        <v>Allarme pedone</v>
      </c>
      <c r="G477" s="37" t="s">
        <v>471</v>
      </c>
      <c r="H477" s="38" t="s">
        <v>926</v>
      </c>
      <c r="I477" s="45" t="s">
        <v>927</v>
      </c>
      <c r="J477" s="46" t="s">
        <v>201</v>
      </c>
      <c r="K477" s="46" t="s">
        <v>380</v>
      </c>
      <c r="L477" s="47" t="s">
        <v>31</v>
      </c>
      <c r="M477" s="48" t="s">
        <v>32</v>
      </c>
      <c r="N477" s="43">
        <v>1</v>
      </c>
      <c r="O477" s="43" t="s">
        <v>33</v>
      </c>
      <c r="P477" s="43" t="s">
        <v>34</v>
      </c>
      <c r="Q477" s="43" t="s">
        <v>31</v>
      </c>
      <c r="R477" s="49"/>
    </row>
    <row r="478" spans="1:18" customFormat="1" x14ac:dyDescent="0.25">
      <c r="A478" t="str">
        <f t="shared" si="14"/>
        <v>Impianto Videosorveglianza_Telecamera passiva_PEDONE-Allarme pedone</v>
      </c>
      <c r="B478" t="str">
        <f t="shared" si="15"/>
        <v>PEDONE-Allarme pedone</v>
      </c>
      <c r="C478" t="str">
        <f>VLOOKUP(B478,'[2]Classi allarmi RMT-STIG_rev4'!$C:$C,1,0)</f>
        <v>PEDONE-Allarme pedone</v>
      </c>
      <c r="D478" t="str">
        <f>VLOOKUP(B478,'EXPORT IRIS PROD 13-11-2024'!A:A,1,0)</f>
        <v>PEDONE-Allarme pedone</v>
      </c>
      <c r="E478" t="str">
        <f>VLOOKUP(H478,'EXPORT IRIS PROD 13-11-2024'!F:F,1,0)</f>
        <v>PEDONE</v>
      </c>
      <c r="F478" t="str">
        <f>VLOOKUP(I478,'EXPORT IRIS PROD 13-11-2024'!D:D,1,0)</f>
        <v>Allarme pedone</v>
      </c>
      <c r="G478" s="37" t="s">
        <v>471</v>
      </c>
      <c r="H478" s="38" t="s">
        <v>926</v>
      </c>
      <c r="I478" s="45" t="s">
        <v>927</v>
      </c>
      <c r="J478" s="46" t="s">
        <v>201</v>
      </c>
      <c r="K478" s="46" t="s">
        <v>263</v>
      </c>
      <c r="L478" s="47" t="s">
        <v>31</v>
      </c>
      <c r="M478" s="48" t="s">
        <v>32</v>
      </c>
      <c r="N478" s="43">
        <v>1</v>
      </c>
      <c r="O478" s="43" t="s">
        <v>33</v>
      </c>
      <c r="P478" s="43" t="s">
        <v>34</v>
      </c>
      <c r="Q478" s="43" t="s">
        <v>31</v>
      </c>
      <c r="R478" s="49"/>
    </row>
    <row r="479" spans="1:18" customFormat="1" x14ac:dyDescent="0.25">
      <c r="A479" t="str">
        <f t="shared" si="14"/>
        <v>Impianto Videosorveglianza_Telecamera attiva_PEDONE_CORSIA_1-Allarme pedone corsia di emergenza</v>
      </c>
      <c r="B479" t="str">
        <f t="shared" si="15"/>
        <v>PEDONE_CORSIA_1-Allarme pedone corsia di emergenza</v>
      </c>
      <c r="C479" t="str">
        <f>VLOOKUP(B479,'[2]Classi allarmi RMT-STIG_rev4'!$C:$C,1,0)</f>
        <v>PEDONE_CORSIA_1-Allarme pedone corsia di emergenza</v>
      </c>
      <c r="D479" t="str">
        <f>VLOOKUP(B479,'EXPORT IRIS PROD 13-11-2024'!A:A,1,0)</f>
        <v>PEDONE_CORSIA_1-Allarme pedone corsia di emergenza</v>
      </c>
      <c r="E479" t="str">
        <f>VLOOKUP(H479,'EXPORT IRIS PROD 13-11-2024'!F:F,1,0)</f>
        <v>PEDONE_CORSIA_1</v>
      </c>
      <c r="F479" t="str">
        <f>VLOOKUP(I479,'EXPORT IRIS PROD 13-11-2024'!D:D,1,0)</f>
        <v>Allarme pedone corsia di emergenza</v>
      </c>
      <c r="G479" s="37" t="s">
        <v>471</v>
      </c>
      <c r="H479" s="38" t="s">
        <v>928</v>
      </c>
      <c r="I479" s="45" t="s">
        <v>929</v>
      </c>
      <c r="J479" s="46" t="s">
        <v>201</v>
      </c>
      <c r="K479" s="46" t="s">
        <v>380</v>
      </c>
      <c r="L479" s="47" t="s">
        <v>31</v>
      </c>
      <c r="M479" s="48" t="s">
        <v>32</v>
      </c>
      <c r="N479" s="43">
        <v>1</v>
      </c>
      <c r="O479" s="43" t="s">
        <v>33</v>
      </c>
      <c r="P479" s="43" t="s">
        <v>34</v>
      </c>
      <c r="Q479" s="43" t="s">
        <v>31</v>
      </c>
      <c r="R479" s="49"/>
    </row>
    <row r="480" spans="1:18" customFormat="1" x14ac:dyDescent="0.25">
      <c r="A480" t="str">
        <f t="shared" si="14"/>
        <v>Impianto Videosorveglianza_Telecamera passiva_PEDONE_CORSIA_1-Allarme pedone corsia di emergenza</v>
      </c>
      <c r="B480" t="str">
        <f t="shared" si="15"/>
        <v>PEDONE_CORSIA_1-Allarme pedone corsia di emergenza</v>
      </c>
      <c r="C480" t="str">
        <f>VLOOKUP(B480,'[2]Classi allarmi RMT-STIG_rev4'!$C:$C,1,0)</f>
        <v>PEDONE_CORSIA_1-Allarme pedone corsia di emergenza</v>
      </c>
      <c r="D480" t="str">
        <f>VLOOKUP(B480,'EXPORT IRIS PROD 13-11-2024'!A:A,1,0)</f>
        <v>PEDONE_CORSIA_1-Allarme pedone corsia di emergenza</v>
      </c>
      <c r="E480" t="str">
        <f>VLOOKUP(H480,'EXPORT IRIS PROD 13-11-2024'!F:F,1,0)</f>
        <v>PEDONE_CORSIA_1</v>
      </c>
      <c r="F480" t="str">
        <f>VLOOKUP(I480,'EXPORT IRIS PROD 13-11-2024'!D:D,1,0)</f>
        <v>Allarme pedone corsia di emergenza</v>
      </c>
      <c r="G480" s="37" t="s">
        <v>471</v>
      </c>
      <c r="H480" s="38" t="s">
        <v>928</v>
      </c>
      <c r="I480" s="45" t="s">
        <v>929</v>
      </c>
      <c r="J480" s="46" t="s">
        <v>201</v>
      </c>
      <c r="K480" s="46" t="s">
        <v>263</v>
      </c>
      <c r="L480" s="47" t="s">
        <v>31</v>
      </c>
      <c r="M480" s="48" t="s">
        <v>32</v>
      </c>
      <c r="N480" s="43">
        <v>1</v>
      </c>
      <c r="O480" s="43" t="s">
        <v>33</v>
      </c>
      <c r="P480" s="43" t="s">
        <v>34</v>
      </c>
      <c r="Q480" s="43" t="s">
        <v>31</v>
      </c>
      <c r="R480" s="49"/>
    </row>
    <row r="481" spans="1:18" customFormat="1" x14ac:dyDescent="0.25">
      <c r="A481" t="str">
        <f t="shared" si="14"/>
        <v>Impianto Videosorveglianza_Telecamera attiva_PEDONE_CORSIA_2-Allarme pedone corsia di marcia</v>
      </c>
      <c r="B481" t="str">
        <f t="shared" si="15"/>
        <v>PEDONE_CORSIA_2-Allarme pedone corsia di marcia</v>
      </c>
      <c r="C481" t="str">
        <f>VLOOKUP(B481,'[2]Classi allarmi RMT-STIG_rev4'!$C:$C,1,0)</f>
        <v>PEDONE_CORSIA_2-Allarme pedone corsia di marcia</v>
      </c>
      <c r="D481" t="str">
        <f>VLOOKUP(B481,'EXPORT IRIS PROD 13-11-2024'!A:A,1,0)</f>
        <v>PEDONE_CORSIA_2-Allarme pedone corsia di marcia</v>
      </c>
      <c r="E481" t="str">
        <f>VLOOKUP(H481,'EXPORT IRIS PROD 13-11-2024'!F:F,1,0)</f>
        <v>PEDONE_CORSIA_2</v>
      </c>
      <c r="F481" t="str">
        <f>VLOOKUP(I481,'EXPORT IRIS PROD 13-11-2024'!D:D,1,0)</f>
        <v>Allarme pedone corsia di marcia</v>
      </c>
      <c r="G481" s="37" t="s">
        <v>471</v>
      </c>
      <c r="H481" s="38" t="s">
        <v>930</v>
      </c>
      <c r="I481" s="45" t="s">
        <v>931</v>
      </c>
      <c r="J481" s="46" t="s">
        <v>201</v>
      </c>
      <c r="K481" s="46" t="s">
        <v>380</v>
      </c>
      <c r="L481" s="47" t="s">
        <v>31</v>
      </c>
      <c r="M481" s="48" t="s">
        <v>32</v>
      </c>
      <c r="N481" s="43">
        <v>1</v>
      </c>
      <c r="O481" s="43" t="s">
        <v>33</v>
      </c>
      <c r="P481" s="43" t="s">
        <v>34</v>
      </c>
      <c r="Q481" s="43" t="s">
        <v>31</v>
      </c>
      <c r="R481" s="49"/>
    </row>
    <row r="482" spans="1:18" customFormat="1" x14ac:dyDescent="0.25">
      <c r="A482" t="str">
        <f t="shared" si="14"/>
        <v>Impianto Videosorveglianza_Telecamera passiva_PEDONE_CORSIA_2-Allarme pedone corsia di marcia</v>
      </c>
      <c r="B482" t="str">
        <f t="shared" si="15"/>
        <v>PEDONE_CORSIA_2-Allarme pedone corsia di marcia</v>
      </c>
      <c r="C482" t="str">
        <f>VLOOKUP(B482,'[2]Classi allarmi RMT-STIG_rev4'!$C:$C,1,0)</f>
        <v>PEDONE_CORSIA_2-Allarme pedone corsia di marcia</v>
      </c>
      <c r="D482" t="str">
        <f>VLOOKUP(B482,'EXPORT IRIS PROD 13-11-2024'!A:A,1,0)</f>
        <v>PEDONE_CORSIA_2-Allarme pedone corsia di marcia</v>
      </c>
      <c r="E482" t="str">
        <f>VLOOKUP(H482,'EXPORT IRIS PROD 13-11-2024'!F:F,1,0)</f>
        <v>PEDONE_CORSIA_2</v>
      </c>
      <c r="F482" t="str">
        <f>VLOOKUP(I482,'EXPORT IRIS PROD 13-11-2024'!D:D,1,0)</f>
        <v>Allarme pedone corsia di marcia</v>
      </c>
      <c r="G482" s="37" t="s">
        <v>471</v>
      </c>
      <c r="H482" s="38" t="s">
        <v>930</v>
      </c>
      <c r="I482" s="45" t="s">
        <v>931</v>
      </c>
      <c r="J482" s="46" t="s">
        <v>201</v>
      </c>
      <c r="K482" s="46" t="s">
        <v>263</v>
      </c>
      <c r="L482" s="47" t="s">
        <v>31</v>
      </c>
      <c r="M482" s="48" t="s">
        <v>32</v>
      </c>
      <c r="N482" s="43">
        <v>1</v>
      </c>
      <c r="O482" s="43" t="s">
        <v>33</v>
      </c>
      <c r="P482" s="43" t="s">
        <v>34</v>
      </c>
      <c r="Q482" s="43" t="s">
        <v>31</v>
      </c>
      <c r="R482" s="49"/>
    </row>
    <row r="483" spans="1:18" customFormat="1" x14ac:dyDescent="0.25">
      <c r="A483" t="str">
        <f t="shared" si="14"/>
        <v>Impianto Videosorveglianza_Telecamera attiva_PEDONE_CORSIA_3-Allarme pedone corsia veloce</v>
      </c>
      <c r="B483" t="str">
        <f t="shared" si="15"/>
        <v>PEDONE_CORSIA_3-Allarme pedone corsia veloce</v>
      </c>
      <c r="C483" t="str">
        <f>VLOOKUP(B483,'[2]Classi allarmi RMT-STIG_rev4'!$C:$C,1,0)</f>
        <v>PEDONE_CORSIA_3-Allarme pedone corsia veloce</v>
      </c>
      <c r="D483" t="str">
        <f>VLOOKUP(B483,'EXPORT IRIS PROD 13-11-2024'!A:A,1,0)</f>
        <v>PEDONE_CORSIA_3-Allarme pedone corsia veloce</v>
      </c>
      <c r="E483" t="str">
        <f>VLOOKUP(H483,'EXPORT IRIS PROD 13-11-2024'!F:F,1,0)</f>
        <v>PEDONE_CORSIA_3</v>
      </c>
      <c r="F483" t="str">
        <f>VLOOKUP(I483,'EXPORT IRIS PROD 13-11-2024'!D:D,1,0)</f>
        <v>Allarme pedone corsia veloce</v>
      </c>
      <c r="G483" s="37" t="s">
        <v>471</v>
      </c>
      <c r="H483" s="38" t="s">
        <v>932</v>
      </c>
      <c r="I483" s="45" t="s">
        <v>933</v>
      </c>
      <c r="J483" s="46" t="s">
        <v>201</v>
      </c>
      <c r="K483" s="46" t="s">
        <v>380</v>
      </c>
      <c r="L483" s="47" t="s">
        <v>31</v>
      </c>
      <c r="M483" s="48" t="s">
        <v>32</v>
      </c>
      <c r="N483" s="43">
        <v>1</v>
      </c>
      <c r="O483" s="43" t="s">
        <v>33</v>
      </c>
      <c r="P483" s="43" t="s">
        <v>34</v>
      </c>
      <c r="Q483" s="43" t="s">
        <v>31</v>
      </c>
      <c r="R483" s="49"/>
    </row>
    <row r="484" spans="1:18" customFormat="1" x14ac:dyDescent="0.25">
      <c r="A484" t="str">
        <f t="shared" si="14"/>
        <v>Impianto Videosorveglianza_Telecamera passiva_PEDONE_CORSIA_3-Allarme pedone corsia veloce</v>
      </c>
      <c r="B484" t="str">
        <f t="shared" si="15"/>
        <v>PEDONE_CORSIA_3-Allarme pedone corsia veloce</v>
      </c>
      <c r="C484" t="str">
        <f>VLOOKUP(B484,'[2]Classi allarmi RMT-STIG_rev4'!$C:$C,1,0)</f>
        <v>PEDONE_CORSIA_3-Allarme pedone corsia veloce</v>
      </c>
      <c r="D484" t="str">
        <f>VLOOKUP(B484,'EXPORT IRIS PROD 13-11-2024'!A:A,1,0)</f>
        <v>PEDONE_CORSIA_3-Allarme pedone corsia veloce</v>
      </c>
      <c r="E484" t="str">
        <f>VLOOKUP(H484,'EXPORT IRIS PROD 13-11-2024'!F:F,1,0)</f>
        <v>PEDONE_CORSIA_3</v>
      </c>
      <c r="F484" t="str">
        <f>VLOOKUP(I484,'EXPORT IRIS PROD 13-11-2024'!D:D,1,0)</f>
        <v>Allarme pedone corsia veloce</v>
      </c>
      <c r="G484" s="37" t="s">
        <v>471</v>
      </c>
      <c r="H484" s="38" t="s">
        <v>932</v>
      </c>
      <c r="I484" s="45" t="s">
        <v>933</v>
      </c>
      <c r="J484" s="46" t="s">
        <v>201</v>
      </c>
      <c r="K484" s="46" t="s">
        <v>263</v>
      </c>
      <c r="L484" s="47" t="s">
        <v>31</v>
      </c>
      <c r="M484" s="48" t="s">
        <v>32</v>
      </c>
      <c r="N484" s="43">
        <v>1</v>
      </c>
      <c r="O484" s="43" t="s">
        <v>33</v>
      </c>
      <c r="P484" s="43" t="s">
        <v>34</v>
      </c>
      <c r="Q484" s="43" t="s">
        <v>31</v>
      </c>
      <c r="R484" s="49"/>
    </row>
    <row r="485" spans="1:18" x14ac:dyDescent="0.25">
      <c r="A485" t="str">
        <f t="shared" si="14"/>
        <v>Impianto Elettrico_Quadro elettrico_PORTA_QUADRO_ALIMENTAZIONE-Allarme porta quadro alimentazione</v>
      </c>
      <c r="B485" t="str">
        <f t="shared" si="15"/>
        <v>PORTA_QUADRO_ALIMENTAZIONE-Allarme porta quadro alimentazione</v>
      </c>
      <c r="C485" t="str">
        <f>VLOOKUP(B485,'[2]Classi allarmi RMT-STIG_rev4'!$C:$C,1,0)</f>
        <v>PORTA_QUADRO_ALIMENTAZIONE-Allarme porta quadro alimentazione</v>
      </c>
      <c r="D485" t="str">
        <f>VLOOKUP(B485,'EXPORT IRIS PROD 13-11-2024'!A:A,1,0)</f>
        <v>PORTA_QUADRO_ALIMENTAZIONE-Allarme porta quadro alimentazione</v>
      </c>
      <c r="E485" t="str">
        <f>VLOOKUP(H485,'EXPORT IRIS PROD 13-11-2024'!F:F,1,0)</f>
        <v>PORTA_QUADRO_ALIMENTAZIONE</v>
      </c>
      <c r="F485" t="str">
        <f>VLOOKUP(I485,'EXPORT IRIS PROD 13-11-2024'!D:D,1,0)</f>
        <v>Allarme porta quadro alimentazione</v>
      </c>
      <c r="G485" s="37" t="s">
        <v>53</v>
      </c>
      <c r="H485" s="38" t="s">
        <v>934</v>
      </c>
      <c r="I485" s="38" t="s">
        <v>935</v>
      </c>
      <c r="J485" s="39" t="s">
        <v>56</v>
      </c>
      <c r="K485" s="39" t="s">
        <v>114</v>
      </c>
      <c r="L485" s="40" t="s">
        <v>21</v>
      </c>
      <c r="M485" s="41" t="s">
        <v>22</v>
      </c>
      <c r="N485" s="42" t="s">
        <v>23</v>
      </c>
      <c r="O485" s="43" t="s">
        <v>24</v>
      </c>
      <c r="P485" s="42" t="s">
        <v>25</v>
      </c>
      <c r="Q485" s="42" t="s">
        <v>21</v>
      </c>
      <c r="R485" s="44"/>
    </row>
    <row r="486" spans="1:18" x14ac:dyDescent="0.25">
      <c r="A486" t="str">
        <f t="shared" si="14"/>
        <v>Impianto SOS_Colonnina SOS_PORTA_QUADRO_ALIMENTAZIONE-Allarme porta quadro alimentazione</v>
      </c>
      <c r="B486" t="str">
        <f t="shared" si="15"/>
        <v>PORTA_QUADRO_ALIMENTAZIONE-Allarme porta quadro alimentazione</v>
      </c>
      <c r="C486" t="str">
        <f>VLOOKUP(B486,'[2]Classi allarmi RMT-STIG_rev4'!$C:$C,1,0)</f>
        <v>PORTA_QUADRO_ALIMENTAZIONE-Allarme porta quadro alimentazione</v>
      </c>
      <c r="D486" t="str">
        <f>VLOOKUP(B486,'EXPORT IRIS PROD 13-11-2024'!A:A,1,0)</f>
        <v>PORTA_QUADRO_ALIMENTAZIONE-Allarme porta quadro alimentazione</v>
      </c>
      <c r="E486" t="str">
        <f>VLOOKUP(H486,'EXPORT IRIS PROD 13-11-2024'!F:F,1,0)</f>
        <v>PORTA_QUADRO_ALIMENTAZIONE</v>
      </c>
      <c r="F486" t="str">
        <f>VLOOKUP(I486,'EXPORT IRIS PROD 13-11-2024'!D:D,1,0)</f>
        <v>Allarme porta quadro alimentazione</v>
      </c>
      <c r="G486" s="37" t="s">
        <v>89</v>
      </c>
      <c r="H486" s="38" t="s">
        <v>934</v>
      </c>
      <c r="I486" s="38" t="s">
        <v>935</v>
      </c>
      <c r="J486" s="39" t="s">
        <v>29</v>
      </c>
      <c r="K486" s="39" t="s">
        <v>360</v>
      </c>
      <c r="L486" s="40" t="s">
        <v>21</v>
      </c>
      <c r="M486" s="41" t="s">
        <v>22</v>
      </c>
      <c r="N486" s="42" t="s">
        <v>23</v>
      </c>
      <c r="O486" s="43" t="s">
        <v>24</v>
      </c>
      <c r="P486" s="42" t="s">
        <v>25</v>
      </c>
      <c r="Q486" s="42" t="s">
        <v>21</v>
      </c>
      <c r="R486" s="44"/>
    </row>
    <row r="487" spans="1:18" x14ac:dyDescent="0.25">
      <c r="A487" t="str">
        <f t="shared" si="14"/>
        <v>Impianto Elettrico_Trasformatore_PRE_ALLARME-Preallarme</v>
      </c>
      <c r="B487" t="str">
        <f t="shared" si="15"/>
        <v>PRE_ALLARME-Preallarme</v>
      </c>
      <c r="C487" t="str">
        <f>VLOOKUP(B487,'[2]Classi allarmi RMT-STIG_rev4'!$C:$C,1,0)</f>
        <v>PRE_ALLARME-Preallarme</v>
      </c>
      <c r="D487" t="str">
        <f>VLOOKUP(B487,'EXPORT IRIS PROD 13-11-2024'!A:A,1,0)</f>
        <v>PRE_ALLARME-Preallarme</v>
      </c>
      <c r="E487" t="str">
        <f>VLOOKUP(H487,'EXPORT IRIS PROD 13-11-2024'!F:F,1,0)</f>
        <v>PRE_ALLARME</v>
      </c>
      <c r="F487" t="str">
        <f>VLOOKUP(I487,'EXPORT IRIS PROD 13-11-2024'!D:D,1,0)</f>
        <v>Preallarme</v>
      </c>
      <c r="G487" s="37" t="s">
        <v>53</v>
      </c>
      <c r="H487" s="38" t="s">
        <v>936</v>
      </c>
      <c r="I487" s="38" t="s">
        <v>937</v>
      </c>
      <c r="J487" s="39" t="s">
        <v>56</v>
      </c>
      <c r="K487" s="39" t="s">
        <v>208</v>
      </c>
      <c r="L487" s="40" t="s">
        <v>21</v>
      </c>
      <c r="M487" s="41" t="s">
        <v>22</v>
      </c>
      <c r="N487" s="42" t="s">
        <v>23</v>
      </c>
      <c r="O487" s="43" t="s">
        <v>24</v>
      </c>
      <c r="P487" s="42" t="s">
        <v>25</v>
      </c>
      <c r="Q487" s="42" t="s">
        <v>21</v>
      </c>
      <c r="R487" s="44"/>
    </row>
    <row r="488" spans="1:18" x14ac:dyDescent="0.25">
      <c r="A488" t="str">
        <f t="shared" si="14"/>
        <v>Impianto Ventilazione_Ventilatore_PRE_ALLARME-Preallarme</v>
      </c>
      <c r="B488" t="str">
        <f t="shared" si="15"/>
        <v>PRE_ALLARME-Preallarme</v>
      </c>
      <c r="C488" t="str">
        <f>VLOOKUP(B488,'[2]Classi allarmi RMT-STIG_rev4'!$C:$C,1,0)</f>
        <v>PRE_ALLARME-Preallarme</v>
      </c>
      <c r="D488" t="str">
        <f>VLOOKUP(B488,'EXPORT IRIS PROD 13-11-2024'!A:A,1,0)</f>
        <v>PRE_ALLARME-Preallarme</v>
      </c>
      <c r="E488" t="str">
        <f>VLOOKUP(H488,'EXPORT IRIS PROD 13-11-2024'!F:F,1,0)</f>
        <v>PRE_ALLARME</v>
      </c>
      <c r="F488" t="str">
        <f>VLOOKUP(I488,'EXPORT IRIS PROD 13-11-2024'!D:D,1,0)</f>
        <v>Preallarme</v>
      </c>
      <c r="G488" s="37" t="s">
        <v>85</v>
      </c>
      <c r="H488" s="38" t="s">
        <v>936</v>
      </c>
      <c r="I488" s="38" t="s">
        <v>937</v>
      </c>
      <c r="J488" s="39" t="s">
        <v>50</v>
      </c>
      <c r="K488" s="39" t="s">
        <v>124</v>
      </c>
      <c r="L488" s="40" t="s">
        <v>21</v>
      </c>
      <c r="M488" s="41" t="s">
        <v>22</v>
      </c>
      <c r="N488" s="42" t="s">
        <v>23</v>
      </c>
      <c r="O488" s="43" t="s">
        <v>24</v>
      </c>
      <c r="P488" s="42" t="s">
        <v>25</v>
      </c>
      <c r="Q488" s="42" t="s">
        <v>21</v>
      </c>
      <c r="R488" s="44"/>
    </row>
    <row r="489" spans="1:18" x14ac:dyDescent="0.25">
      <c r="A489" t="str">
        <f t="shared" si="14"/>
        <v>Impianto Rilevazione Incendio_Rilevatore incendio (presente in galleria - zone)_PRE_ALLARME_GRADIENTE-Preallarme gradiente termico</v>
      </c>
      <c r="B489" t="str">
        <f t="shared" si="15"/>
        <v>PRE_ALLARME_GRADIENTE-Preallarme gradiente termico</v>
      </c>
      <c r="C489" t="str">
        <f>VLOOKUP(B489,'[2]Classi allarmi RMT-STIG_rev4'!$C:$C,1,0)</f>
        <v>PRE_ALLARME_GRADIENTE-Preallarme gradiente termico</v>
      </c>
      <c r="D489" t="str">
        <f>VLOOKUP(B489,'EXPORT IRIS PROD 13-11-2024'!A:A,1,0)</f>
        <v>PRE_ALLARME_GRADIENTE-Preallarme gradiente termico</v>
      </c>
      <c r="E489" t="str">
        <f>VLOOKUP(H489,'EXPORT IRIS PROD 13-11-2024'!F:F,1,0)</f>
        <v>PRE_ALLARME_GRADIENTE</v>
      </c>
      <c r="F489" t="str">
        <f>VLOOKUP(I489,'EXPORT IRIS PROD 13-11-2024'!D:D,1,0)</f>
        <v>Preallarme gradiente termico</v>
      </c>
      <c r="G489" s="37" t="s">
        <v>47</v>
      </c>
      <c r="H489" s="38" t="s">
        <v>938</v>
      </c>
      <c r="I489" s="45" t="s">
        <v>939</v>
      </c>
      <c r="J489" s="46" t="s">
        <v>43</v>
      </c>
      <c r="K489" s="46" t="s">
        <v>856</v>
      </c>
      <c r="L489" s="47" t="s">
        <v>31</v>
      </c>
      <c r="M489" s="48" t="s">
        <v>32</v>
      </c>
      <c r="N489" s="43">
        <v>2</v>
      </c>
      <c r="O489" s="43" t="s">
        <v>157</v>
      </c>
      <c r="P489" s="43" t="s">
        <v>158</v>
      </c>
      <c r="Q489" s="42" t="s">
        <v>21</v>
      </c>
      <c r="R489" s="49"/>
    </row>
    <row r="490" spans="1:18" x14ac:dyDescent="0.25">
      <c r="A490" t="str">
        <f t="shared" si="14"/>
        <v>Impianto Elettrico_Pressostato_PRESSOSTATO-Allarme pressostato</v>
      </c>
      <c r="B490" t="str">
        <f t="shared" si="15"/>
        <v>PRESSOSTATO-Allarme pressostato</v>
      </c>
      <c r="C490" t="str">
        <f>VLOOKUP(B490,'[2]Classi allarmi RMT-STIG_rev4'!$C:$C,1,0)</f>
        <v>PRESSOSTATO-Allarme pressostato</v>
      </c>
      <c r="D490" t="str">
        <f>VLOOKUP(B490,'EXPORT IRIS PROD 13-11-2024'!A:A,1,0)</f>
        <v>PRESSOSTATO-Allarme pressostato</v>
      </c>
      <c r="E490" t="str">
        <f>VLOOKUP(H490,'EXPORT IRIS PROD 13-11-2024'!F:F,1,0)</f>
        <v>PRESSOSTATO</v>
      </c>
      <c r="F490" t="str">
        <f>VLOOKUP(I490,'EXPORT IRIS PROD 13-11-2024'!D:D,1,0)</f>
        <v>Allarme pressostato</v>
      </c>
      <c r="G490" s="37" t="s">
        <v>53</v>
      </c>
      <c r="H490" s="38" t="s">
        <v>940</v>
      </c>
      <c r="I490" s="38" t="s">
        <v>941</v>
      </c>
      <c r="J490" s="39" t="s">
        <v>56</v>
      </c>
      <c r="K490" s="39" t="s">
        <v>942</v>
      </c>
      <c r="L490" s="40" t="s">
        <v>21</v>
      </c>
      <c r="M490" s="41" t="s">
        <v>22</v>
      </c>
      <c r="N490" s="42" t="s">
        <v>23</v>
      </c>
      <c r="O490" s="43" t="s">
        <v>24</v>
      </c>
      <c r="P490" s="42" t="s">
        <v>25</v>
      </c>
      <c r="Q490" s="42" t="s">
        <v>21</v>
      </c>
      <c r="R490" s="44"/>
    </row>
    <row r="491" spans="1:18" x14ac:dyDescent="0.25">
      <c r="A491" t="str">
        <f t="shared" si="14"/>
        <v>Impianto Elettrico_Rele_RELE_MINIMA_TENSIONE-Allarme rele minima tensione</v>
      </c>
      <c r="B491" t="str">
        <f t="shared" si="15"/>
        <v>RELE_MINIMA_TENSIONE-Allarme rele minima tensione</v>
      </c>
      <c r="C491" t="str">
        <f>VLOOKUP(B491,'[2]Classi allarmi RMT-STIG_rev4'!$C:$C,1,0)</f>
        <v>RELE_MINIMA_TENSIONE-Allarme rele minima tensione</v>
      </c>
      <c r="D491" t="str">
        <f>VLOOKUP(B491,'EXPORT IRIS PROD 13-11-2024'!A:A,1,0)</f>
        <v>RELE_MINIMA_TENSIONE-Allarme rele minima tensione</v>
      </c>
      <c r="E491" t="str">
        <f>VLOOKUP(H491,'EXPORT IRIS PROD 13-11-2024'!F:F,1,0)</f>
        <v>RELE_MINIMA_TENSIONE</v>
      </c>
      <c r="F491" t="str">
        <f>VLOOKUP(I491,'EXPORT IRIS PROD 13-11-2024'!D:D,1,0)</f>
        <v>Allarme rele minima tensione</v>
      </c>
      <c r="G491" s="37" t="s">
        <v>53</v>
      </c>
      <c r="H491" s="38" t="s">
        <v>943</v>
      </c>
      <c r="I491" s="38" t="s">
        <v>944</v>
      </c>
      <c r="J491" s="39" t="s">
        <v>56</v>
      </c>
      <c r="K491" s="39" t="s">
        <v>402</v>
      </c>
      <c r="L491" s="40" t="s">
        <v>21</v>
      </c>
      <c r="M491" s="41" t="s">
        <v>22</v>
      </c>
      <c r="N491" s="42" t="s">
        <v>23</v>
      </c>
      <c r="O491" s="43" t="s">
        <v>24</v>
      </c>
      <c r="P491" s="42" t="s">
        <v>25</v>
      </c>
      <c r="Q491" s="42" t="s">
        <v>21</v>
      </c>
      <c r="R491" s="44"/>
    </row>
    <row r="492" spans="1:18" x14ac:dyDescent="0.25">
      <c r="A492" t="str">
        <f t="shared" si="14"/>
        <v>Impianto Ventilazione_Ventilatore_SCATTO_PROTEZIONE-Allarme scatto protezione magnetotermica</v>
      </c>
      <c r="B492" t="str">
        <f t="shared" si="15"/>
        <v>SCATTO_PROTEZIONE-Allarme scatto protezione magnetotermica</v>
      </c>
      <c r="C492" t="str">
        <f>VLOOKUP(B492,'[2]Classi allarmi RMT-STIG_rev4'!$C:$C,1,0)</f>
        <v>SCATTO_PROTEZIONE-Allarme scatto protezione magnetotermica</v>
      </c>
      <c r="D492" t="str">
        <f>VLOOKUP(B492,'EXPORT IRIS PROD 13-11-2024'!A:A,1,0)</f>
        <v>SCATTO_PROTEZIONE-Allarme scatto protezione magnetotermica</v>
      </c>
      <c r="E492" t="str">
        <f>VLOOKUP(H492,'EXPORT IRIS PROD 13-11-2024'!F:F,1,0)</f>
        <v>SCATTO_PROTEZIONE</v>
      </c>
      <c r="F492" t="str">
        <f>VLOOKUP(I492,'EXPORT IRIS PROD 13-11-2024'!D:D,1,0)</f>
        <v>Allarme scatto protezione magnetotermica</v>
      </c>
      <c r="G492" s="37" t="s">
        <v>85</v>
      </c>
      <c r="H492" s="38" t="s">
        <v>945</v>
      </c>
      <c r="I492" s="38" t="s">
        <v>467</v>
      </c>
      <c r="J492" s="39" t="s">
        <v>50</v>
      </c>
      <c r="K492" s="39" t="s">
        <v>124</v>
      </c>
      <c r="L492" s="40" t="s">
        <v>21</v>
      </c>
      <c r="M492" s="41" t="s">
        <v>22</v>
      </c>
      <c r="N492" s="42" t="s">
        <v>23</v>
      </c>
      <c r="O492" s="43" t="s">
        <v>24</v>
      </c>
      <c r="P492" s="42" t="s">
        <v>25</v>
      </c>
      <c r="Q492" s="42" t="s">
        <v>21</v>
      </c>
      <c r="R492" s="44"/>
    </row>
    <row r="493" spans="1:18" x14ac:dyDescent="0.25">
      <c r="A493" t="str">
        <f t="shared" si="14"/>
        <v>Impianto Ventilazione_Ventilatore_SCATTO_TERMICO_SCT_SALVA_MOTORE-Allarme scatto termico salva motore</v>
      </c>
      <c r="B493" t="str">
        <f t="shared" si="15"/>
        <v>SCATTO_TERMICO_SCT_SALVA_MOTORE-Allarme scatto termico salva motore</v>
      </c>
      <c r="C493" t="str">
        <f>VLOOKUP(B493,'[2]Classi allarmi RMT-STIG_rev4'!$C:$C,1,0)</f>
        <v>SCATTO_TERMICO_SCT_SALVA_MOTORE-Allarme scatto termico salva motore</v>
      </c>
      <c r="D493" t="str">
        <f>VLOOKUP(B493,'EXPORT IRIS PROD 13-11-2024'!A:A,1,0)</f>
        <v>SCATTO_TERMICO_SCT_SALVA_MOTORE-Allarme scatto termico salva motore</v>
      </c>
      <c r="E493" t="str">
        <f>VLOOKUP(H493,'EXPORT IRIS PROD 13-11-2024'!F:F,1,0)</f>
        <v>SCATTO_TERMICO_SCT_SALVA_MOTORE</v>
      </c>
      <c r="F493" t="str">
        <f>VLOOKUP(I493,'EXPORT IRIS PROD 13-11-2024'!D:D,1,0)</f>
        <v>Allarme scatto termico salva motore</v>
      </c>
      <c r="G493" s="37" t="s">
        <v>85</v>
      </c>
      <c r="H493" s="38" t="s">
        <v>946</v>
      </c>
      <c r="I493" s="38" t="s">
        <v>947</v>
      </c>
      <c r="J493" s="39" t="s">
        <v>50</v>
      </c>
      <c r="K493" s="39" t="s">
        <v>124</v>
      </c>
      <c r="L493" s="40" t="s">
        <v>21</v>
      </c>
      <c r="M493" s="41" t="s">
        <v>22</v>
      </c>
      <c r="N493" s="42" t="s">
        <v>23</v>
      </c>
      <c r="O493" s="43" t="s">
        <v>24</v>
      </c>
      <c r="P493" s="42" t="s">
        <v>25</v>
      </c>
      <c r="Q493" s="42" t="s">
        <v>21</v>
      </c>
      <c r="R493" s="44"/>
    </row>
    <row r="494" spans="1:18" customFormat="1" x14ac:dyDescent="0.25">
      <c r="A494" t="str">
        <f t="shared" si="14"/>
        <v>Impianto Bypass_Serranda_SERRANDA_IN_APERTURA-Allarme serranda in apertura</v>
      </c>
      <c r="B494" t="str">
        <f t="shared" si="15"/>
        <v>SERRANDA_IN_APERTURA-Allarme serranda in apertura</v>
      </c>
      <c r="C494" t="str">
        <f>VLOOKUP(B494,'[2]Classi allarmi RMT-STIG_rev4'!$C:$C,1,0)</f>
        <v>SERRANDA_IN_APERTURA-Allarme serranda in apertura</v>
      </c>
      <c r="D494" t="str">
        <f>VLOOKUP(B494,'EXPORT IRIS PROD 13-11-2024'!A:A,1,0)</f>
        <v>SERRANDA_IN_APERTURA-Allarme serranda in apertura</v>
      </c>
      <c r="E494" t="str">
        <f>VLOOKUP(H494,'EXPORT IRIS PROD 13-11-2024'!F:F,1,0)</f>
        <v>SERRANDA_IN_APERTURA</v>
      </c>
      <c r="F494" t="str">
        <f>VLOOKUP(I494,'EXPORT IRIS PROD 13-11-2024'!D:D,1,0)</f>
        <v>Allarme serranda in apertura</v>
      </c>
      <c r="G494" s="37" t="s">
        <v>576</v>
      </c>
      <c r="H494" s="38" t="s">
        <v>948</v>
      </c>
      <c r="I494" s="38" t="s">
        <v>949</v>
      </c>
      <c r="J494" s="39" t="s">
        <v>274</v>
      </c>
      <c r="K494" s="39" t="s">
        <v>275</v>
      </c>
      <c r="L494" s="40" t="s">
        <v>21</v>
      </c>
      <c r="M494" s="41" t="s">
        <v>22</v>
      </c>
      <c r="N494" s="42" t="s">
        <v>23</v>
      </c>
      <c r="O494" s="43" t="s">
        <v>24</v>
      </c>
      <c r="P494" s="42" t="s">
        <v>25</v>
      </c>
      <c r="Q494" s="42" t="s">
        <v>21</v>
      </c>
      <c r="R494" s="52"/>
    </row>
    <row r="495" spans="1:18" customFormat="1" x14ac:dyDescent="0.25">
      <c r="A495" t="str">
        <f t="shared" si="14"/>
        <v>Impianto Bypass_Serranda_SERRANDA_IN_CHIUSURA-Allarme serranda in chiusura</v>
      </c>
      <c r="B495" t="str">
        <f t="shared" si="15"/>
        <v>SERRANDA_IN_CHIUSURA-Allarme serranda in chiusura</v>
      </c>
      <c r="C495" t="str">
        <f>VLOOKUP(B495,'[2]Classi allarmi RMT-STIG_rev4'!$C:$C,1,0)</f>
        <v>SERRANDA_IN_CHIUSURA-Allarme serranda in chiusura</v>
      </c>
      <c r="D495" t="str">
        <f>VLOOKUP(B495,'EXPORT IRIS PROD 13-11-2024'!A:A,1,0)</f>
        <v>SERRANDA_IN_CHIUSURA-Allarme serranda in chiusura</v>
      </c>
      <c r="E495" t="str">
        <f>VLOOKUP(H495,'EXPORT IRIS PROD 13-11-2024'!F:F,1,0)</f>
        <v>SERRANDA_IN_CHIUSURA</v>
      </c>
      <c r="F495" t="str">
        <f>VLOOKUP(I495,'EXPORT IRIS PROD 13-11-2024'!D:D,1,0)</f>
        <v>Allarme serranda in chiusura</v>
      </c>
      <c r="G495" s="37" t="s">
        <v>576</v>
      </c>
      <c r="H495" s="38" t="s">
        <v>950</v>
      </c>
      <c r="I495" s="38" t="s">
        <v>951</v>
      </c>
      <c r="J495" s="39" t="s">
        <v>274</v>
      </c>
      <c r="K495" s="39" t="s">
        <v>275</v>
      </c>
      <c r="L495" s="40" t="s">
        <v>21</v>
      </c>
      <c r="M495" s="41" t="s">
        <v>22</v>
      </c>
      <c r="N495" s="42" t="s">
        <v>23</v>
      </c>
      <c r="O495" s="43" t="s">
        <v>24</v>
      </c>
      <c r="P495" s="42" t="s">
        <v>25</v>
      </c>
      <c r="Q495" s="42" t="s">
        <v>21</v>
      </c>
      <c r="R495" s="44"/>
    </row>
    <row r="496" spans="1:18" customFormat="1" x14ac:dyDescent="0.25">
      <c r="A496" t="str">
        <f t="shared" si="14"/>
        <v>Impianto Ventilazione_Ventilatore_SEZIONATORE-Allarme sezionatore</v>
      </c>
      <c r="B496" t="str">
        <f t="shared" si="15"/>
        <v>SEZIONATORE-Allarme sezionatore</v>
      </c>
      <c r="C496" t="str">
        <f>VLOOKUP(B496,'[2]Classi allarmi RMT-STIG_rev4'!$C:$C,1,0)</f>
        <v>SEZIONATORE-Allarme sezionatore</v>
      </c>
      <c r="D496" t="str">
        <f>VLOOKUP(B496,'EXPORT IRIS PROD 13-11-2024'!A:A,1,0)</f>
        <v>SEZIONATORE-Allarme sezionatore</v>
      </c>
      <c r="E496" t="str">
        <f>VLOOKUP(H496,'EXPORT IRIS PROD 13-11-2024'!F:F,1,0)</f>
        <v>SEZIONATORE</v>
      </c>
      <c r="F496" t="str">
        <f>VLOOKUP(I496,'EXPORT IRIS PROD 13-11-2024'!D:D,1,0)</f>
        <v>Allarme sezionatore</v>
      </c>
      <c r="G496" s="37" t="s">
        <v>85</v>
      </c>
      <c r="H496" s="38" t="s">
        <v>952</v>
      </c>
      <c r="I496" s="38" t="s">
        <v>953</v>
      </c>
      <c r="J496" s="39" t="s">
        <v>50</v>
      </c>
      <c r="K496" s="39" t="s">
        <v>124</v>
      </c>
      <c r="L496" s="40" t="s">
        <v>21</v>
      </c>
      <c r="M496" s="41" t="s">
        <v>22</v>
      </c>
      <c r="N496" s="42" t="s">
        <v>23</v>
      </c>
      <c r="O496" s="43" t="s">
        <v>24</v>
      </c>
      <c r="P496" s="42" t="s">
        <v>25</v>
      </c>
      <c r="Q496" s="42" t="s">
        <v>21</v>
      </c>
      <c r="R496" s="44"/>
    </row>
    <row r="497" spans="1:18" customFormat="1" x14ac:dyDescent="0.25">
      <c r="A497" t="str">
        <f t="shared" si="14"/>
        <v>Impianto Allagamento_Impianto prime acque_SGANCIO-Allarme pulsante di sgancio</v>
      </c>
      <c r="B497" t="str">
        <f t="shared" si="15"/>
        <v>SGANCIO-Allarme pulsante di sgancio</v>
      </c>
      <c r="C497" t="str">
        <f>VLOOKUP(B497,'[2]Classi allarmi RMT-STIG_rev4'!$C:$C,1,0)</f>
        <v>SGANCIO-Allarme pulsante di sgancio</v>
      </c>
      <c r="D497" t="str">
        <f>VLOOKUP(B497,'EXPORT IRIS PROD 13-11-2024'!A:A,1,0)</f>
        <v>SGANCIO-Allarme pulsante di sgancio</v>
      </c>
      <c r="E497" t="str">
        <f>VLOOKUP(H497,'EXPORT IRIS PROD 13-11-2024'!F:F,1,0)</f>
        <v>SGANCIO</v>
      </c>
      <c r="F497" t="str">
        <f>VLOOKUP(I497,'EXPORT IRIS PROD 13-11-2024'!D:D,1,0)</f>
        <v>Allarme pulsante di sgancio</v>
      </c>
      <c r="G497" s="37" t="s">
        <v>954</v>
      </c>
      <c r="H497" s="38" t="s">
        <v>955</v>
      </c>
      <c r="I497" s="38" t="s">
        <v>956</v>
      </c>
      <c r="J497" s="39" t="s">
        <v>73</v>
      </c>
      <c r="K497" s="39" t="s">
        <v>957</v>
      </c>
      <c r="L497" s="40" t="s">
        <v>21</v>
      </c>
      <c r="M497" s="41" t="s">
        <v>22</v>
      </c>
      <c r="N497" s="42" t="s">
        <v>23</v>
      </c>
      <c r="O497" s="43" t="s">
        <v>24</v>
      </c>
      <c r="P497" s="42" t="s">
        <v>25</v>
      </c>
      <c r="Q497" s="42" t="s">
        <v>21</v>
      </c>
      <c r="R497" s="44"/>
    </row>
    <row r="498" spans="1:18" x14ac:dyDescent="0.25">
      <c r="A498" t="str">
        <f t="shared" si="14"/>
        <v>Impianto Elettrico_Gruppo elettrogeno_SGANCIO-Allarme pulsante di sgancio</v>
      </c>
      <c r="B498" t="str">
        <f t="shared" si="15"/>
        <v>SGANCIO-Allarme pulsante di sgancio</v>
      </c>
      <c r="C498" t="str">
        <f>VLOOKUP(B498,'[2]Classi allarmi RMT-STIG_rev4'!$C:$C,1,0)</f>
        <v>SGANCIO-Allarme pulsante di sgancio</v>
      </c>
      <c r="D498" t="str">
        <f>VLOOKUP(B498,'EXPORT IRIS PROD 13-11-2024'!A:A,1,0)</f>
        <v>SGANCIO-Allarme pulsante di sgancio</v>
      </c>
      <c r="E498" t="str">
        <f>VLOOKUP(H498,'EXPORT IRIS PROD 13-11-2024'!F:F,1,0)</f>
        <v>SGANCIO</v>
      </c>
      <c r="F498" t="str">
        <f>VLOOKUP(I498,'EXPORT IRIS PROD 13-11-2024'!D:D,1,0)</f>
        <v>Allarme pulsante di sgancio</v>
      </c>
      <c r="G498" s="37" t="s">
        <v>53</v>
      </c>
      <c r="H498" s="38" t="s">
        <v>955</v>
      </c>
      <c r="I498" s="38" t="s">
        <v>956</v>
      </c>
      <c r="J498" s="39" t="s">
        <v>56</v>
      </c>
      <c r="K498" s="39" t="s">
        <v>57</v>
      </c>
      <c r="L498" s="40" t="s">
        <v>21</v>
      </c>
      <c r="M498" s="41" t="s">
        <v>22</v>
      </c>
      <c r="N498" s="42" t="s">
        <v>23</v>
      </c>
      <c r="O498" s="43" t="s">
        <v>24</v>
      </c>
      <c r="P498" s="42" t="s">
        <v>25</v>
      </c>
      <c r="Q498" s="42" t="s">
        <v>21</v>
      </c>
      <c r="R498" s="44"/>
    </row>
    <row r="499" spans="1:18" customFormat="1" x14ac:dyDescent="0.25">
      <c r="A499" t="str">
        <f t="shared" si="14"/>
        <v>Impianto Elettrico_Interruttore_SGANCIO-Allarme pulsante di sgancio</v>
      </c>
      <c r="B499" t="str">
        <f t="shared" si="15"/>
        <v>SGANCIO-Allarme pulsante di sgancio</v>
      </c>
      <c r="C499" t="str">
        <f>VLOOKUP(B499,'[2]Classi allarmi RMT-STIG_rev4'!$C:$C,1,0)</f>
        <v>SGANCIO-Allarme pulsante di sgancio</v>
      </c>
      <c r="D499" t="str">
        <f>VLOOKUP(B499,'EXPORT IRIS PROD 13-11-2024'!A:A,1,0)</f>
        <v>SGANCIO-Allarme pulsante di sgancio</v>
      </c>
      <c r="E499" t="str">
        <f>VLOOKUP(H499,'EXPORT IRIS PROD 13-11-2024'!F:F,1,0)</f>
        <v>SGANCIO</v>
      </c>
      <c r="F499" t="str">
        <f>VLOOKUP(I499,'EXPORT IRIS PROD 13-11-2024'!D:D,1,0)</f>
        <v>Allarme pulsante di sgancio</v>
      </c>
      <c r="G499" s="37" t="s">
        <v>53</v>
      </c>
      <c r="H499" s="38" t="s">
        <v>955</v>
      </c>
      <c r="I499" s="38" t="s">
        <v>956</v>
      </c>
      <c r="J499" s="39" t="s">
        <v>56</v>
      </c>
      <c r="K499" s="39" t="s">
        <v>355</v>
      </c>
      <c r="L499" s="40" t="s">
        <v>21</v>
      </c>
      <c r="M499" s="41" t="s">
        <v>22</v>
      </c>
      <c r="N499" s="42" t="s">
        <v>23</v>
      </c>
      <c r="O499" s="43" t="s">
        <v>24</v>
      </c>
      <c r="P499" s="42" t="s">
        <v>25</v>
      </c>
      <c r="Q499" s="42" t="s">
        <v>21</v>
      </c>
      <c r="R499" s="44"/>
    </row>
    <row r="500" spans="1:18" x14ac:dyDescent="0.25">
      <c r="A500" t="str">
        <f t="shared" si="14"/>
        <v>Impianto Elettrico_Ups_SGANCIO-Allarme pulsante di sgancio</v>
      </c>
      <c r="B500" t="str">
        <f t="shared" si="15"/>
        <v>SGANCIO-Allarme pulsante di sgancio</v>
      </c>
      <c r="C500" t="str">
        <f>VLOOKUP(B500,'[2]Classi allarmi RMT-STIG_rev4'!$C:$C,1,0)</f>
        <v>SGANCIO-Allarme pulsante di sgancio</v>
      </c>
      <c r="D500" t="str">
        <f>VLOOKUP(B500,'EXPORT IRIS PROD 13-11-2024'!A:A,1,0)</f>
        <v>SGANCIO-Allarme pulsante di sgancio</v>
      </c>
      <c r="E500" t="str">
        <f>VLOOKUP(H500,'EXPORT IRIS PROD 13-11-2024'!F:F,1,0)</f>
        <v>SGANCIO</v>
      </c>
      <c r="F500" t="str">
        <f>VLOOKUP(I500,'EXPORT IRIS PROD 13-11-2024'!D:D,1,0)</f>
        <v>Allarme pulsante di sgancio</v>
      </c>
      <c r="G500" s="37" t="s">
        <v>53</v>
      </c>
      <c r="H500" s="38" t="s">
        <v>955</v>
      </c>
      <c r="I500" s="38" t="s">
        <v>956</v>
      </c>
      <c r="J500" s="39" t="s">
        <v>56</v>
      </c>
      <c r="K500" s="39" t="s">
        <v>958</v>
      </c>
      <c r="L500" s="40" t="s">
        <v>21</v>
      </c>
      <c r="M500" s="41" t="s">
        <v>22</v>
      </c>
      <c r="N500" s="42" t="s">
        <v>23</v>
      </c>
      <c r="O500" s="43" t="s">
        <v>24</v>
      </c>
      <c r="P500" s="42" t="s">
        <v>25</v>
      </c>
      <c r="Q500" s="42" t="s">
        <v>21</v>
      </c>
      <c r="R500" s="44"/>
    </row>
    <row r="501" spans="1:18" x14ac:dyDescent="0.25">
      <c r="A501" t="str">
        <f t="shared" si="14"/>
        <v>Impianto Elettrico_Pulsante di sgancio_SGANCIO_PREMUTO-Allarme pulsante di sgancio premuto</v>
      </c>
      <c r="B501" t="str">
        <f t="shared" si="15"/>
        <v>SGANCIO_PREMUTO-Allarme pulsante di sgancio premuto</v>
      </c>
      <c r="C501" t="str">
        <f>VLOOKUP(B501,'[2]Classi allarmi RMT-STIG_rev4'!$C:$C,1,0)</f>
        <v>SGANCIO_PREMUTO-Allarme pulsante di sgancio premuto</v>
      </c>
      <c r="D501" t="str">
        <f>VLOOKUP(B501,'EXPORT IRIS PROD 13-11-2024'!A:A,1,0)</f>
        <v>SGANCIO_PREMUTO-Allarme pulsante di sgancio premuto</v>
      </c>
      <c r="E501" t="str">
        <f>VLOOKUP(H501,'EXPORT IRIS PROD 13-11-2024'!F:F,1,0)</f>
        <v>SGANCIO_PREMUTO</v>
      </c>
      <c r="F501" t="str">
        <f>VLOOKUP(I501,'EXPORT IRIS PROD 13-11-2024'!D:D,1,0)</f>
        <v>Allarme pulsante di sgancio premuto</v>
      </c>
      <c r="G501" s="37" t="s">
        <v>53</v>
      </c>
      <c r="H501" s="38" t="s">
        <v>959</v>
      </c>
      <c r="I501" s="38" t="s">
        <v>960</v>
      </c>
      <c r="J501" s="39" t="s">
        <v>56</v>
      </c>
      <c r="K501" s="39" t="s">
        <v>961</v>
      </c>
      <c r="L501" s="40" t="s">
        <v>21</v>
      </c>
      <c r="M501" s="41" t="s">
        <v>22</v>
      </c>
      <c r="N501" s="42" t="s">
        <v>23</v>
      </c>
      <c r="O501" s="43" t="s">
        <v>24</v>
      </c>
      <c r="P501" s="42" t="s">
        <v>25</v>
      </c>
      <c r="Q501" s="42" t="s">
        <v>21</v>
      </c>
      <c r="R501" s="44"/>
    </row>
    <row r="502" spans="1:18" x14ac:dyDescent="0.25">
      <c r="A502" t="str">
        <f t="shared" si="14"/>
        <v>Smart Road_Telecamera Smart_SMARTROAD_AID_FAST_VEHICLE-Veicolo veloce</v>
      </c>
      <c r="B502" t="str">
        <f t="shared" si="15"/>
        <v>SMARTROAD_AID_FAST_VEHICLE-Veicolo veloce</v>
      </c>
      <c r="C502" t="str">
        <f>VLOOKUP(B502,'[2]Classi allarmi RMT-STIG_rev4'!$C:$C,1,0)</f>
        <v>SMARTROAD_AID_FAST_VEHICLE-Veicolo veloce</v>
      </c>
      <c r="D502" t="str">
        <f>VLOOKUP(B502,'EXPORT IRIS PROD 13-11-2024'!A:A,1,0)</f>
        <v>SMARTROAD_AID_FAST_VEHICLE-Veicolo veloce</v>
      </c>
      <c r="E502" t="str">
        <f>VLOOKUP(H502,'EXPORT IRIS PROD 13-11-2024'!F:F,1,0)</f>
        <v>SMARTROAD_AID_FAST_VEHICLE</v>
      </c>
      <c r="F502" t="str">
        <f>VLOOKUP(I502,'EXPORT IRIS PROD 13-11-2024'!D:D,1,0)</f>
        <v>Veicolo veloce</v>
      </c>
      <c r="G502" s="37" t="s">
        <v>962</v>
      </c>
      <c r="H502" s="38" t="s">
        <v>963</v>
      </c>
      <c r="I502" s="38" t="s">
        <v>964</v>
      </c>
      <c r="J502" s="39" t="s">
        <v>965</v>
      </c>
      <c r="K502" s="39" t="s">
        <v>966</v>
      </c>
      <c r="L502" s="40" t="s">
        <v>31</v>
      </c>
      <c r="M502" s="48" t="s">
        <v>32</v>
      </c>
      <c r="N502" s="43">
        <v>1</v>
      </c>
      <c r="O502" s="43" t="s">
        <v>24</v>
      </c>
      <c r="P502" s="42" t="s">
        <v>25</v>
      </c>
      <c r="Q502" s="42" t="s">
        <v>21</v>
      </c>
      <c r="R502" s="44" t="s">
        <v>967</v>
      </c>
    </row>
    <row r="503" spans="1:18" x14ac:dyDescent="0.25">
      <c r="A503" t="str">
        <f t="shared" si="14"/>
        <v>Smart Road_Telecamera Smart_SMARTROAD_AID_LANE_CHANGE-Cambio di corsia</v>
      </c>
      <c r="B503" t="str">
        <f t="shared" si="15"/>
        <v>SMARTROAD_AID_LANE_CHANGE-Cambio di corsia</v>
      </c>
      <c r="C503" t="str">
        <f>VLOOKUP(B503,'[2]Classi allarmi RMT-STIG_rev4'!$C:$C,1,0)</f>
        <v>SMARTROAD_AID_LANE_CHANGE-Cambio di corsia</v>
      </c>
      <c r="D503" t="str">
        <f>VLOOKUP(B503,'EXPORT IRIS PROD 13-11-2024'!A:A,1,0)</f>
        <v>SMARTROAD_AID_LANE_CHANGE-Cambio di corsia</v>
      </c>
      <c r="E503" t="str">
        <f>VLOOKUP(H503,'EXPORT IRIS PROD 13-11-2024'!F:F,1,0)</f>
        <v>SMARTROAD_AID_LANE_CHANGE</v>
      </c>
      <c r="F503" t="str">
        <f>VLOOKUP(I503,'EXPORT IRIS PROD 13-11-2024'!D:D,1,0)</f>
        <v>Cambio di corsia</v>
      </c>
      <c r="G503" s="37" t="s">
        <v>968</v>
      </c>
      <c r="H503" s="38" t="s">
        <v>969</v>
      </c>
      <c r="I503" s="38" t="s">
        <v>970</v>
      </c>
      <c r="J503" s="39" t="s">
        <v>965</v>
      </c>
      <c r="K503" s="39" t="s">
        <v>966</v>
      </c>
      <c r="L503" s="40" t="s">
        <v>31</v>
      </c>
      <c r="M503" s="48" t="s">
        <v>32</v>
      </c>
      <c r="N503" s="43">
        <v>1</v>
      </c>
      <c r="O503" s="43" t="s">
        <v>24</v>
      </c>
      <c r="P503" s="42" t="s">
        <v>25</v>
      </c>
      <c r="Q503" s="42" t="s">
        <v>21</v>
      </c>
      <c r="R503" s="44" t="s">
        <v>967</v>
      </c>
    </row>
    <row r="504" spans="1:18" x14ac:dyDescent="0.25">
      <c r="A504" t="str">
        <f t="shared" si="14"/>
        <v>Smart Road_Telecamera Smart_SMARTROAD_AID_LOST_OBJECT-Perdita carico</v>
      </c>
      <c r="B504" t="str">
        <f t="shared" si="15"/>
        <v>SMARTROAD_AID_LOST_OBJECT-Perdita carico</v>
      </c>
      <c r="C504" t="str">
        <f>VLOOKUP(B504,'[2]Classi allarmi RMT-STIG_rev4'!$C:$C,1,0)</f>
        <v>SMARTROAD_AID_LOST_OBJECT-Perdita carico</v>
      </c>
      <c r="D504" t="str">
        <f>VLOOKUP(B504,'EXPORT IRIS PROD 13-11-2024'!A:A,1,0)</f>
        <v>SMARTROAD_AID_LOST_OBJECT-Perdita carico</v>
      </c>
      <c r="E504" t="str">
        <f>VLOOKUP(H504,'EXPORT IRIS PROD 13-11-2024'!F:F,1,0)</f>
        <v>SMARTROAD_AID_LOST_OBJECT</v>
      </c>
      <c r="F504" t="str">
        <f>VLOOKUP(I504,'EXPORT IRIS PROD 13-11-2024'!D:D,1,0)</f>
        <v>Perdita carico</v>
      </c>
      <c r="G504" s="37" t="s">
        <v>971</v>
      </c>
      <c r="H504" s="38" t="s">
        <v>972</v>
      </c>
      <c r="I504" s="45" t="s">
        <v>973</v>
      </c>
      <c r="J504" s="46" t="s">
        <v>965</v>
      </c>
      <c r="K504" s="46" t="s">
        <v>966</v>
      </c>
      <c r="L504" s="47" t="s">
        <v>31</v>
      </c>
      <c r="M504" s="48" t="s">
        <v>32</v>
      </c>
      <c r="N504" s="43">
        <v>1</v>
      </c>
      <c r="O504" s="43" t="s">
        <v>33</v>
      </c>
      <c r="P504" s="43" t="s">
        <v>34</v>
      </c>
      <c r="Q504" s="43" t="s">
        <v>31</v>
      </c>
      <c r="R504" s="49"/>
    </row>
    <row r="505" spans="1:18" customFormat="1" x14ac:dyDescent="0.25">
      <c r="A505" t="str">
        <f t="shared" si="14"/>
        <v>Smart Road_Telecamera Smart_SMARTROAD_AID_LOW_VISIBILITY-Nebbia o fumo</v>
      </c>
      <c r="B505" t="str">
        <f t="shared" si="15"/>
        <v>SMARTROAD_AID_LOW_VISIBILITY-Nebbia o fumo</v>
      </c>
      <c r="C505" t="str">
        <f>VLOOKUP(B505,'[2]Classi allarmi RMT-STIG_rev4'!$C:$C,1,0)</f>
        <v>SMARTROAD_AID_LOW_VISIBILITY-Nebbia o fumo</v>
      </c>
      <c r="D505" t="str">
        <f>VLOOKUP(B505,'EXPORT IRIS PROD 13-11-2024'!A:A,1,0)</f>
        <v>SMARTROAD_AID_LOW_VISIBILITY-Nebbia o fumo</v>
      </c>
      <c r="E505" t="str">
        <f>VLOOKUP(H505,'EXPORT IRIS PROD 13-11-2024'!F:F,1,0)</f>
        <v>SMARTROAD_AID_LOW_VISIBILITY</v>
      </c>
      <c r="F505" t="str">
        <f>VLOOKUP(I505,'EXPORT IRIS PROD 13-11-2024'!D:D,1,0)</f>
        <v>Nebbia o fumo</v>
      </c>
      <c r="G505" s="37" t="s">
        <v>836</v>
      </c>
      <c r="H505" s="38" t="s">
        <v>974</v>
      </c>
      <c r="I505" s="45" t="s">
        <v>975</v>
      </c>
      <c r="J505" s="46" t="s">
        <v>965</v>
      </c>
      <c r="K505" s="46" t="s">
        <v>966</v>
      </c>
      <c r="L505" s="47" t="s">
        <v>31</v>
      </c>
      <c r="M505" s="48" t="s">
        <v>32</v>
      </c>
      <c r="N505" s="43">
        <v>5</v>
      </c>
      <c r="O505" s="43" t="s">
        <v>33</v>
      </c>
      <c r="P505" s="43" t="s">
        <v>34</v>
      </c>
      <c r="Q505" s="43" t="s">
        <v>31</v>
      </c>
      <c r="R505" s="56"/>
    </row>
    <row r="506" spans="1:18" customFormat="1" x14ac:dyDescent="0.25">
      <c r="A506" t="str">
        <f t="shared" si="14"/>
        <v>Smart Road_Telecamera Smart_SMARTROAD_AID_PEDESTRIAN-Presenza pedone</v>
      </c>
      <c r="B506" t="str">
        <f t="shared" si="15"/>
        <v>SMARTROAD_AID_PEDESTRIAN-Presenza pedone</v>
      </c>
      <c r="C506" t="str">
        <f>VLOOKUP(B506,'[2]Classi allarmi RMT-STIG_rev4'!$C:$C,1,0)</f>
        <v>SMARTROAD_AID_PEDESTRIAN-Presenza pedone</v>
      </c>
      <c r="D506" t="str">
        <f>VLOOKUP(B506,'EXPORT IRIS PROD 13-11-2024'!A:A,1,0)</f>
        <v>SMARTROAD_AID_PEDESTRIAN-Presenza pedone</v>
      </c>
      <c r="E506" t="str">
        <f>VLOOKUP(H506,'EXPORT IRIS PROD 13-11-2024'!F:F,1,0)</f>
        <v>SMARTROAD_AID_PEDESTRIAN</v>
      </c>
      <c r="F506" t="str">
        <f>VLOOKUP(I506,'EXPORT IRIS PROD 13-11-2024'!D:D,1,0)</f>
        <v>Presenza pedone</v>
      </c>
      <c r="G506" s="37" t="s">
        <v>471</v>
      </c>
      <c r="H506" s="38" t="s">
        <v>976</v>
      </c>
      <c r="I506" s="45" t="s">
        <v>977</v>
      </c>
      <c r="J506" s="46" t="s">
        <v>965</v>
      </c>
      <c r="K506" s="46" t="s">
        <v>966</v>
      </c>
      <c r="L506" s="47" t="s">
        <v>31</v>
      </c>
      <c r="M506" s="48" t="s">
        <v>32</v>
      </c>
      <c r="N506" s="43">
        <v>1</v>
      </c>
      <c r="O506" s="43" t="s">
        <v>33</v>
      </c>
      <c r="P506" s="43" t="s">
        <v>34</v>
      </c>
      <c r="Q506" s="43" t="s">
        <v>31</v>
      </c>
      <c r="R506" s="49"/>
    </row>
    <row r="507" spans="1:18" customFormat="1" x14ac:dyDescent="0.25">
      <c r="A507" t="str">
        <f t="shared" si="14"/>
        <v>Smart Road_Telecamera Smart_SMARTROAD_AID_QUEUE-Coda</v>
      </c>
      <c r="B507" t="str">
        <f t="shared" si="15"/>
        <v>SMARTROAD_AID_QUEUE-Coda</v>
      </c>
      <c r="C507" t="str">
        <f>VLOOKUP(B507,'[2]Classi allarmi RMT-STIG_rev4'!$C:$C,1,0)</f>
        <v>SMARTROAD_AID_QUEUE-Coda</v>
      </c>
      <c r="D507" t="str">
        <f>VLOOKUP(B507,'EXPORT IRIS PROD 13-11-2024'!A:A,1,0)</f>
        <v>SMARTROAD_AID_QUEUE-Coda</v>
      </c>
      <c r="E507" t="str">
        <f>VLOOKUP(H507,'EXPORT IRIS PROD 13-11-2024'!F:F,1,0)</f>
        <v>SMARTROAD_AID_QUEUE</v>
      </c>
      <c r="F507" t="str">
        <f>VLOOKUP(I507,'EXPORT IRIS PROD 13-11-2024'!D:D,1,0)</f>
        <v>Coda</v>
      </c>
      <c r="G507" s="37" t="s">
        <v>807</v>
      </c>
      <c r="H507" s="38" t="s">
        <v>978</v>
      </c>
      <c r="I507" s="45" t="s">
        <v>807</v>
      </c>
      <c r="J507" s="46" t="s">
        <v>965</v>
      </c>
      <c r="K507" s="46" t="s">
        <v>966</v>
      </c>
      <c r="L507" s="47" t="s">
        <v>31</v>
      </c>
      <c r="M507" s="48" t="s">
        <v>32</v>
      </c>
      <c r="N507" s="43">
        <v>1</v>
      </c>
      <c r="O507" s="43" t="s">
        <v>24</v>
      </c>
      <c r="P507" s="43" t="s">
        <v>25</v>
      </c>
      <c r="Q507" s="42" t="s">
        <v>21</v>
      </c>
      <c r="R507" s="56"/>
    </row>
    <row r="508" spans="1:18" customFormat="1" x14ac:dyDescent="0.25">
      <c r="A508" t="str">
        <f t="shared" si="14"/>
        <v>Smart Road_Telecamera Smart_SMARTROAD_AID_SLOW_VEHICLE-Veicolo lento</v>
      </c>
      <c r="B508" t="str">
        <f t="shared" si="15"/>
        <v>SMARTROAD_AID_SLOW_VEHICLE-Veicolo lento</v>
      </c>
      <c r="C508" t="str">
        <f>VLOOKUP(B508,'[2]Classi allarmi RMT-STIG_rev4'!$C:$C,1,0)</f>
        <v>SMARTROAD_AID_SLOW_VEHICLE-Veicolo lento</v>
      </c>
      <c r="D508" t="str">
        <f>VLOOKUP(B508,'EXPORT IRIS PROD 13-11-2024'!A:A,1,0)</f>
        <v>SMARTROAD_AID_SLOW_VEHICLE-Veicolo lento</v>
      </c>
      <c r="E508" t="str">
        <f>VLOOKUP(H508,'EXPORT IRIS PROD 13-11-2024'!F:F,1,0)</f>
        <v>SMARTROAD_AID_SLOW_VEHICLE</v>
      </c>
      <c r="F508" t="str">
        <f>VLOOKUP(I508,'EXPORT IRIS PROD 13-11-2024'!D:D,1,0)</f>
        <v>Veicolo lento</v>
      </c>
      <c r="G508" s="37" t="s">
        <v>979</v>
      </c>
      <c r="H508" s="38" t="s">
        <v>980</v>
      </c>
      <c r="I508" s="45" t="s">
        <v>981</v>
      </c>
      <c r="J508" s="46" t="s">
        <v>965</v>
      </c>
      <c r="K508" s="46" t="s">
        <v>966</v>
      </c>
      <c r="L508" s="47" t="s">
        <v>31</v>
      </c>
      <c r="M508" s="48" t="s">
        <v>32</v>
      </c>
      <c r="N508" s="43">
        <v>1</v>
      </c>
      <c r="O508" s="43" t="s">
        <v>24</v>
      </c>
      <c r="P508" s="43" t="s">
        <v>25</v>
      </c>
      <c r="Q508" s="42" t="s">
        <v>21</v>
      </c>
      <c r="R508" s="49"/>
    </row>
    <row r="509" spans="1:18" x14ac:dyDescent="0.25">
      <c r="A509" t="str">
        <f t="shared" si="14"/>
        <v>Smart Road_Telecamera Smart_SMARTROAD_AID_SLOWDOWN-Rallentamento</v>
      </c>
      <c r="B509" t="str">
        <f t="shared" si="15"/>
        <v>SMARTROAD_AID_SLOWDOWN-Rallentamento</v>
      </c>
      <c r="C509" t="str">
        <f>VLOOKUP(B509,'[2]Classi allarmi RMT-STIG_rev4'!$C:$C,1,0)</f>
        <v>SMARTROAD_AID_SLOWDOWN-Rallentamento</v>
      </c>
      <c r="D509" t="str">
        <f>VLOOKUP(B509,'EXPORT IRIS PROD 13-11-2024'!A:A,1,0)</f>
        <v>SMARTROAD_AID_SLOWDOWN-Rallentamento</v>
      </c>
      <c r="E509" t="str">
        <f>VLOOKUP(H509,'EXPORT IRIS PROD 13-11-2024'!F:F,1,0)</f>
        <v>SMARTROAD_AID_SLOWDOWN</v>
      </c>
      <c r="F509" t="str">
        <f>VLOOKUP(I509,'EXPORT IRIS PROD 13-11-2024'!D:D,1,0)</f>
        <v>Rallentamento</v>
      </c>
      <c r="G509" s="37" t="s">
        <v>822</v>
      </c>
      <c r="H509" s="38" t="s">
        <v>982</v>
      </c>
      <c r="I509" s="45" t="s">
        <v>822</v>
      </c>
      <c r="J509" s="46" t="s">
        <v>965</v>
      </c>
      <c r="K509" s="46" t="s">
        <v>966</v>
      </c>
      <c r="L509" s="47" t="s">
        <v>31</v>
      </c>
      <c r="M509" s="48" t="s">
        <v>32</v>
      </c>
      <c r="N509" s="43">
        <v>1</v>
      </c>
      <c r="O509" s="43" t="s">
        <v>24</v>
      </c>
      <c r="P509" s="43" t="s">
        <v>25</v>
      </c>
      <c r="Q509" s="42" t="s">
        <v>21</v>
      </c>
      <c r="R509" s="49"/>
    </row>
    <row r="510" spans="1:18" x14ac:dyDescent="0.25">
      <c r="A510" t="str">
        <f t="shared" si="14"/>
        <v>Smart Road_Telecamera Smart_SMARTROAD_AID_STATIONARY_VEHICLE-Veicolo fermo</v>
      </c>
      <c r="B510" t="str">
        <f t="shared" si="15"/>
        <v>SMARTROAD_AID_STATIONARY_VEHICLE-Veicolo fermo</v>
      </c>
      <c r="C510" t="str">
        <f>VLOOKUP(B510,'[2]Classi allarmi RMT-STIG_rev4'!$C:$C,1,0)</f>
        <v>SMARTROAD_AID_STATIONARY_VEHICLE-Veicolo fermo</v>
      </c>
      <c r="D510" t="str">
        <f>VLOOKUP(B510,'EXPORT IRIS PROD 13-11-2024'!A:A,1,0)</f>
        <v>SMARTROAD_AID_STATIONARY_VEHICLE-Veicolo fermo</v>
      </c>
      <c r="E510" t="str">
        <f>VLOOKUP(H510,'EXPORT IRIS PROD 13-11-2024'!F:F,1,0)</f>
        <v>SMARTROAD_AID_STATIONARY_VEHICLE</v>
      </c>
      <c r="F510" t="str">
        <f>VLOOKUP(I510,'EXPORT IRIS PROD 13-11-2024'!D:D,1,0)</f>
        <v>Veicolo fermo</v>
      </c>
      <c r="G510" s="37" t="s">
        <v>983</v>
      </c>
      <c r="H510" s="38" t="s">
        <v>984</v>
      </c>
      <c r="I510" s="45" t="s">
        <v>985</v>
      </c>
      <c r="J510" s="46" t="s">
        <v>965</v>
      </c>
      <c r="K510" s="46" t="s">
        <v>966</v>
      </c>
      <c r="L510" s="47" t="s">
        <v>31</v>
      </c>
      <c r="M510" s="48" t="s">
        <v>32</v>
      </c>
      <c r="N510" s="43">
        <v>1</v>
      </c>
      <c r="O510" s="43" t="s">
        <v>33</v>
      </c>
      <c r="P510" s="43" t="s">
        <v>34</v>
      </c>
      <c r="Q510" s="43" t="s">
        <v>31</v>
      </c>
      <c r="R510" s="49"/>
    </row>
    <row r="511" spans="1:18" x14ac:dyDescent="0.25">
      <c r="A511" t="str">
        <f t="shared" si="14"/>
        <v>Smart Road_Telecamera Smart_SMARTROAD_AID_SUDDEN_SLOWDOWN-Rallentamento improvviso</v>
      </c>
      <c r="B511" t="str">
        <f t="shared" si="15"/>
        <v>SMARTROAD_AID_SUDDEN_SLOWDOWN-Rallentamento improvviso</v>
      </c>
      <c r="C511" t="str">
        <f>VLOOKUP(B511,'[2]Classi allarmi RMT-STIG_rev4'!$C:$C,1,0)</f>
        <v>SMARTROAD_AID_SUDDEN_SLOWDOWN-Rallentamento improvviso</v>
      </c>
      <c r="D511" t="str">
        <f>VLOOKUP(B511,'EXPORT IRIS PROD 13-11-2024'!A:A,1,0)</f>
        <v>SMARTROAD_AID_SUDDEN_SLOWDOWN-Rallentamento improvviso</v>
      </c>
      <c r="E511" t="str">
        <f>VLOOKUP(H511,'EXPORT IRIS PROD 13-11-2024'!F:F,1,0)</f>
        <v>SMARTROAD_AID_SUDDEN_SLOWDOWN</v>
      </c>
      <c r="F511" t="str">
        <f>VLOOKUP(I511,'EXPORT IRIS PROD 13-11-2024'!D:D,1,0)</f>
        <v>Rallentamento improvviso</v>
      </c>
      <c r="G511" s="37" t="s">
        <v>822</v>
      </c>
      <c r="H511" s="38" t="s">
        <v>986</v>
      </c>
      <c r="I511" s="45" t="s">
        <v>987</v>
      </c>
      <c r="J511" s="46" t="s">
        <v>965</v>
      </c>
      <c r="K511" s="46" t="s">
        <v>966</v>
      </c>
      <c r="L511" s="47" t="s">
        <v>31</v>
      </c>
      <c r="M511" s="48" t="s">
        <v>32</v>
      </c>
      <c r="N511" s="43">
        <v>1</v>
      </c>
      <c r="O511" s="43" t="s">
        <v>24</v>
      </c>
      <c r="P511" s="43" t="s">
        <v>25</v>
      </c>
      <c r="Q511" s="42" t="s">
        <v>21</v>
      </c>
      <c r="R511" s="49"/>
    </row>
    <row r="512" spans="1:18" x14ac:dyDescent="0.25">
      <c r="A512" t="str">
        <f t="shared" si="14"/>
        <v>Smart Road_Telecamera Smart_SMARTROAD_AID_WRONG_DIRECTION-Contromano</v>
      </c>
      <c r="B512" t="str">
        <f t="shared" si="15"/>
        <v>SMARTROAD_AID_WRONG_DIRECTION-Contromano</v>
      </c>
      <c r="C512" t="str">
        <f>VLOOKUP(B512,'[2]Classi allarmi RMT-STIG_rev4'!$C:$C,1,0)</f>
        <v>SMARTROAD_AID_WRONG_DIRECTION-Contromano</v>
      </c>
      <c r="D512" t="str">
        <f>VLOOKUP(B512,'EXPORT IRIS PROD 13-11-2024'!A:A,1,0)</f>
        <v>SMARTROAD_AID_WRONG_DIRECTION-Contromano</v>
      </c>
      <c r="E512" t="str">
        <f>VLOOKUP(H512,'EXPORT IRIS PROD 13-11-2024'!F:F,1,0)</f>
        <v>SMARTROAD_AID_WRONG_DIRECTION</v>
      </c>
      <c r="F512" t="str">
        <f>VLOOKUP(I512,'EXPORT IRIS PROD 13-11-2024'!D:D,1,0)</f>
        <v>Contromano</v>
      </c>
      <c r="G512" s="37" t="s">
        <v>988</v>
      </c>
      <c r="H512" s="38" t="s">
        <v>989</v>
      </c>
      <c r="I512" s="45" t="s">
        <v>990</v>
      </c>
      <c r="J512" s="46" t="s">
        <v>965</v>
      </c>
      <c r="K512" s="46" t="s">
        <v>966</v>
      </c>
      <c r="L512" s="47" t="s">
        <v>31</v>
      </c>
      <c r="M512" s="48" t="s">
        <v>32</v>
      </c>
      <c r="N512" s="43">
        <v>1</v>
      </c>
      <c r="O512" s="43" t="s">
        <v>33</v>
      </c>
      <c r="P512" s="43" t="s">
        <v>34</v>
      </c>
      <c r="Q512" s="43" t="s">
        <v>31</v>
      </c>
      <c r="R512" s="49"/>
    </row>
    <row r="513" spans="1:18" x14ac:dyDescent="0.25">
      <c r="A513" t="str">
        <f t="shared" si="14"/>
        <v>Cantieri IoT_Cantiere_SMARTROAD_BUILDING_BATTERY_PERCENTAGE-Batteria del dispositivo sotto il 30%</v>
      </c>
      <c r="B513" t="str">
        <f t="shared" si="15"/>
        <v>SMARTROAD_BUILDING_BATTERY_PERCENTAGE-Batteria del dispositivo sotto il 30%</v>
      </c>
      <c r="C513" t="str">
        <f>VLOOKUP(B513,'[2]Classi allarmi RMT-STIG_rev4'!$C:$C,1,0)</f>
        <v>SMARTROAD_BUILDING_BATTERY_PERCENTAGE-Batteria del dispositivo sotto il 30%</v>
      </c>
      <c r="D513" t="str">
        <f>VLOOKUP(B513,'EXPORT IRIS PROD 13-11-2024'!A:A,1,0)</f>
        <v>SMARTROAD_BUILDING_BATTERY_PERCENTAGE-Batteria del dispositivo sotto il 30%</v>
      </c>
      <c r="E513" t="str">
        <f>VLOOKUP(H513,'EXPORT IRIS PROD 13-11-2024'!F:F,1,0)</f>
        <v>SMARTROAD_BUILDING_BATTERY_PERCENTAGE</v>
      </c>
      <c r="F513" t="str">
        <f>VLOOKUP(I513,'EXPORT IRIS PROD 13-11-2024'!D:D,1,0)</f>
        <v>Batteria del dispositivo sotto il 30%</v>
      </c>
      <c r="G513" s="37" t="s">
        <v>991</v>
      </c>
      <c r="H513" s="38" t="s">
        <v>992</v>
      </c>
      <c r="I513" s="38" t="s">
        <v>993</v>
      </c>
      <c r="J513" s="39" t="s">
        <v>994</v>
      </c>
      <c r="K513" s="39" t="s">
        <v>995</v>
      </c>
      <c r="L513" s="40" t="s">
        <v>21</v>
      </c>
      <c r="M513" s="41" t="s">
        <v>22</v>
      </c>
      <c r="N513" s="42" t="s">
        <v>23</v>
      </c>
      <c r="O513" s="43" t="s">
        <v>24</v>
      </c>
      <c r="P513" s="42" t="s">
        <v>25</v>
      </c>
      <c r="Q513" s="42" t="s">
        <v>21</v>
      </c>
      <c r="R513" s="44"/>
    </row>
    <row r="514" spans="1:18" x14ac:dyDescent="0.25">
      <c r="A514" t="str">
        <f t="shared" ref="A514:A577" si="16">CONCATENATE(J514,"_",K514,"_",B514)</f>
        <v>Cantieri IoT_Cantiere_SMARTROAD_BUILDING_OVERTURN-Dispositivo ribaltato</v>
      </c>
      <c r="B514" t="str">
        <f t="shared" si="15"/>
        <v>SMARTROAD_BUILDING_OVERTURN-Dispositivo ribaltato</v>
      </c>
      <c r="C514" t="str">
        <f>VLOOKUP(B514,'[2]Classi allarmi RMT-STIG_rev4'!$C:$C,1,0)</f>
        <v>SMARTROAD_BUILDING_OVERTURN-Dispositivo ribaltato</v>
      </c>
      <c r="D514" t="str">
        <f>VLOOKUP(B514,'EXPORT IRIS PROD 13-11-2024'!A:A,1,0)</f>
        <v>SMARTROAD_BUILDING_OVERTURN-Dispositivo ribaltato</v>
      </c>
      <c r="E514" t="str">
        <f>VLOOKUP(H514,'EXPORT IRIS PROD 13-11-2024'!F:F,1,0)</f>
        <v>SMARTROAD_BUILDING_OVERTURN</v>
      </c>
      <c r="F514" t="str">
        <f>VLOOKUP(I514,'EXPORT IRIS PROD 13-11-2024'!D:D,1,0)</f>
        <v>Dispositivo ribaltato</v>
      </c>
      <c r="G514" s="37" t="s">
        <v>991</v>
      </c>
      <c r="H514" s="38" t="s">
        <v>996</v>
      </c>
      <c r="I514" s="38" t="s">
        <v>997</v>
      </c>
      <c r="J514" s="39" t="s">
        <v>994</v>
      </c>
      <c r="K514" s="39" t="s">
        <v>995</v>
      </c>
      <c r="L514" s="40" t="s">
        <v>21</v>
      </c>
      <c r="M514" s="41" t="s">
        <v>22</v>
      </c>
      <c r="N514" s="42" t="s">
        <v>23</v>
      </c>
      <c r="O514" s="43" t="s">
        <v>24</v>
      </c>
      <c r="P514" s="42" t="s">
        <v>25</v>
      </c>
      <c r="Q514" s="42" t="s">
        <v>21</v>
      </c>
      <c r="R514" s="44"/>
    </row>
    <row r="515" spans="1:18" x14ac:dyDescent="0.25">
      <c r="A515" t="str">
        <f t="shared" si="16"/>
        <v>Cantieri IoT_Cantiere_SMARTROAD_BUILDING_SHIFT-Dispositivo spostato</v>
      </c>
      <c r="B515" t="str">
        <f t="shared" ref="B515:B578" si="17">CONCATENATE(H515,"-",I515)</f>
        <v>SMARTROAD_BUILDING_SHIFT-Dispositivo spostato</v>
      </c>
      <c r="C515" t="str">
        <f>VLOOKUP(B515,'[2]Classi allarmi RMT-STIG_rev4'!$C:$C,1,0)</f>
        <v>SMARTROAD_BUILDING_SHIFT-Dispositivo spostato</v>
      </c>
      <c r="D515" t="str">
        <f>VLOOKUP(B515,'EXPORT IRIS PROD 13-11-2024'!A:A,1,0)</f>
        <v>SMARTROAD_BUILDING_SHIFT-Dispositivo spostato</v>
      </c>
      <c r="E515" t="str">
        <f>VLOOKUP(H515,'EXPORT IRIS PROD 13-11-2024'!F:F,1,0)</f>
        <v>SMARTROAD_BUILDING_SHIFT</v>
      </c>
      <c r="F515" t="str">
        <f>VLOOKUP(I515,'EXPORT IRIS PROD 13-11-2024'!D:D,1,0)</f>
        <v>Dispositivo spostato</v>
      </c>
      <c r="G515" s="37" t="s">
        <v>991</v>
      </c>
      <c r="H515" s="38" t="s">
        <v>998</v>
      </c>
      <c r="I515" s="38" t="s">
        <v>999</v>
      </c>
      <c r="J515" s="39" t="s">
        <v>994</v>
      </c>
      <c r="K515" s="39" t="s">
        <v>995</v>
      </c>
      <c r="L515" s="40" t="s">
        <v>21</v>
      </c>
      <c r="M515" s="41" t="s">
        <v>22</v>
      </c>
      <c r="N515" s="42" t="s">
        <v>23</v>
      </c>
      <c r="O515" s="43" t="s">
        <v>24</v>
      </c>
      <c r="P515" s="42" t="s">
        <v>25</v>
      </c>
      <c r="Q515" s="42" t="s">
        <v>21</v>
      </c>
      <c r="R515" s="44"/>
    </row>
    <row r="516" spans="1:18" x14ac:dyDescent="0.25">
      <c r="A516" t="str">
        <f t="shared" si="16"/>
        <v>Cantieri IoT_Cantiere_SMARTROAD_BUILDING_SHOCK-Dispositivo urtato</v>
      </c>
      <c r="B516" t="str">
        <f t="shared" si="17"/>
        <v>SMARTROAD_BUILDING_SHOCK-Dispositivo urtato</v>
      </c>
      <c r="C516" t="str">
        <f>VLOOKUP(B516,'[2]Classi allarmi RMT-STIG_rev4'!$C:$C,1,0)</f>
        <v>SMARTROAD_BUILDING_SHOCK-Dispositivo urtato</v>
      </c>
      <c r="D516" t="str">
        <f>VLOOKUP(B516,'EXPORT IRIS PROD 13-11-2024'!A:A,1,0)</f>
        <v>SMARTROAD_BUILDING_SHOCK-Dispositivo urtato</v>
      </c>
      <c r="E516" t="str">
        <f>VLOOKUP(H516,'EXPORT IRIS PROD 13-11-2024'!F:F,1,0)</f>
        <v>SMARTROAD_BUILDING_SHOCK</v>
      </c>
      <c r="F516" t="str">
        <f>VLOOKUP(I516,'EXPORT IRIS PROD 13-11-2024'!D:D,1,0)</f>
        <v>Dispositivo urtato</v>
      </c>
      <c r="G516" s="37" t="s">
        <v>991</v>
      </c>
      <c r="H516" s="38" t="s">
        <v>1000</v>
      </c>
      <c r="I516" s="38" t="s">
        <v>1001</v>
      </c>
      <c r="J516" s="39" t="s">
        <v>994</v>
      </c>
      <c r="K516" s="39" t="s">
        <v>995</v>
      </c>
      <c r="L516" s="40" t="s">
        <v>21</v>
      </c>
      <c r="M516" s="41" t="s">
        <v>22</v>
      </c>
      <c r="N516" s="42" t="s">
        <v>23</v>
      </c>
      <c r="O516" s="43" t="s">
        <v>24</v>
      </c>
      <c r="P516" s="42" t="s">
        <v>25</v>
      </c>
      <c r="Q516" s="42" t="s">
        <v>21</v>
      </c>
      <c r="R516" s="44"/>
    </row>
    <row r="517" spans="1:18" x14ac:dyDescent="0.25">
      <c r="A517" t="str">
        <f t="shared" si="16"/>
        <v>Smart Road_Telecamera Smart_SMARTROAD_WEATHER_FALLINGSNOW-Neve</v>
      </c>
      <c r="B517" t="str">
        <f t="shared" si="17"/>
        <v>SMARTROAD_WEATHER_FALLINGSNOW-Neve</v>
      </c>
      <c r="C517" t="str">
        <f>VLOOKUP(B517,'[2]Classi allarmi RMT-STIG_rev4'!$C:$C,1,0)</f>
        <v>SMARTROAD_WEATHER_FALLINGSNOW-Neve</v>
      </c>
      <c r="D517" t="str">
        <f>VLOOKUP(B517,'EXPORT IRIS PROD 13-11-2024'!A:A,1,0)</f>
        <v>SMARTROAD_WEATHER_FALLINGSNOW-Neve</v>
      </c>
      <c r="E517" t="str">
        <f>VLOOKUP(H517,'EXPORT IRIS PROD 13-11-2024'!F:F,1,0)</f>
        <v>SMARTROAD_WEATHER_FALLINGSNOW</v>
      </c>
      <c r="F517" t="str">
        <f>VLOOKUP(I517,'EXPORT IRIS PROD 13-11-2024'!D:D,1,0)</f>
        <v>Neve</v>
      </c>
      <c r="G517" s="37" t="s">
        <v>1002</v>
      </c>
      <c r="H517" s="38" t="s">
        <v>1003</v>
      </c>
      <c r="I517" s="45" t="s">
        <v>1004</v>
      </c>
      <c r="J517" s="46" t="s">
        <v>965</v>
      </c>
      <c r="K517" s="46" t="s">
        <v>966</v>
      </c>
      <c r="L517" s="47" t="s">
        <v>31</v>
      </c>
      <c r="M517" s="48" t="s">
        <v>32</v>
      </c>
      <c r="N517" s="43">
        <v>5</v>
      </c>
      <c r="O517" s="43" t="s">
        <v>157</v>
      </c>
      <c r="P517" s="43" t="s">
        <v>158</v>
      </c>
      <c r="Q517" s="42" t="s">
        <v>21</v>
      </c>
      <c r="R517" s="56"/>
    </row>
    <row r="518" spans="1:18" x14ac:dyDescent="0.25">
      <c r="A518" t="str">
        <f t="shared" si="16"/>
        <v>Smart Road_Telecamera Smart_SMARTROAD_WEATHER_LAST_DATA-Connessione perduta</v>
      </c>
      <c r="B518" t="str">
        <f t="shared" si="17"/>
        <v>SMARTROAD_WEATHER_LAST_DATA-Connessione perduta</v>
      </c>
      <c r="C518" t="str">
        <f>VLOOKUP(B518,'[2]Classi allarmi RMT-STIG_rev4'!$C:$C,1,0)</f>
        <v>SMARTROAD_WEATHER_LAST_DATA-Connessione perduta</v>
      </c>
      <c r="D518" t="str">
        <f>VLOOKUP(B518,'EXPORT IRIS PROD 13-11-2024'!A:A,1,0)</f>
        <v>SMARTROAD_WEATHER_LAST_DATA-Connessione perduta</v>
      </c>
      <c r="E518" t="str">
        <f>VLOOKUP(H518,'EXPORT IRIS PROD 13-11-2024'!F:F,1,0)</f>
        <v>SMARTROAD_WEATHER_LAST_DATA</v>
      </c>
      <c r="F518" t="str">
        <f>VLOOKUP(I518,'EXPORT IRIS PROD 13-11-2024'!D:D,1,0)</f>
        <v>Connessione perduta</v>
      </c>
      <c r="G518" s="37" t="s">
        <v>198</v>
      </c>
      <c r="H518" s="38" t="s">
        <v>1005</v>
      </c>
      <c r="I518" s="38" t="s">
        <v>1006</v>
      </c>
      <c r="J518" s="39" t="s">
        <v>965</v>
      </c>
      <c r="K518" s="39" t="s">
        <v>966</v>
      </c>
      <c r="L518" s="40" t="s">
        <v>21</v>
      </c>
      <c r="M518" s="41" t="s">
        <v>22</v>
      </c>
      <c r="N518" s="42" t="s">
        <v>23</v>
      </c>
      <c r="O518" s="43" t="s">
        <v>24</v>
      </c>
      <c r="P518" s="42" t="s">
        <v>25</v>
      </c>
      <c r="Q518" s="42" t="s">
        <v>21</v>
      </c>
      <c r="R518" s="44"/>
    </row>
    <row r="519" spans="1:18" x14ac:dyDescent="0.25">
      <c r="A519" t="str">
        <f t="shared" si="16"/>
        <v>Smart Road_Telecamera Smart_SMARTROAD_WEATHER_RAIN-Pioggia</v>
      </c>
      <c r="B519" t="str">
        <f t="shared" si="17"/>
        <v>SMARTROAD_WEATHER_RAIN-Pioggia</v>
      </c>
      <c r="C519" t="str">
        <f>VLOOKUP(B519,'[2]Classi allarmi RMT-STIG_rev4'!$C:$C,1,0)</f>
        <v>SMARTROAD_WEATHER_RAIN-Pioggia</v>
      </c>
      <c r="D519" t="str">
        <f>VLOOKUP(B519,'EXPORT IRIS PROD 13-11-2024'!A:A,1,0)</f>
        <v>SMARTROAD_WEATHER_RAIN-Pioggia</v>
      </c>
      <c r="E519" t="str">
        <f>VLOOKUP(H519,'EXPORT IRIS PROD 13-11-2024'!F:F,1,0)</f>
        <v>SMARTROAD_WEATHER_RAIN</v>
      </c>
      <c r="F519" t="str">
        <f>VLOOKUP(I519,'EXPORT IRIS PROD 13-11-2024'!D:D,1,0)</f>
        <v>Pioggia</v>
      </c>
      <c r="G519" s="37" t="s">
        <v>1002</v>
      </c>
      <c r="H519" s="38" t="s">
        <v>1007</v>
      </c>
      <c r="I519" s="45" t="s">
        <v>1008</v>
      </c>
      <c r="J519" s="46" t="s">
        <v>965</v>
      </c>
      <c r="K519" s="46" t="s">
        <v>966</v>
      </c>
      <c r="L519" s="47" t="s">
        <v>31</v>
      </c>
      <c r="M519" s="58" t="s">
        <v>32</v>
      </c>
      <c r="N519" s="43">
        <v>5</v>
      </c>
      <c r="O519" s="43" t="s">
        <v>157</v>
      </c>
      <c r="P519" s="43" t="s">
        <v>158</v>
      </c>
      <c r="Q519" s="42" t="s">
        <v>21</v>
      </c>
      <c r="R519" s="49"/>
    </row>
    <row r="520" spans="1:18" x14ac:dyDescent="0.25">
      <c r="A520" t="str">
        <f t="shared" si="16"/>
        <v>Smart Road_Telecamera Smart_SMARTROAD_WEATHER_SNOWY_ROAD-Presenza di neve sulla strada</v>
      </c>
      <c r="B520" t="str">
        <f t="shared" si="17"/>
        <v>SMARTROAD_WEATHER_SNOWY_ROAD-Presenza di neve sulla strada</v>
      </c>
      <c r="C520" t="str">
        <f>VLOOKUP(B520,'[2]Classi allarmi RMT-STIG_rev4'!$C:$C,1,0)</f>
        <v>SMARTROAD_WEATHER_SNOWY_ROAD-Presenza di neve sulla strada</v>
      </c>
      <c r="D520" t="str">
        <f>VLOOKUP(B520,'EXPORT IRIS PROD 13-11-2024'!A:A,1,0)</f>
        <v>SMARTROAD_WEATHER_SNOWY_ROAD-Presenza di neve sulla strada</v>
      </c>
      <c r="E520" t="str">
        <f>VLOOKUP(H520,'EXPORT IRIS PROD 13-11-2024'!F:F,1,0)</f>
        <v>SMARTROAD_WEATHER_SNOWY_ROAD</v>
      </c>
      <c r="F520" t="str">
        <f>VLOOKUP(I520,'EXPORT IRIS PROD 13-11-2024'!D:D,1,0)</f>
        <v>Presenza di neve sulla strada</v>
      </c>
      <c r="G520" s="37" t="s">
        <v>1002</v>
      </c>
      <c r="H520" s="38" t="s">
        <v>1009</v>
      </c>
      <c r="I520" s="45" t="s">
        <v>1010</v>
      </c>
      <c r="J520" s="46" t="s">
        <v>965</v>
      </c>
      <c r="K520" s="46" t="s">
        <v>966</v>
      </c>
      <c r="L520" s="47" t="s">
        <v>31</v>
      </c>
      <c r="M520" s="48" t="s">
        <v>32</v>
      </c>
      <c r="N520" s="43">
        <v>5</v>
      </c>
      <c r="O520" s="43" t="s">
        <v>157</v>
      </c>
      <c r="P520" s="43" t="s">
        <v>158</v>
      </c>
      <c r="Q520" s="42" t="s">
        <v>21</v>
      </c>
      <c r="R520" s="49"/>
    </row>
    <row r="521" spans="1:18" x14ac:dyDescent="0.25">
      <c r="A521" t="str">
        <f t="shared" si="16"/>
        <v>Smart Road_Telecamera Smart_SMARTROAD_WEATHER_TEMPERATURE-Bassa temperatura</v>
      </c>
      <c r="B521" t="str">
        <f t="shared" si="17"/>
        <v>SMARTROAD_WEATHER_TEMPERATURE-Bassa temperatura</v>
      </c>
      <c r="C521" t="str">
        <f>VLOOKUP(B521,'[2]Classi allarmi RMT-STIG_rev4'!$C:$C,1,0)</f>
        <v>SMARTROAD_WEATHER_TEMPERATURE-Bassa temperatura</v>
      </c>
      <c r="D521" t="str">
        <f>VLOOKUP(B521,'EXPORT IRIS PROD 13-11-2024'!A:A,1,0)</f>
        <v>SMARTROAD_WEATHER_TEMPERATURE-Bassa temperatura</v>
      </c>
      <c r="E521" t="str">
        <f>VLOOKUP(H521,'EXPORT IRIS PROD 13-11-2024'!F:F,1,0)</f>
        <v>SMARTROAD_WEATHER_TEMPERATURE</v>
      </c>
      <c r="F521" t="str">
        <f>VLOOKUP(I521,'EXPORT IRIS PROD 13-11-2024'!D:D,1,0)</f>
        <v>Bassa temperatura</v>
      </c>
      <c r="G521" s="37" t="s">
        <v>1002</v>
      </c>
      <c r="H521" s="38" t="s">
        <v>1011</v>
      </c>
      <c r="I521" s="45" t="s">
        <v>1012</v>
      </c>
      <c r="J521" s="46" t="s">
        <v>965</v>
      </c>
      <c r="K521" s="46" t="s">
        <v>966</v>
      </c>
      <c r="L521" s="47" t="s">
        <v>31</v>
      </c>
      <c r="M521" s="48" t="s">
        <v>32</v>
      </c>
      <c r="N521" s="43">
        <v>5</v>
      </c>
      <c r="O521" s="43" t="s">
        <v>157</v>
      </c>
      <c r="P521" s="43" t="s">
        <v>158</v>
      </c>
      <c r="Q521" s="42" t="s">
        <v>21</v>
      </c>
      <c r="R521" s="49"/>
    </row>
    <row r="522" spans="1:18" x14ac:dyDescent="0.25">
      <c r="A522" t="str">
        <f t="shared" si="16"/>
        <v>Smart Road_Telecamera Smart_SMARTROAD_WEATHER_TOTAL_RAIN-Precipitazioni intense [mm]</v>
      </c>
      <c r="B522" t="str">
        <f t="shared" si="17"/>
        <v>SMARTROAD_WEATHER_TOTAL_RAIN-Precipitazioni intense [mm]</v>
      </c>
      <c r="C522" t="str">
        <f>VLOOKUP(B522,'[2]Classi allarmi RMT-STIG_rev4'!$C:$C,1,0)</f>
        <v>SMARTROAD_WEATHER_TOTAL_RAIN-Precipitazioni intense [mm]</v>
      </c>
      <c r="D522" t="str">
        <f>VLOOKUP(B522,'EXPORT IRIS PROD 13-11-2024'!A:A,1,0)</f>
        <v>SMARTROAD_WEATHER_TOTAL_RAIN-Precipitazioni intense [mm]</v>
      </c>
      <c r="E522" t="str">
        <f>VLOOKUP(H522,'EXPORT IRIS PROD 13-11-2024'!F:F,1,0)</f>
        <v>SMARTROAD_WEATHER_TOTAL_RAIN</v>
      </c>
      <c r="F522" t="str">
        <f>VLOOKUP(I522,'EXPORT IRIS PROD 13-11-2024'!D:D,1,0)</f>
        <v>Precipitazioni intense [mm]</v>
      </c>
      <c r="G522" s="37" t="s">
        <v>1002</v>
      </c>
      <c r="H522" s="38" t="s">
        <v>1013</v>
      </c>
      <c r="I522" s="45" t="s">
        <v>1014</v>
      </c>
      <c r="J522" s="46" t="s">
        <v>965</v>
      </c>
      <c r="K522" s="46" t="s">
        <v>966</v>
      </c>
      <c r="L522" s="47" t="s">
        <v>31</v>
      </c>
      <c r="M522" s="48" t="s">
        <v>32</v>
      </c>
      <c r="N522" s="43">
        <v>5</v>
      </c>
      <c r="O522" s="43" t="s">
        <v>157</v>
      </c>
      <c r="P522" s="43" t="s">
        <v>158</v>
      </c>
      <c r="Q522" s="42" t="s">
        <v>21</v>
      </c>
      <c r="R522" s="49"/>
    </row>
    <row r="523" spans="1:18" x14ac:dyDescent="0.25">
      <c r="A523" t="str">
        <f t="shared" si="16"/>
        <v>Smart Road_Telecamera Smart_SMARTROAD_WEATHER_VISIBILITY-Bassa visibilità</v>
      </c>
      <c r="B523" t="str">
        <f t="shared" si="17"/>
        <v>SMARTROAD_WEATHER_VISIBILITY-Bassa visibilità</v>
      </c>
      <c r="C523" t="str">
        <f>VLOOKUP(B523,'[2]Classi allarmi RMT-STIG_rev4'!$C:$C,1,0)</f>
        <v>SMARTROAD_WEATHER_VISIBILITY-Bassa visibilità</v>
      </c>
      <c r="D523" t="str">
        <f>VLOOKUP(B523,'EXPORT IRIS PROD 13-11-2024'!A:A,1,0)</f>
        <v>SMARTROAD_WEATHER_VISIBILITY-Bassa visibilità</v>
      </c>
      <c r="E523" t="str">
        <f>VLOOKUP(H523,'EXPORT IRIS PROD 13-11-2024'!F:F,1,0)</f>
        <v>SMARTROAD_WEATHER_VISIBILITY</v>
      </c>
      <c r="F523" t="str">
        <f>VLOOKUP(I523,'EXPORT IRIS PROD 13-11-2024'!D:D,1,0)</f>
        <v>Bassa visibilità</v>
      </c>
      <c r="G523" s="37" t="s">
        <v>1002</v>
      </c>
      <c r="H523" s="38" t="s">
        <v>1015</v>
      </c>
      <c r="I523" s="45" t="s">
        <v>1016</v>
      </c>
      <c r="J523" s="46" t="s">
        <v>965</v>
      </c>
      <c r="K523" s="46" t="s">
        <v>966</v>
      </c>
      <c r="L523" s="47" t="s">
        <v>31</v>
      </c>
      <c r="M523" s="58" t="s">
        <v>32</v>
      </c>
      <c r="N523" s="43">
        <v>5</v>
      </c>
      <c r="O523" s="43" t="s">
        <v>157</v>
      </c>
      <c r="P523" s="43" t="s">
        <v>158</v>
      </c>
      <c r="Q523" s="42" t="s">
        <v>21</v>
      </c>
      <c r="R523" s="49"/>
    </row>
    <row r="524" spans="1:18" x14ac:dyDescent="0.25">
      <c r="A524" t="str">
        <f t="shared" si="16"/>
        <v>Impianto Videosorveglianza_Telecamera passiva_TELECAMERA_SPOSTATA_CORSIA_1-Allarme telecamera spostata corsia di emergenza</v>
      </c>
      <c r="B524" t="str">
        <f t="shared" si="17"/>
        <v>TELECAMERA_SPOSTATA_CORSIA_1-Allarme telecamera spostata corsia di emergenza</v>
      </c>
      <c r="C524" t="str">
        <f>VLOOKUP(B524,'[2]Classi allarmi RMT-STIG_rev4'!$C:$C,1,0)</f>
        <v>TELECAMERA_SPOSTATA_CORSIA_1-Allarme telecamera spostata corsia di emergenza</v>
      </c>
      <c r="D524" t="str">
        <f>VLOOKUP(B524,'EXPORT IRIS PROD 13-11-2024'!A:A,1,0)</f>
        <v>TELECAMERA_SPOSTATA_CORSIA_1-Allarme telecamera spostata corsia di emergenza</v>
      </c>
      <c r="E524" t="str">
        <f>VLOOKUP(H524,'EXPORT IRIS PROD 13-11-2024'!F:F,1,0)</f>
        <v>TELECAMERA_SPOSTATA_CORSIA_1</v>
      </c>
      <c r="F524" t="str">
        <f>VLOOKUP(I524,'EXPORT IRIS PROD 13-11-2024'!D:D,1,0)</f>
        <v>Allarme telecamera spostata corsia di emergenza</v>
      </c>
      <c r="G524" s="37" t="s">
        <v>1017</v>
      </c>
      <c r="H524" s="38" t="s">
        <v>1018</v>
      </c>
      <c r="I524" s="38" t="s">
        <v>1019</v>
      </c>
      <c r="J524" s="39" t="s">
        <v>201</v>
      </c>
      <c r="K524" s="39" t="s">
        <v>263</v>
      </c>
      <c r="L524" s="40" t="s">
        <v>31</v>
      </c>
      <c r="M524" s="41" t="s">
        <v>32</v>
      </c>
      <c r="N524" s="42">
        <v>4</v>
      </c>
      <c r="O524" s="43" t="s">
        <v>157</v>
      </c>
      <c r="P524" s="42" t="s">
        <v>158</v>
      </c>
      <c r="Q524" s="42" t="s">
        <v>21</v>
      </c>
      <c r="R524" s="44"/>
    </row>
    <row r="525" spans="1:18" x14ac:dyDescent="0.25">
      <c r="A525" t="str">
        <f t="shared" si="16"/>
        <v>Impianto Videosorveglianza_Telecamera passiva_TELECAMERA_SPOSTATA_CORSIA_2-Allarme telecamera spostata corsia di marcia</v>
      </c>
      <c r="B525" t="str">
        <f t="shared" si="17"/>
        <v>TELECAMERA_SPOSTATA_CORSIA_2-Allarme telecamera spostata corsia di marcia</v>
      </c>
      <c r="C525" t="str">
        <f>VLOOKUP(B525,'[2]Classi allarmi RMT-STIG_rev4'!$C:$C,1,0)</f>
        <v>TELECAMERA_SPOSTATA_CORSIA_2-Allarme telecamera spostata corsia di marcia</v>
      </c>
      <c r="D525" t="str">
        <f>VLOOKUP(B525,'EXPORT IRIS PROD 13-11-2024'!A:A,1,0)</f>
        <v>TELECAMERA_SPOSTATA_CORSIA_2-Allarme telecamera spostata corsia di marcia</v>
      </c>
      <c r="E525" t="str">
        <f>VLOOKUP(H525,'EXPORT IRIS PROD 13-11-2024'!F:F,1,0)</f>
        <v>TELECAMERA_SPOSTATA_CORSIA_2</v>
      </c>
      <c r="F525" t="str">
        <f>VLOOKUP(I525,'EXPORT IRIS PROD 13-11-2024'!D:D,1,0)</f>
        <v>Allarme telecamera spostata corsia di marcia</v>
      </c>
      <c r="G525" s="37" t="s">
        <v>1017</v>
      </c>
      <c r="H525" s="38" t="s">
        <v>1020</v>
      </c>
      <c r="I525" s="38" t="s">
        <v>1021</v>
      </c>
      <c r="J525" s="39" t="s">
        <v>201</v>
      </c>
      <c r="K525" s="39" t="s">
        <v>263</v>
      </c>
      <c r="L525" s="40" t="s">
        <v>31</v>
      </c>
      <c r="M525" s="41" t="s">
        <v>32</v>
      </c>
      <c r="N525" s="42">
        <v>4</v>
      </c>
      <c r="O525" s="43" t="s">
        <v>157</v>
      </c>
      <c r="P525" s="42" t="s">
        <v>158</v>
      </c>
      <c r="Q525" s="42" t="s">
        <v>21</v>
      </c>
      <c r="R525" s="44"/>
    </row>
    <row r="526" spans="1:18" x14ac:dyDescent="0.25">
      <c r="A526" t="str">
        <f t="shared" si="16"/>
        <v>Impianto Videosorveglianza_Telecamera passiva_TELECAMERA_SPOSTATA_CORSIA_3-Allarme telecamera spostata corsia veloce</v>
      </c>
      <c r="B526" t="str">
        <f t="shared" si="17"/>
        <v>TELECAMERA_SPOSTATA_CORSIA_3-Allarme telecamera spostata corsia veloce</v>
      </c>
      <c r="C526" t="str">
        <f>VLOOKUP(B526,'[2]Classi allarmi RMT-STIG_rev4'!$C:$C,1,0)</f>
        <v>TELECAMERA_SPOSTATA_CORSIA_3-Allarme telecamera spostata corsia veloce</v>
      </c>
      <c r="D526" t="str">
        <f>VLOOKUP(B526,'EXPORT IRIS PROD 13-11-2024'!A:A,1,0)</f>
        <v>TELECAMERA_SPOSTATA_CORSIA_3-Allarme telecamera spostata corsia veloce</v>
      </c>
      <c r="E526" t="str">
        <f>VLOOKUP(H526,'EXPORT IRIS PROD 13-11-2024'!F:F,1,0)</f>
        <v>TELECAMERA_SPOSTATA_CORSIA_3</v>
      </c>
      <c r="F526" t="str">
        <f>VLOOKUP(I526,'EXPORT IRIS PROD 13-11-2024'!D:D,1,0)</f>
        <v>Allarme telecamera spostata corsia veloce</v>
      </c>
      <c r="G526" s="37" t="s">
        <v>1017</v>
      </c>
      <c r="H526" s="38" t="s">
        <v>1022</v>
      </c>
      <c r="I526" s="38" t="s">
        <v>1023</v>
      </c>
      <c r="J526" s="39" t="s">
        <v>201</v>
      </c>
      <c r="K526" s="39" t="s">
        <v>263</v>
      </c>
      <c r="L526" s="40" t="s">
        <v>31</v>
      </c>
      <c r="M526" s="41" t="s">
        <v>32</v>
      </c>
      <c r="N526" s="42">
        <v>4</v>
      </c>
      <c r="O526" s="43" t="s">
        <v>157</v>
      </c>
      <c r="P526" s="42" t="s">
        <v>158</v>
      </c>
      <c r="Q526" s="42" t="s">
        <v>21</v>
      </c>
      <c r="R526" s="44"/>
    </row>
    <row r="527" spans="1:18" x14ac:dyDescent="0.25">
      <c r="A527" t="str">
        <f t="shared" si="16"/>
        <v>Impianto Ventilazione_Ventilatore_TEMPERATURA-Allarme temperatura</v>
      </c>
      <c r="B527" t="str">
        <f t="shared" si="17"/>
        <v>TEMPERATURA-Allarme temperatura</v>
      </c>
      <c r="C527" t="str">
        <f>VLOOKUP(B527,'[2]Classi allarmi RMT-STIG_rev4'!$C:$C,1,0)</f>
        <v>TEMPERATURA-Allarme temperatura</v>
      </c>
      <c r="D527" t="str">
        <f>VLOOKUP(B527,'EXPORT IRIS PROD 13-11-2024'!A:A,1,0)</f>
        <v>TEMPERATURA-Allarme temperatura</v>
      </c>
      <c r="E527" t="str">
        <f>VLOOKUP(H527,'EXPORT IRIS PROD 13-11-2024'!F:F,1,0)</f>
        <v>TEMPERATURA</v>
      </c>
      <c r="F527" t="str">
        <f>VLOOKUP(I527,'EXPORT IRIS PROD 13-11-2024'!D:D,1,0)</f>
        <v>Allarme temperatura</v>
      </c>
      <c r="G527" s="37" t="s">
        <v>85</v>
      </c>
      <c r="H527" s="38" t="s">
        <v>1024</v>
      </c>
      <c r="I527" s="38" t="s">
        <v>1025</v>
      </c>
      <c r="J527" s="39" t="s">
        <v>50</v>
      </c>
      <c r="K527" s="39" t="s">
        <v>124</v>
      </c>
      <c r="L527" s="40" t="s">
        <v>21</v>
      </c>
      <c r="M527" s="41" t="s">
        <v>22</v>
      </c>
      <c r="N527" s="42" t="s">
        <v>23</v>
      </c>
      <c r="O527" s="43" t="s">
        <v>24</v>
      </c>
      <c r="P527" s="42" t="s">
        <v>25</v>
      </c>
      <c r="Q527" s="42" t="s">
        <v>21</v>
      </c>
      <c r="R527" s="44"/>
    </row>
    <row r="528" spans="1:18" x14ac:dyDescent="0.25">
      <c r="A528" t="str">
        <f t="shared" si="16"/>
        <v>Impianto Videosorveglianza_Telecamera attiva_TRAFFICO_RALLENTATO-Allarme traffico rallentato</v>
      </c>
      <c r="B528" t="str">
        <f t="shared" si="17"/>
        <v>TRAFFICO_RALLENTATO-Allarme traffico rallentato</v>
      </c>
      <c r="C528" t="str">
        <f>VLOOKUP(B528,'[2]Classi allarmi RMT-STIG_rev4'!$C:$C,1,0)</f>
        <v>TRAFFICO_RALLENTATO-Allarme traffico rallentato</v>
      </c>
      <c r="D528" t="str">
        <f>VLOOKUP(B528,'EXPORT IRIS PROD 13-11-2024'!A:A,1,0)</f>
        <v>TRAFFICO_RALLENTATO-Allarme traffico rallentato</v>
      </c>
      <c r="E528" t="str">
        <f>VLOOKUP(H528,'EXPORT IRIS PROD 13-11-2024'!F:F,1,0)</f>
        <v>TRAFFICO_RALLENTATO</v>
      </c>
      <c r="F528" t="str">
        <f>VLOOKUP(I528,'EXPORT IRIS PROD 13-11-2024'!D:D,1,0)</f>
        <v>Allarme traffico rallentato</v>
      </c>
      <c r="G528" s="37" t="s">
        <v>822</v>
      </c>
      <c r="H528" s="38" t="s">
        <v>1026</v>
      </c>
      <c r="I528" s="45" t="s">
        <v>1027</v>
      </c>
      <c r="J528" s="46" t="s">
        <v>201</v>
      </c>
      <c r="K528" s="46" t="s">
        <v>380</v>
      </c>
      <c r="L528" s="47" t="s">
        <v>31</v>
      </c>
      <c r="M528" s="48" t="s">
        <v>32</v>
      </c>
      <c r="N528" s="43">
        <v>1</v>
      </c>
      <c r="O528" s="43" t="s">
        <v>24</v>
      </c>
      <c r="P528" s="43" t="s">
        <v>25</v>
      </c>
      <c r="Q528" s="42" t="s">
        <v>21</v>
      </c>
      <c r="R528" s="49"/>
    </row>
    <row r="529" spans="1:18" x14ac:dyDescent="0.25">
      <c r="A529" t="str">
        <f t="shared" si="16"/>
        <v>Impianto Videosorveglianza_Telecamera passiva_TRAFFICO_RALLENTATO-Allarme traffico rallentato</v>
      </c>
      <c r="B529" t="str">
        <f t="shared" si="17"/>
        <v>TRAFFICO_RALLENTATO-Allarme traffico rallentato</v>
      </c>
      <c r="C529" t="str">
        <f>VLOOKUP(B529,'[2]Classi allarmi RMT-STIG_rev4'!$C:$C,1,0)</f>
        <v>TRAFFICO_RALLENTATO-Allarme traffico rallentato</v>
      </c>
      <c r="D529" t="str">
        <f>VLOOKUP(B529,'EXPORT IRIS PROD 13-11-2024'!A:A,1,0)</f>
        <v>TRAFFICO_RALLENTATO-Allarme traffico rallentato</v>
      </c>
      <c r="E529" t="str">
        <f>VLOOKUP(H529,'EXPORT IRIS PROD 13-11-2024'!F:F,1,0)</f>
        <v>TRAFFICO_RALLENTATO</v>
      </c>
      <c r="F529" t="str">
        <f>VLOOKUP(I529,'EXPORT IRIS PROD 13-11-2024'!D:D,1,0)</f>
        <v>Allarme traffico rallentato</v>
      </c>
      <c r="G529" s="37" t="s">
        <v>822</v>
      </c>
      <c r="H529" s="38" t="s">
        <v>1026</v>
      </c>
      <c r="I529" s="45" t="s">
        <v>1027</v>
      </c>
      <c r="J529" s="46" t="s">
        <v>201</v>
      </c>
      <c r="K529" s="46" t="s">
        <v>263</v>
      </c>
      <c r="L529" s="47" t="s">
        <v>31</v>
      </c>
      <c r="M529" s="48" t="s">
        <v>32</v>
      </c>
      <c r="N529" s="43">
        <v>1</v>
      </c>
      <c r="O529" s="43" t="s">
        <v>24</v>
      </c>
      <c r="P529" s="43" t="s">
        <v>25</v>
      </c>
      <c r="Q529" s="42" t="s">
        <v>21</v>
      </c>
      <c r="R529" s="49"/>
    </row>
    <row r="530" spans="1:18" x14ac:dyDescent="0.25">
      <c r="A530" t="str">
        <f t="shared" si="16"/>
        <v>Impianto Videosorveglianza_Telecamera passiva_VEICOLO_CONTROMANO-Allarme veicolo contromano</v>
      </c>
      <c r="B530" t="str">
        <f t="shared" si="17"/>
        <v>VEICOLO_CONTROMANO-Allarme veicolo contromano</v>
      </c>
      <c r="C530" t="str">
        <f>VLOOKUP(B530,'[2]Classi allarmi RMT-STIG_rev4'!$C:$C,1,0)</f>
        <v>VEICOLO_CONTROMANO-Allarme veicolo contromano</v>
      </c>
      <c r="D530" t="str">
        <f>VLOOKUP(B530,'EXPORT IRIS PROD 13-11-2024'!A:A,1,0)</f>
        <v>VEICOLO_CONTROMANO-Allarme veicolo contromano</v>
      </c>
      <c r="E530" t="str">
        <f>VLOOKUP(H530,'EXPORT IRIS PROD 13-11-2024'!F:F,1,0)</f>
        <v>VEICOLO_CONTROMANO</v>
      </c>
      <c r="F530" t="str">
        <f>VLOOKUP(I530,'EXPORT IRIS PROD 13-11-2024'!D:D,1,0)</f>
        <v>Allarme veicolo contromano</v>
      </c>
      <c r="G530" s="37" t="s">
        <v>988</v>
      </c>
      <c r="H530" s="38" t="s">
        <v>1028</v>
      </c>
      <c r="I530" s="45" t="s">
        <v>1029</v>
      </c>
      <c r="J530" s="46" t="s">
        <v>201</v>
      </c>
      <c r="K530" s="46" t="s">
        <v>263</v>
      </c>
      <c r="L530" s="47" t="s">
        <v>31</v>
      </c>
      <c r="M530" s="48" t="s">
        <v>32</v>
      </c>
      <c r="N530" s="43">
        <v>1</v>
      </c>
      <c r="O530" s="43" t="s">
        <v>33</v>
      </c>
      <c r="P530" s="43" t="s">
        <v>34</v>
      </c>
      <c r="Q530" s="43" t="s">
        <v>31</v>
      </c>
      <c r="R530" s="49"/>
    </row>
    <row r="531" spans="1:18" x14ac:dyDescent="0.25">
      <c r="A531" t="str">
        <f t="shared" si="16"/>
        <v>Impianto Videosorveglianza_Telecamera attiva_VEICOLO_CONTROMANO-Allarme veicolo contromano</v>
      </c>
      <c r="B531" t="str">
        <f t="shared" si="17"/>
        <v>VEICOLO_CONTROMANO-Allarme veicolo contromano</v>
      </c>
      <c r="C531" t="str">
        <f>VLOOKUP(B531,'[2]Classi allarmi RMT-STIG_rev4'!$C:$C,1,0)</f>
        <v>VEICOLO_CONTROMANO-Allarme veicolo contromano</v>
      </c>
      <c r="D531" t="str">
        <f>VLOOKUP(B531,'EXPORT IRIS PROD 13-11-2024'!A:A,1,0)</f>
        <v>VEICOLO_CONTROMANO-Allarme veicolo contromano</v>
      </c>
      <c r="E531" t="str">
        <f>VLOOKUP(H531,'EXPORT IRIS PROD 13-11-2024'!F:F,1,0)</f>
        <v>VEICOLO_CONTROMANO</v>
      </c>
      <c r="F531" t="str">
        <f>VLOOKUP(I531,'EXPORT IRIS PROD 13-11-2024'!D:D,1,0)</f>
        <v>Allarme veicolo contromano</v>
      </c>
      <c r="G531" s="37" t="s">
        <v>988</v>
      </c>
      <c r="H531" s="38" t="s">
        <v>1028</v>
      </c>
      <c r="I531" s="45" t="s">
        <v>1029</v>
      </c>
      <c r="J531" s="46" t="s">
        <v>201</v>
      </c>
      <c r="K531" s="46" t="s">
        <v>380</v>
      </c>
      <c r="L531" s="47" t="s">
        <v>31</v>
      </c>
      <c r="M531" s="48" t="s">
        <v>32</v>
      </c>
      <c r="N531" s="43">
        <v>1</v>
      </c>
      <c r="O531" s="43" t="s">
        <v>33</v>
      </c>
      <c r="P531" s="43" t="s">
        <v>34</v>
      </c>
      <c r="Q531" s="43" t="s">
        <v>31</v>
      </c>
      <c r="R531" s="49"/>
    </row>
    <row r="532" spans="1:18" x14ac:dyDescent="0.25">
      <c r="A532" t="str">
        <f t="shared" si="16"/>
        <v>Impianto Videosorveglianza_Telecamera attiva_VEICOLO_CONTROMANO_CORSIA_1-Allarme veicolo contromano corsia di emergenza</v>
      </c>
      <c r="B532" t="str">
        <f t="shared" si="17"/>
        <v>VEICOLO_CONTROMANO_CORSIA_1-Allarme veicolo contromano corsia di emergenza</v>
      </c>
      <c r="C532" t="str">
        <f>VLOOKUP(B532,'[2]Classi allarmi RMT-STIG_rev4'!$C:$C,1,0)</f>
        <v>VEICOLO_CONTROMANO_CORSIA_1-Allarme veicolo contromano corsia di emergenza</v>
      </c>
      <c r="D532" t="str">
        <f>VLOOKUP(B532,'EXPORT IRIS PROD 13-11-2024'!A:A,1,0)</f>
        <v>VEICOLO_CONTROMANO_CORSIA_1-Allarme veicolo contromano corsia di emergenza</v>
      </c>
      <c r="E532" t="str">
        <f>VLOOKUP(H532,'EXPORT IRIS PROD 13-11-2024'!F:F,1,0)</f>
        <v>VEICOLO_CONTROMANO_CORSIA_1</v>
      </c>
      <c r="F532" t="str">
        <f>VLOOKUP(I532,'EXPORT IRIS PROD 13-11-2024'!D:D,1,0)</f>
        <v>Allarme veicolo contromano corsia di emergenza</v>
      </c>
      <c r="G532" s="37" t="s">
        <v>988</v>
      </c>
      <c r="H532" s="38" t="s">
        <v>1030</v>
      </c>
      <c r="I532" s="45" t="s">
        <v>1031</v>
      </c>
      <c r="J532" s="46" t="s">
        <v>201</v>
      </c>
      <c r="K532" s="46" t="s">
        <v>380</v>
      </c>
      <c r="L532" s="47" t="s">
        <v>31</v>
      </c>
      <c r="M532" s="48" t="s">
        <v>32</v>
      </c>
      <c r="N532" s="43">
        <v>1</v>
      </c>
      <c r="O532" s="43" t="s">
        <v>33</v>
      </c>
      <c r="P532" s="43" t="s">
        <v>34</v>
      </c>
      <c r="Q532" s="43" t="s">
        <v>31</v>
      </c>
      <c r="R532" s="49"/>
    </row>
    <row r="533" spans="1:18" x14ac:dyDescent="0.25">
      <c r="A533" t="str">
        <f t="shared" si="16"/>
        <v>Impianto Videosorveglianza_Telecamera passiva_VEICOLO_CONTROMANO_CORSIA_1-Allarme veicolo contromano corsia di emergenza</v>
      </c>
      <c r="B533" t="str">
        <f t="shared" si="17"/>
        <v>VEICOLO_CONTROMANO_CORSIA_1-Allarme veicolo contromano corsia di emergenza</v>
      </c>
      <c r="C533" t="str">
        <f>VLOOKUP(B533,'[2]Classi allarmi RMT-STIG_rev4'!$C:$C,1,0)</f>
        <v>VEICOLO_CONTROMANO_CORSIA_1-Allarme veicolo contromano corsia di emergenza</v>
      </c>
      <c r="D533" t="str">
        <f>VLOOKUP(B533,'EXPORT IRIS PROD 13-11-2024'!A:A,1,0)</f>
        <v>VEICOLO_CONTROMANO_CORSIA_1-Allarme veicolo contromano corsia di emergenza</v>
      </c>
      <c r="E533" t="str">
        <f>VLOOKUP(H533,'EXPORT IRIS PROD 13-11-2024'!F:F,1,0)</f>
        <v>VEICOLO_CONTROMANO_CORSIA_1</v>
      </c>
      <c r="F533" t="str">
        <f>VLOOKUP(I533,'EXPORT IRIS PROD 13-11-2024'!D:D,1,0)</f>
        <v>Allarme veicolo contromano corsia di emergenza</v>
      </c>
      <c r="G533" s="37" t="s">
        <v>988</v>
      </c>
      <c r="H533" s="38" t="s">
        <v>1030</v>
      </c>
      <c r="I533" s="45" t="s">
        <v>1031</v>
      </c>
      <c r="J533" s="46" t="s">
        <v>201</v>
      </c>
      <c r="K533" s="46" t="s">
        <v>263</v>
      </c>
      <c r="L533" s="47" t="s">
        <v>31</v>
      </c>
      <c r="M533" s="48" t="s">
        <v>32</v>
      </c>
      <c r="N533" s="43">
        <v>1</v>
      </c>
      <c r="O533" s="43" t="s">
        <v>33</v>
      </c>
      <c r="P533" s="43" t="s">
        <v>34</v>
      </c>
      <c r="Q533" s="43" t="s">
        <v>31</v>
      </c>
      <c r="R533" s="49"/>
    </row>
    <row r="534" spans="1:18" x14ac:dyDescent="0.25">
      <c r="A534" t="str">
        <f t="shared" si="16"/>
        <v>Impianto Videosorveglianza_Telecamera attiva_VEICOLO_CONTROMANO_CORSIA_2-Allarme veicolo contromano corsia di marcia</v>
      </c>
      <c r="B534" t="str">
        <f t="shared" si="17"/>
        <v>VEICOLO_CONTROMANO_CORSIA_2-Allarme veicolo contromano corsia di marcia</v>
      </c>
      <c r="C534" t="str">
        <f>VLOOKUP(B534,'[2]Classi allarmi RMT-STIG_rev4'!$C:$C,1,0)</f>
        <v>VEICOLO_CONTROMANO_CORSIA_2-Allarme veicolo contromano corsia di marcia</v>
      </c>
      <c r="D534" t="str">
        <f>VLOOKUP(B534,'EXPORT IRIS PROD 13-11-2024'!A:A,1,0)</f>
        <v>VEICOLO_CONTROMANO_CORSIA_2-Allarme veicolo contromano corsia di marcia</v>
      </c>
      <c r="E534" t="str">
        <f>VLOOKUP(H534,'EXPORT IRIS PROD 13-11-2024'!F:F,1,0)</f>
        <v>VEICOLO_CONTROMANO_CORSIA_2</v>
      </c>
      <c r="F534" t="str">
        <f>VLOOKUP(I534,'EXPORT IRIS PROD 13-11-2024'!D:D,1,0)</f>
        <v>Allarme veicolo contromano corsia di marcia</v>
      </c>
      <c r="G534" s="37" t="s">
        <v>988</v>
      </c>
      <c r="H534" s="38" t="s">
        <v>1032</v>
      </c>
      <c r="I534" s="45" t="s">
        <v>1033</v>
      </c>
      <c r="J534" s="46" t="s">
        <v>201</v>
      </c>
      <c r="K534" s="46" t="s">
        <v>380</v>
      </c>
      <c r="L534" s="47" t="s">
        <v>31</v>
      </c>
      <c r="M534" s="48" t="s">
        <v>32</v>
      </c>
      <c r="N534" s="43">
        <v>1</v>
      </c>
      <c r="O534" s="43" t="s">
        <v>33</v>
      </c>
      <c r="P534" s="43" t="s">
        <v>34</v>
      </c>
      <c r="Q534" s="43" t="s">
        <v>31</v>
      </c>
      <c r="R534" s="49"/>
    </row>
    <row r="535" spans="1:18" x14ac:dyDescent="0.25">
      <c r="A535" t="str">
        <f t="shared" si="16"/>
        <v>Impianto Videosorveglianza_Telecamera passiva_VEICOLO_CONTROMANO_CORSIA_2-Allarme veicolo contromano corsia di marcia</v>
      </c>
      <c r="B535" t="str">
        <f t="shared" si="17"/>
        <v>VEICOLO_CONTROMANO_CORSIA_2-Allarme veicolo contromano corsia di marcia</v>
      </c>
      <c r="C535" t="str">
        <f>VLOOKUP(B535,'[2]Classi allarmi RMT-STIG_rev4'!$C:$C,1,0)</f>
        <v>VEICOLO_CONTROMANO_CORSIA_2-Allarme veicolo contromano corsia di marcia</v>
      </c>
      <c r="D535" t="str">
        <f>VLOOKUP(B535,'EXPORT IRIS PROD 13-11-2024'!A:A,1,0)</f>
        <v>VEICOLO_CONTROMANO_CORSIA_2-Allarme veicolo contromano corsia di marcia</v>
      </c>
      <c r="E535" t="str">
        <f>VLOOKUP(H535,'EXPORT IRIS PROD 13-11-2024'!F:F,1,0)</f>
        <v>VEICOLO_CONTROMANO_CORSIA_2</v>
      </c>
      <c r="F535" t="str">
        <f>VLOOKUP(I535,'EXPORT IRIS PROD 13-11-2024'!D:D,1,0)</f>
        <v>Allarme veicolo contromano corsia di marcia</v>
      </c>
      <c r="G535" s="37" t="s">
        <v>988</v>
      </c>
      <c r="H535" s="38" t="s">
        <v>1032</v>
      </c>
      <c r="I535" s="45" t="s">
        <v>1033</v>
      </c>
      <c r="J535" s="46" t="s">
        <v>201</v>
      </c>
      <c r="K535" s="46" t="s">
        <v>263</v>
      </c>
      <c r="L535" s="47" t="s">
        <v>31</v>
      </c>
      <c r="M535" s="48" t="s">
        <v>32</v>
      </c>
      <c r="N535" s="43">
        <v>1</v>
      </c>
      <c r="O535" s="43" t="s">
        <v>33</v>
      </c>
      <c r="P535" s="43" t="s">
        <v>34</v>
      </c>
      <c r="Q535" s="43" t="s">
        <v>31</v>
      </c>
      <c r="R535" s="49"/>
    </row>
    <row r="536" spans="1:18" x14ac:dyDescent="0.25">
      <c r="A536" t="str">
        <f t="shared" si="16"/>
        <v>Impianto Videosorveglianza_Telecamera attiva_VEICOLO_CONTROMANO_CORSIA_3-Allarme veicolo contromano corsia veloce</v>
      </c>
      <c r="B536" t="str">
        <f t="shared" si="17"/>
        <v>VEICOLO_CONTROMANO_CORSIA_3-Allarme veicolo contromano corsia veloce</v>
      </c>
      <c r="C536" t="str">
        <f>VLOOKUP(B536,'[2]Classi allarmi RMT-STIG_rev4'!$C:$C,1,0)</f>
        <v>VEICOLO_CONTROMANO_CORSIA_3-Allarme veicolo contromano corsia veloce</v>
      </c>
      <c r="D536" t="str">
        <f>VLOOKUP(B536,'EXPORT IRIS PROD 13-11-2024'!A:A,1,0)</f>
        <v>VEICOLO_CONTROMANO_CORSIA_3-Allarme veicolo contromano corsia veloce</v>
      </c>
      <c r="E536" t="str">
        <f>VLOOKUP(H536,'EXPORT IRIS PROD 13-11-2024'!F:F,1,0)</f>
        <v>VEICOLO_CONTROMANO_CORSIA_3</v>
      </c>
      <c r="F536" t="str">
        <f>VLOOKUP(I536,'EXPORT IRIS PROD 13-11-2024'!D:D,1,0)</f>
        <v>Allarme veicolo contromano corsia veloce</v>
      </c>
      <c r="G536" s="37" t="s">
        <v>988</v>
      </c>
      <c r="H536" s="38" t="s">
        <v>1034</v>
      </c>
      <c r="I536" s="45" t="s">
        <v>1035</v>
      </c>
      <c r="J536" s="46" t="s">
        <v>201</v>
      </c>
      <c r="K536" s="46" t="s">
        <v>380</v>
      </c>
      <c r="L536" s="47" t="s">
        <v>31</v>
      </c>
      <c r="M536" s="48" t="s">
        <v>32</v>
      </c>
      <c r="N536" s="43">
        <v>1</v>
      </c>
      <c r="O536" s="43" t="s">
        <v>33</v>
      </c>
      <c r="P536" s="43" t="s">
        <v>34</v>
      </c>
      <c r="Q536" s="43" t="s">
        <v>31</v>
      </c>
      <c r="R536" s="49"/>
    </row>
    <row r="537" spans="1:18" customFormat="1" x14ac:dyDescent="0.25">
      <c r="A537" t="str">
        <f t="shared" si="16"/>
        <v>Impianto Videosorveglianza_Telecamera passiva_VEICOLO_CONTROMANO_CORSIA_3-Allarme veicolo contromano corsia veloce</v>
      </c>
      <c r="B537" t="str">
        <f t="shared" si="17"/>
        <v>VEICOLO_CONTROMANO_CORSIA_3-Allarme veicolo contromano corsia veloce</v>
      </c>
      <c r="C537" t="str">
        <f>VLOOKUP(B537,'[2]Classi allarmi RMT-STIG_rev4'!$C:$C,1,0)</f>
        <v>VEICOLO_CONTROMANO_CORSIA_3-Allarme veicolo contromano corsia veloce</v>
      </c>
      <c r="D537" t="str">
        <f>VLOOKUP(B537,'EXPORT IRIS PROD 13-11-2024'!A:A,1,0)</f>
        <v>VEICOLO_CONTROMANO_CORSIA_3-Allarme veicolo contromano corsia veloce</v>
      </c>
      <c r="E537" t="str">
        <f>VLOOKUP(H537,'EXPORT IRIS PROD 13-11-2024'!F:F,1,0)</f>
        <v>VEICOLO_CONTROMANO_CORSIA_3</v>
      </c>
      <c r="F537" t="str">
        <f>VLOOKUP(I537,'EXPORT IRIS PROD 13-11-2024'!D:D,1,0)</f>
        <v>Allarme veicolo contromano corsia veloce</v>
      </c>
      <c r="G537" s="37" t="s">
        <v>988</v>
      </c>
      <c r="H537" s="38" t="s">
        <v>1034</v>
      </c>
      <c r="I537" s="45" t="s">
        <v>1035</v>
      </c>
      <c r="J537" s="46" t="s">
        <v>201</v>
      </c>
      <c r="K537" s="46" t="s">
        <v>263</v>
      </c>
      <c r="L537" s="47" t="s">
        <v>31</v>
      </c>
      <c r="M537" s="48" t="s">
        <v>32</v>
      </c>
      <c r="N537" s="43">
        <v>1</v>
      </c>
      <c r="O537" s="43" t="s">
        <v>33</v>
      </c>
      <c r="P537" s="43" t="s">
        <v>34</v>
      </c>
      <c r="Q537" s="43" t="s">
        <v>31</v>
      </c>
      <c r="R537" s="49"/>
    </row>
    <row r="538" spans="1:18" customFormat="1" x14ac:dyDescent="0.25">
      <c r="A538" t="str">
        <f t="shared" si="16"/>
        <v>Impianto Videosorveglianza_Telecamera attiva_VEICOLO_FERMO-Allarme veicolo fermo</v>
      </c>
      <c r="B538" t="str">
        <f t="shared" si="17"/>
        <v>VEICOLO_FERMO-Allarme veicolo fermo</v>
      </c>
      <c r="C538" t="str">
        <f>VLOOKUP(B538,'[2]Classi allarmi RMT-STIG_rev4'!$C:$C,1,0)</f>
        <v>VEICOLO_FERMO-Allarme veicolo fermo</v>
      </c>
      <c r="D538" t="str">
        <f>VLOOKUP(B538,'EXPORT IRIS PROD 13-11-2024'!A:A,1,0)</f>
        <v>VEICOLO_FERMO-Allarme veicolo fermo</v>
      </c>
      <c r="E538" t="str">
        <f>VLOOKUP(H538,'EXPORT IRIS PROD 13-11-2024'!F:F,1,0)</f>
        <v>VEICOLO_FERMO</v>
      </c>
      <c r="F538" t="str">
        <f>VLOOKUP(I538,'EXPORT IRIS PROD 13-11-2024'!D:D,1,0)</f>
        <v>Allarme veicolo fermo</v>
      </c>
      <c r="G538" s="37" t="s">
        <v>983</v>
      </c>
      <c r="H538" s="38" t="s">
        <v>1036</v>
      </c>
      <c r="I538" s="45" t="s">
        <v>1037</v>
      </c>
      <c r="J538" s="46" t="s">
        <v>201</v>
      </c>
      <c r="K538" s="46" t="s">
        <v>380</v>
      </c>
      <c r="L538" s="47" t="s">
        <v>31</v>
      </c>
      <c r="M538" s="48" t="s">
        <v>32</v>
      </c>
      <c r="N538" s="43">
        <v>1</v>
      </c>
      <c r="O538" s="43" t="s">
        <v>33</v>
      </c>
      <c r="P538" s="43" t="s">
        <v>34</v>
      </c>
      <c r="Q538" s="43" t="s">
        <v>31</v>
      </c>
      <c r="R538" s="49"/>
    </row>
    <row r="539" spans="1:18" customFormat="1" x14ac:dyDescent="0.25">
      <c r="A539" t="str">
        <f t="shared" si="16"/>
        <v>Impianto Videosorveglianza_Telecamera passiva_VEICOLO_FERMO-Allarme veicolo fermo</v>
      </c>
      <c r="B539" t="str">
        <f t="shared" si="17"/>
        <v>VEICOLO_FERMO-Allarme veicolo fermo</v>
      </c>
      <c r="C539" t="str">
        <f>VLOOKUP(B539,'[2]Classi allarmi RMT-STIG_rev4'!$C:$C,1,0)</f>
        <v>VEICOLO_FERMO-Allarme veicolo fermo</v>
      </c>
      <c r="D539" t="str">
        <f>VLOOKUP(B539,'EXPORT IRIS PROD 13-11-2024'!A:A,1,0)</f>
        <v>VEICOLO_FERMO-Allarme veicolo fermo</v>
      </c>
      <c r="E539" t="str">
        <f>VLOOKUP(H539,'EXPORT IRIS PROD 13-11-2024'!F:F,1,0)</f>
        <v>VEICOLO_FERMO</v>
      </c>
      <c r="F539" t="str">
        <f>VLOOKUP(I539,'EXPORT IRIS PROD 13-11-2024'!D:D,1,0)</f>
        <v>Allarme veicolo fermo</v>
      </c>
      <c r="G539" s="37" t="s">
        <v>983</v>
      </c>
      <c r="H539" s="38" t="s">
        <v>1036</v>
      </c>
      <c r="I539" s="45" t="s">
        <v>1037</v>
      </c>
      <c r="J539" s="46" t="s">
        <v>201</v>
      </c>
      <c r="K539" s="46" t="s">
        <v>263</v>
      </c>
      <c r="L539" s="47" t="s">
        <v>31</v>
      </c>
      <c r="M539" s="48" t="s">
        <v>32</v>
      </c>
      <c r="N539" s="43">
        <v>1</v>
      </c>
      <c r="O539" s="43" t="s">
        <v>33</v>
      </c>
      <c r="P539" s="43" t="s">
        <v>34</v>
      </c>
      <c r="Q539" s="43" t="s">
        <v>31</v>
      </c>
      <c r="R539" s="49"/>
    </row>
    <row r="540" spans="1:18" customFormat="1" x14ac:dyDescent="0.25">
      <c r="A540" t="str">
        <f t="shared" si="16"/>
        <v>Impianto Videosorveglianza_Telecamera attiva_VEICOLO_FERMO_CORSIA_1-Allarme veicolo fermo corsia di emergenza</v>
      </c>
      <c r="B540" t="str">
        <f t="shared" si="17"/>
        <v>VEICOLO_FERMO_CORSIA_1-Allarme veicolo fermo corsia di emergenza</v>
      </c>
      <c r="C540" t="str">
        <f>VLOOKUP(B540,'[2]Classi allarmi RMT-STIG_rev4'!$C:$C,1,0)</f>
        <v>VEICOLO_FERMO_CORSIA_1-Allarme veicolo fermo corsia di emergenza</v>
      </c>
      <c r="D540" t="str">
        <f>VLOOKUP(B540,'EXPORT IRIS PROD 13-11-2024'!A:A,1,0)</f>
        <v>VEICOLO_FERMO_CORSIA_1-Allarme veicolo fermo corsia di emergenza</v>
      </c>
      <c r="E540" t="str">
        <f>VLOOKUP(H540,'EXPORT IRIS PROD 13-11-2024'!F:F,1,0)</f>
        <v>VEICOLO_FERMO_CORSIA_1</v>
      </c>
      <c r="F540" t="str">
        <f>VLOOKUP(I540,'EXPORT IRIS PROD 13-11-2024'!D:D,1,0)</f>
        <v>Allarme veicolo fermo corsia di emergenza</v>
      </c>
      <c r="G540" s="37" t="s">
        <v>983</v>
      </c>
      <c r="H540" s="38" t="s">
        <v>1038</v>
      </c>
      <c r="I540" s="45" t="s">
        <v>1039</v>
      </c>
      <c r="J540" s="46" t="s">
        <v>201</v>
      </c>
      <c r="K540" s="46" t="s">
        <v>380</v>
      </c>
      <c r="L540" s="47" t="s">
        <v>31</v>
      </c>
      <c r="M540" s="48" t="s">
        <v>32</v>
      </c>
      <c r="N540" s="43">
        <v>1</v>
      </c>
      <c r="O540" s="43" t="s">
        <v>33</v>
      </c>
      <c r="P540" s="43" t="s">
        <v>34</v>
      </c>
      <c r="Q540" s="43" t="s">
        <v>31</v>
      </c>
      <c r="R540" s="49"/>
    </row>
    <row r="541" spans="1:18" customFormat="1" x14ac:dyDescent="0.25">
      <c r="A541" t="str">
        <f t="shared" si="16"/>
        <v>Impianto Videosorveglianza_Telecamera passiva_VEICOLO_FERMO_CORSIA_1-Allarme veicolo fermo corsia di emergenza</v>
      </c>
      <c r="B541" t="str">
        <f t="shared" si="17"/>
        <v>VEICOLO_FERMO_CORSIA_1-Allarme veicolo fermo corsia di emergenza</v>
      </c>
      <c r="C541" t="str">
        <f>VLOOKUP(B541,'[2]Classi allarmi RMT-STIG_rev4'!$C:$C,1,0)</f>
        <v>VEICOLO_FERMO_CORSIA_1-Allarme veicolo fermo corsia di emergenza</v>
      </c>
      <c r="D541" t="str">
        <f>VLOOKUP(B541,'EXPORT IRIS PROD 13-11-2024'!A:A,1,0)</f>
        <v>VEICOLO_FERMO_CORSIA_1-Allarme veicolo fermo corsia di emergenza</v>
      </c>
      <c r="E541" t="str">
        <f>VLOOKUP(H541,'EXPORT IRIS PROD 13-11-2024'!F:F,1,0)</f>
        <v>VEICOLO_FERMO_CORSIA_1</v>
      </c>
      <c r="F541" t="str">
        <f>VLOOKUP(I541,'EXPORT IRIS PROD 13-11-2024'!D:D,1,0)</f>
        <v>Allarme veicolo fermo corsia di emergenza</v>
      </c>
      <c r="G541" s="37" t="s">
        <v>983</v>
      </c>
      <c r="H541" s="38" t="s">
        <v>1038</v>
      </c>
      <c r="I541" s="45" t="s">
        <v>1039</v>
      </c>
      <c r="J541" s="46" t="s">
        <v>201</v>
      </c>
      <c r="K541" s="46" t="s">
        <v>263</v>
      </c>
      <c r="L541" s="47" t="s">
        <v>31</v>
      </c>
      <c r="M541" s="48" t="s">
        <v>32</v>
      </c>
      <c r="N541" s="43">
        <v>1</v>
      </c>
      <c r="O541" s="43" t="s">
        <v>33</v>
      </c>
      <c r="P541" s="43" t="s">
        <v>34</v>
      </c>
      <c r="Q541" s="43" t="s">
        <v>31</v>
      </c>
      <c r="R541" s="49"/>
    </row>
    <row r="542" spans="1:18" customFormat="1" x14ac:dyDescent="0.25">
      <c r="A542" t="str">
        <f t="shared" si="16"/>
        <v>Impianto Videosorveglianza_Telecamera attiva_VEICOLO_FERMO_CORSIA_2-Allarme veicolo fermo corsia di marcia</v>
      </c>
      <c r="B542" t="str">
        <f t="shared" si="17"/>
        <v>VEICOLO_FERMO_CORSIA_2-Allarme veicolo fermo corsia di marcia</v>
      </c>
      <c r="C542" t="str">
        <f>VLOOKUP(B542,'[2]Classi allarmi RMT-STIG_rev4'!$C:$C,1,0)</f>
        <v>VEICOLO_FERMO_CORSIA_2-Allarme veicolo fermo corsia di marcia</v>
      </c>
      <c r="D542" t="str">
        <f>VLOOKUP(B542,'EXPORT IRIS PROD 13-11-2024'!A:A,1,0)</f>
        <v>VEICOLO_FERMO_CORSIA_2-Allarme veicolo fermo corsia di marcia</v>
      </c>
      <c r="E542" t="str">
        <f>VLOOKUP(H542,'EXPORT IRIS PROD 13-11-2024'!F:F,1,0)</f>
        <v>VEICOLO_FERMO_CORSIA_2</v>
      </c>
      <c r="F542" t="str">
        <f>VLOOKUP(I542,'EXPORT IRIS PROD 13-11-2024'!D:D,1,0)</f>
        <v>Allarme veicolo fermo corsia di marcia</v>
      </c>
      <c r="G542" s="37" t="s">
        <v>983</v>
      </c>
      <c r="H542" s="38" t="s">
        <v>1040</v>
      </c>
      <c r="I542" s="45" t="s">
        <v>1041</v>
      </c>
      <c r="J542" s="46" t="s">
        <v>201</v>
      </c>
      <c r="K542" s="46" t="s">
        <v>380</v>
      </c>
      <c r="L542" s="47" t="s">
        <v>31</v>
      </c>
      <c r="M542" s="48" t="s">
        <v>32</v>
      </c>
      <c r="N542" s="43">
        <v>1</v>
      </c>
      <c r="O542" s="43" t="s">
        <v>33</v>
      </c>
      <c r="P542" s="43" t="s">
        <v>34</v>
      </c>
      <c r="Q542" s="43" t="s">
        <v>31</v>
      </c>
      <c r="R542" s="49"/>
    </row>
    <row r="543" spans="1:18" customFormat="1" x14ac:dyDescent="0.25">
      <c r="A543" t="str">
        <f t="shared" si="16"/>
        <v>Impianto Videosorveglianza_Telecamera passiva_VEICOLO_FERMO_CORSIA_2-Allarme veicolo fermo corsia di marcia</v>
      </c>
      <c r="B543" t="str">
        <f t="shared" si="17"/>
        <v>VEICOLO_FERMO_CORSIA_2-Allarme veicolo fermo corsia di marcia</v>
      </c>
      <c r="C543" t="str">
        <f>VLOOKUP(B543,'[2]Classi allarmi RMT-STIG_rev4'!$C:$C,1,0)</f>
        <v>VEICOLO_FERMO_CORSIA_2-Allarme veicolo fermo corsia di marcia</v>
      </c>
      <c r="D543" t="str">
        <f>VLOOKUP(B543,'EXPORT IRIS PROD 13-11-2024'!A:A,1,0)</f>
        <v>VEICOLO_FERMO_CORSIA_2-Allarme veicolo fermo corsia di marcia</v>
      </c>
      <c r="E543" t="str">
        <f>VLOOKUP(H543,'EXPORT IRIS PROD 13-11-2024'!F:F,1,0)</f>
        <v>VEICOLO_FERMO_CORSIA_2</v>
      </c>
      <c r="F543" t="str">
        <f>VLOOKUP(I543,'EXPORT IRIS PROD 13-11-2024'!D:D,1,0)</f>
        <v>Allarme veicolo fermo corsia di marcia</v>
      </c>
      <c r="G543" s="37" t="s">
        <v>983</v>
      </c>
      <c r="H543" s="38" t="s">
        <v>1040</v>
      </c>
      <c r="I543" s="45" t="s">
        <v>1041</v>
      </c>
      <c r="J543" s="46" t="s">
        <v>201</v>
      </c>
      <c r="K543" s="46" t="s">
        <v>263</v>
      </c>
      <c r="L543" s="47" t="s">
        <v>31</v>
      </c>
      <c r="M543" s="48" t="s">
        <v>32</v>
      </c>
      <c r="N543" s="43">
        <v>1</v>
      </c>
      <c r="O543" s="43" t="s">
        <v>33</v>
      </c>
      <c r="P543" s="43" t="s">
        <v>34</v>
      </c>
      <c r="Q543" s="43" t="s">
        <v>31</v>
      </c>
      <c r="R543" s="49"/>
    </row>
    <row r="544" spans="1:18" customFormat="1" x14ac:dyDescent="0.25">
      <c r="A544" t="str">
        <f t="shared" si="16"/>
        <v>Impianto Videosorveglianza_Telecamera attiva_VEICOLO_FERMO_CORSIA_3-Allarme veicolo fermo corsia veloce</v>
      </c>
      <c r="B544" t="str">
        <f t="shared" si="17"/>
        <v>VEICOLO_FERMO_CORSIA_3-Allarme veicolo fermo corsia veloce</v>
      </c>
      <c r="C544" t="str">
        <f>VLOOKUP(B544,'[2]Classi allarmi RMT-STIG_rev4'!$C:$C,1,0)</f>
        <v>VEICOLO_FERMO_CORSIA_3-Allarme veicolo fermo corsia veloce</v>
      </c>
      <c r="D544" t="str">
        <f>VLOOKUP(B544,'EXPORT IRIS PROD 13-11-2024'!A:A,1,0)</f>
        <v>VEICOLO_FERMO_CORSIA_3-Allarme veicolo fermo corsia veloce</v>
      </c>
      <c r="E544" t="str">
        <f>VLOOKUP(H544,'EXPORT IRIS PROD 13-11-2024'!F:F,1,0)</f>
        <v>VEICOLO_FERMO_CORSIA_3</v>
      </c>
      <c r="F544" t="str">
        <f>VLOOKUP(I544,'EXPORT IRIS PROD 13-11-2024'!D:D,1,0)</f>
        <v>Allarme veicolo fermo corsia veloce</v>
      </c>
      <c r="G544" s="37" t="s">
        <v>983</v>
      </c>
      <c r="H544" s="38" t="s">
        <v>1042</v>
      </c>
      <c r="I544" s="45" t="s">
        <v>1043</v>
      </c>
      <c r="J544" s="46" t="s">
        <v>201</v>
      </c>
      <c r="K544" s="46" t="s">
        <v>380</v>
      </c>
      <c r="L544" s="47" t="s">
        <v>31</v>
      </c>
      <c r="M544" s="48" t="s">
        <v>32</v>
      </c>
      <c r="N544" s="43">
        <v>1</v>
      </c>
      <c r="O544" s="43" t="s">
        <v>33</v>
      </c>
      <c r="P544" s="43" t="s">
        <v>34</v>
      </c>
      <c r="Q544" s="43" t="s">
        <v>31</v>
      </c>
      <c r="R544" s="49"/>
    </row>
    <row r="545" spans="1:18" customFormat="1" x14ac:dyDescent="0.25">
      <c r="A545" t="str">
        <f t="shared" si="16"/>
        <v>Impianto Videosorveglianza_Telecamera passiva_VEICOLO_FERMO_CORSIA_3-Allarme veicolo fermo corsia veloce</v>
      </c>
      <c r="B545" t="str">
        <f t="shared" si="17"/>
        <v>VEICOLO_FERMO_CORSIA_3-Allarme veicolo fermo corsia veloce</v>
      </c>
      <c r="C545" t="str">
        <f>VLOOKUP(B545,'[2]Classi allarmi RMT-STIG_rev4'!$C:$C,1,0)</f>
        <v>VEICOLO_FERMO_CORSIA_3-Allarme veicolo fermo corsia veloce</v>
      </c>
      <c r="D545" t="str">
        <f>VLOOKUP(B545,'EXPORT IRIS PROD 13-11-2024'!A:A,1,0)</f>
        <v>VEICOLO_FERMO_CORSIA_3-Allarme veicolo fermo corsia veloce</v>
      </c>
      <c r="E545" t="str">
        <f>VLOOKUP(H545,'EXPORT IRIS PROD 13-11-2024'!F:F,1,0)</f>
        <v>VEICOLO_FERMO_CORSIA_3</v>
      </c>
      <c r="F545" t="str">
        <f>VLOOKUP(I545,'EXPORT IRIS PROD 13-11-2024'!D:D,1,0)</f>
        <v>Allarme veicolo fermo corsia veloce</v>
      </c>
      <c r="G545" s="37" t="s">
        <v>983</v>
      </c>
      <c r="H545" s="38" t="s">
        <v>1042</v>
      </c>
      <c r="I545" s="45" t="s">
        <v>1043</v>
      </c>
      <c r="J545" s="46" t="s">
        <v>201</v>
      </c>
      <c r="K545" s="46" t="s">
        <v>263</v>
      </c>
      <c r="L545" s="47" t="s">
        <v>31</v>
      </c>
      <c r="M545" s="48" t="s">
        <v>32</v>
      </c>
      <c r="N545" s="43">
        <v>1</v>
      </c>
      <c r="O545" s="43" t="s">
        <v>33</v>
      </c>
      <c r="P545" s="43" t="s">
        <v>34</v>
      </c>
      <c r="Q545" s="43" t="s">
        <v>31</v>
      </c>
      <c r="R545" s="49"/>
    </row>
    <row r="546" spans="1:18" customFormat="1" x14ac:dyDescent="0.25">
      <c r="A546" t="str">
        <f t="shared" si="16"/>
        <v>Impianto Videosorveglianza_Telecamera passiva_VEICOLO_FERMO_PIAZZOLA-Allarme veicolo fermo in piazzola</v>
      </c>
      <c r="B546" t="str">
        <f t="shared" si="17"/>
        <v>VEICOLO_FERMO_PIAZZOLA-Allarme veicolo fermo in piazzola</v>
      </c>
      <c r="C546" t="str">
        <f>VLOOKUP(B546,'[2]Classi allarmi RMT-STIG_rev4'!$C:$C,1,0)</f>
        <v>VEICOLO_FERMO_PIAZZOLA-Allarme veicolo fermo in piazzola</v>
      </c>
      <c r="D546" t="str">
        <f>VLOOKUP(B546,'EXPORT IRIS PROD 13-11-2024'!A:A,1,0)</f>
        <v>VEICOLO_FERMO_PIAZZOLA-Allarme veicolo fermo in piazzola</v>
      </c>
      <c r="E546" t="str">
        <f>VLOOKUP(H546,'EXPORT IRIS PROD 13-11-2024'!F:F,1,0)</f>
        <v>VEICOLO_FERMO_PIAZZOLA</v>
      </c>
      <c r="F546" t="str">
        <f>VLOOKUP(I546,'EXPORT IRIS PROD 13-11-2024'!D:D,1,0)</f>
        <v>Allarme veicolo fermo in piazzola</v>
      </c>
      <c r="G546" s="37" t="s">
        <v>983</v>
      </c>
      <c r="H546" s="38" t="s">
        <v>1044</v>
      </c>
      <c r="I546" s="45" t="s">
        <v>1045</v>
      </c>
      <c r="J546" s="46" t="s">
        <v>201</v>
      </c>
      <c r="K546" s="46" t="s">
        <v>263</v>
      </c>
      <c r="L546" s="47" t="s">
        <v>31</v>
      </c>
      <c r="M546" s="48" t="s">
        <v>32</v>
      </c>
      <c r="N546" s="43">
        <v>1</v>
      </c>
      <c r="O546" s="43" t="s">
        <v>33</v>
      </c>
      <c r="P546" s="43" t="s">
        <v>34</v>
      </c>
      <c r="Q546" s="43" t="s">
        <v>31</v>
      </c>
      <c r="R546" s="49"/>
    </row>
    <row r="547" spans="1:18" customFormat="1" x14ac:dyDescent="0.25">
      <c r="A547" t="str">
        <f t="shared" si="16"/>
        <v>Impianto Videosorveglianza_Telecamera attiva_VEICOLO_INVERSIONE_CORSIA_1-Allarme inversione in corsia emergenza</v>
      </c>
      <c r="B547" t="str">
        <f t="shared" si="17"/>
        <v>VEICOLO_INVERSIONE_CORSIA_1-Allarme inversione in corsia emergenza</v>
      </c>
      <c r="C547" t="str">
        <f>VLOOKUP(B547,'[2]Classi allarmi RMT-STIG_rev4'!$C:$C,1,0)</f>
        <v>VEICOLO_INVERSIONE_CORSIA_1-Allarme inversione in corsia emergenza</v>
      </c>
      <c r="D547" t="str">
        <f>VLOOKUP(B547,'EXPORT IRIS PROD 13-11-2024'!A:A,1,0)</f>
        <v>VEICOLO_INVERSIONE_CORSIA_1-Allarme inversione in corsia emergenza</v>
      </c>
      <c r="E547" t="str">
        <f>VLOOKUP(H547,'EXPORT IRIS PROD 13-11-2024'!F:F,1,0)</f>
        <v>VEICOLO_INVERSIONE_CORSIA_1</v>
      </c>
      <c r="F547" t="str">
        <f>VLOOKUP(I547,'EXPORT IRIS PROD 13-11-2024'!D:D,1,0)</f>
        <v>Allarme inversione in corsia emergenza</v>
      </c>
      <c r="G547" s="37" t="s">
        <v>988</v>
      </c>
      <c r="H547" s="38" t="s">
        <v>1046</v>
      </c>
      <c r="I547" s="45" t="s">
        <v>1047</v>
      </c>
      <c r="J547" s="46" t="s">
        <v>201</v>
      </c>
      <c r="K547" s="46" t="s">
        <v>380</v>
      </c>
      <c r="L547" s="47" t="s">
        <v>31</v>
      </c>
      <c r="M547" s="48" t="s">
        <v>32</v>
      </c>
      <c r="N547" s="43">
        <v>1</v>
      </c>
      <c r="O547" s="43" t="s">
        <v>33</v>
      </c>
      <c r="P547" s="43" t="s">
        <v>34</v>
      </c>
      <c r="Q547" s="43" t="s">
        <v>31</v>
      </c>
      <c r="R547" s="49"/>
    </row>
    <row r="548" spans="1:18" customFormat="1" x14ac:dyDescent="0.25">
      <c r="A548" t="str">
        <f t="shared" si="16"/>
        <v>Impianto Videosorveglianza_Telecamera attiva_VEICOLO_INVERSIONE_CORSIA_2-Allarme inversione in corsia marcia</v>
      </c>
      <c r="B548" t="str">
        <f t="shared" si="17"/>
        <v>VEICOLO_INVERSIONE_CORSIA_2-Allarme inversione in corsia marcia</v>
      </c>
      <c r="C548" t="str">
        <f>VLOOKUP(B548,'[2]Classi allarmi RMT-STIG_rev4'!$C:$C,1,0)</f>
        <v>VEICOLO_INVERSIONE_CORSIA_2-Allarme inversione in corsia marcia</v>
      </c>
      <c r="D548" t="str">
        <f>VLOOKUP(B548,'EXPORT IRIS PROD 13-11-2024'!A:A,1,0)</f>
        <v>VEICOLO_INVERSIONE_CORSIA_2-Allarme inversione in corsia marcia</v>
      </c>
      <c r="E548" t="str">
        <f>VLOOKUP(H548,'EXPORT IRIS PROD 13-11-2024'!F:F,1,0)</f>
        <v>VEICOLO_INVERSIONE_CORSIA_2</v>
      </c>
      <c r="F548" t="str">
        <f>VLOOKUP(I548,'EXPORT IRIS PROD 13-11-2024'!D:D,1,0)</f>
        <v>Allarme inversione in corsia marcia</v>
      </c>
      <c r="G548" s="37" t="s">
        <v>988</v>
      </c>
      <c r="H548" s="38" t="s">
        <v>1048</v>
      </c>
      <c r="I548" s="45" t="s">
        <v>1049</v>
      </c>
      <c r="J548" s="46" t="s">
        <v>201</v>
      </c>
      <c r="K548" s="46" t="s">
        <v>380</v>
      </c>
      <c r="L548" s="47" t="s">
        <v>31</v>
      </c>
      <c r="M548" s="48" t="s">
        <v>32</v>
      </c>
      <c r="N548" s="43">
        <v>1</v>
      </c>
      <c r="O548" s="43" t="s">
        <v>33</v>
      </c>
      <c r="P548" s="43" t="s">
        <v>34</v>
      </c>
      <c r="Q548" s="43" t="s">
        <v>31</v>
      </c>
      <c r="R548" s="49"/>
    </row>
    <row r="549" spans="1:18" customFormat="1" x14ac:dyDescent="0.25">
      <c r="A549" t="str">
        <f t="shared" si="16"/>
        <v>Impianto Videosorveglianza_Telecamera attiva_VEICOLO_INVERSIONE_CORSIA_3-Allarme inversione in corsia sorpasso</v>
      </c>
      <c r="B549" t="str">
        <f t="shared" si="17"/>
        <v>VEICOLO_INVERSIONE_CORSIA_3-Allarme inversione in corsia sorpasso</v>
      </c>
      <c r="C549" t="str">
        <f>VLOOKUP(B549,'[2]Classi allarmi RMT-STIG_rev4'!$C:$C,1,0)</f>
        <v>VEICOLO_INVERSIONE_CORSIA_3-Allarme inversione in corsia sorpasso</v>
      </c>
      <c r="D549" t="str">
        <f>VLOOKUP(B549,'EXPORT IRIS PROD 13-11-2024'!A:A,1,0)</f>
        <v>VEICOLO_INVERSIONE_CORSIA_3-Allarme inversione in corsia sorpasso</v>
      </c>
      <c r="E549" t="str">
        <f>VLOOKUP(H549,'EXPORT IRIS PROD 13-11-2024'!F:F,1,0)</f>
        <v>VEICOLO_INVERSIONE_CORSIA_3</v>
      </c>
      <c r="F549" t="str">
        <f>VLOOKUP(I549,'EXPORT IRIS PROD 13-11-2024'!D:D,1,0)</f>
        <v>Allarme inversione in corsia sorpasso</v>
      </c>
      <c r="G549" s="37" t="s">
        <v>988</v>
      </c>
      <c r="H549" s="38" t="s">
        <v>1050</v>
      </c>
      <c r="I549" s="45" t="s">
        <v>1051</v>
      </c>
      <c r="J549" s="46" t="s">
        <v>201</v>
      </c>
      <c r="K549" s="46" t="s">
        <v>380</v>
      </c>
      <c r="L549" s="47" t="s">
        <v>31</v>
      </c>
      <c r="M549" s="48" t="s">
        <v>32</v>
      </c>
      <c r="N549" s="43">
        <v>1</v>
      </c>
      <c r="O549" s="43" t="s">
        <v>33</v>
      </c>
      <c r="P549" s="43" t="s">
        <v>34</v>
      </c>
      <c r="Q549" s="43" t="s">
        <v>31</v>
      </c>
      <c r="R549" s="49"/>
    </row>
    <row r="550" spans="1:18" customFormat="1" x14ac:dyDescent="0.25">
      <c r="A550" t="str">
        <f t="shared" si="16"/>
        <v>Impianto Videosorveglianza_Telecamera attiva_VEICOLO_LENTO_CORSIA_1-Allarme veicolo lento corsia di emergenza</v>
      </c>
      <c r="B550" t="str">
        <f t="shared" si="17"/>
        <v>VEICOLO_LENTO_CORSIA_1-Allarme veicolo lento corsia di emergenza</v>
      </c>
      <c r="C550" t="str">
        <f>VLOOKUP(B550,'[2]Classi allarmi RMT-STIG_rev4'!$C:$C,1,0)</f>
        <v>VEICOLO_LENTO_CORSIA_1-Allarme veicolo lento corsia di emergenza</v>
      </c>
      <c r="D550" t="str">
        <f>VLOOKUP(B550,'EXPORT IRIS PROD 13-11-2024'!A:A,1,0)</f>
        <v>VEICOLO_LENTO_CORSIA_1-Allarme veicolo lento corsia di emergenza</v>
      </c>
      <c r="E550" t="str">
        <f>VLOOKUP(H550,'EXPORT IRIS PROD 13-11-2024'!F:F,1,0)</f>
        <v>VEICOLO_LENTO_CORSIA_1</v>
      </c>
      <c r="F550" t="str">
        <f>VLOOKUP(I550,'EXPORT IRIS PROD 13-11-2024'!D:D,1,0)</f>
        <v>Allarme veicolo lento corsia di emergenza</v>
      </c>
      <c r="G550" s="37" t="s">
        <v>979</v>
      </c>
      <c r="H550" s="38" t="s">
        <v>1052</v>
      </c>
      <c r="I550" s="45" t="s">
        <v>1053</v>
      </c>
      <c r="J550" s="46" t="s">
        <v>201</v>
      </c>
      <c r="K550" s="46" t="s">
        <v>380</v>
      </c>
      <c r="L550" s="47" t="s">
        <v>31</v>
      </c>
      <c r="M550" s="48" t="s">
        <v>32</v>
      </c>
      <c r="N550" s="43">
        <v>1</v>
      </c>
      <c r="O550" s="43" t="s">
        <v>24</v>
      </c>
      <c r="P550" s="43" t="s">
        <v>25</v>
      </c>
      <c r="Q550" s="42" t="s">
        <v>21</v>
      </c>
      <c r="R550" s="49"/>
    </row>
    <row r="551" spans="1:18" customFormat="1" x14ac:dyDescent="0.25">
      <c r="A551" t="str">
        <f t="shared" si="16"/>
        <v>Impianto Videosorveglianza_Telecamera passiva_VEICOLO_LENTO_CORSIA_1-Allarme veicolo lento corsia di emergenza</v>
      </c>
      <c r="B551" t="str">
        <f t="shared" si="17"/>
        <v>VEICOLO_LENTO_CORSIA_1-Allarme veicolo lento corsia di emergenza</v>
      </c>
      <c r="C551" t="str">
        <f>VLOOKUP(B551,'[2]Classi allarmi RMT-STIG_rev4'!$C:$C,1,0)</f>
        <v>VEICOLO_LENTO_CORSIA_1-Allarme veicolo lento corsia di emergenza</v>
      </c>
      <c r="D551" t="str">
        <f>VLOOKUP(B551,'EXPORT IRIS PROD 13-11-2024'!A:A,1,0)</f>
        <v>VEICOLO_LENTO_CORSIA_1-Allarme veicolo lento corsia di emergenza</v>
      </c>
      <c r="E551" t="str">
        <f>VLOOKUP(H551,'EXPORT IRIS PROD 13-11-2024'!F:F,1,0)</f>
        <v>VEICOLO_LENTO_CORSIA_1</v>
      </c>
      <c r="F551" t="str">
        <f>VLOOKUP(I551,'EXPORT IRIS PROD 13-11-2024'!D:D,1,0)</f>
        <v>Allarme veicolo lento corsia di emergenza</v>
      </c>
      <c r="G551" s="37" t="s">
        <v>979</v>
      </c>
      <c r="H551" s="38" t="s">
        <v>1052</v>
      </c>
      <c r="I551" s="45" t="s">
        <v>1053</v>
      </c>
      <c r="J551" s="46" t="s">
        <v>201</v>
      </c>
      <c r="K551" s="46" t="s">
        <v>263</v>
      </c>
      <c r="L551" s="47" t="s">
        <v>31</v>
      </c>
      <c r="M551" s="48" t="s">
        <v>32</v>
      </c>
      <c r="N551" s="43">
        <v>1</v>
      </c>
      <c r="O551" s="43" t="s">
        <v>24</v>
      </c>
      <c r="P551" s="43" t="s">
        <v>25</v>
      </c>
      <c r="Q551" s="42" t="s">
        <v>21</v>
      </c>
      <c r="R551" s="49"/>
    </row>
    <row r="552" spans="1:18" customFormat="1" x14ac:dyDescent="0.25">
      <c r="A552" t="str">
        <f t="shared" si="16"/>
        <v>Impianto Videosorveglianza_Telecamera attiva_VEICOLO_LENTO_CORSIA_2-Allarme veicolo lento corsia di marcia</v>
      </c>
      <c r="B552" t="str">
        <f t="shared" si="17"/>
        <v>VEICOLO_LENTO_CORSIA_2-Allarme veicolo lento corsia di marcia</v>
      </c>
      <c r="C552" t="str">
        <f>VLOOKUP(B552,'[2]Classi allarmi RMT-STIG_rev4'!$C:$C,1,0)</f>
        <v>VEICOLO_LENTO_CORSIA_2-Allarme veicolo lento corsia di marcia</v>
      </c>
      <c r="D552" t="str">
        <f>VLOOKUP(B552,'EXPORT IRIS PROD 13-11-2024'!A:A,1,0)</f>
        <v>VEICOLO_LENTO_CORSIA_2-Allarme veicolo lento corsia di marcia</v>
      </c>
      <c r="E552" t="str">
        <f>VLOOKUP(H552,'EXPORT IRIS PROD 13-11-2024'!F:F,1,0)</f>
        <v>VEICOLO_LENTO_CORSIA_2</v>
      </c>
      <c r="F552" t="str">
        <f>VLOOKUP(I552,'EXPORT IRIS PROD 13-11-2024'!D:D,1,0)</f>
        <v>Allarme veicolo lento corsia di marcia</v>
      </c>
      <c r="G552" s="37" t="s">
        <v>979</v>
      </c>
      <c r="H552" s="38" t="s">
        <v>1054</v>
      </c>
      <c r="I552" s="45" t="s">
        <v>1055</v>
      </c>
      <c r="J552" s="46" t="s">
        <v>201</v>
      </c>
      <c r="K552" s="46" t="s">
        <v>380</v>
      </c>
      <c r="L552" s="47" t="s">
        <v>31</v>
      </c>
      <c r="M552" s="48" t="s">
        <v>32</v>
      </c>
      <c r="N552" s="43">
        <v>1</v>
      </c>
      <c r="O552" s="43" t="s">
        <v>24</v>
      </c>
      <c r="P552" s="43" t="s">
        <v>25</v>
      </c>
      <c r="Q552" s="42" t="s">
        <v>21</v>
      </c>
      <c r="R552" s="49"/>
    </row>
    <row r="553" spans="1:18" customFormat="1" x14ac:dyDescent="0.25">
      <c r="A553" t="str">
        <f t="shared" si="16"/>
        <v>Impianto Videosorveglianza_Telecamera passiva_VEICOLO_LENTO_CORSIA_2-Allarme veicolo lento corsia di marcia</v>
      </c>
      <c r="B553" t="str">
        <f t="shared" si="17"/>
        <v>VEICOLO_LENTO_CORSIA_2-Allarme veicolo lento corsia di marcia</v>
      </c>
      <c r="C553" t="str">
        <f>VLOOKUP(B553,'[2]Classi allarmi RMT-STIG_rev4'!$C:$C,1,0)</f>
        <v>VEICOLO_LENTO_CORSIA_2-Allarme veicolo lento corsia di marcia</v>
      </c>
      <c r="D553" t="str">
        <f>VLOOKUP(B553,'EXPORT IRIS PROD 13-11-2024'!A:A,1,0)</f>
        <v>VEICOLO_LENTO_CORSIA_2-Allarme veicolo lento corsia di marcia</v>
      </c>
      <c r="E553" t="str">
        <f>VLOOKUP(H553,'EXPORT IRIS PROD 13-11-2024'!F:F,1,0)</f>
        <v>VEICOLO_LENTO_CORSIA_2</v>
      </c>
      <c r="F553" t="str">
        <f>VLOOKUP(I553,'EXPORT IRIS PROD 13-11-2024'!D:D,1,0)</f>
        <v>Allarme veicolo lento corsia di marcia</v>
      </c>
      <c r="G553" s="37" t="s">
        <v>979</v>
      </c>
      <c r="H553" s="38" t="s">
        <v>1054</v>
      </c>
      <c r="I553" s="45" t="s">
        <v>1055</v>
      </c>
      <c r="J553" s="46" t="s">
        <v>201</v>
      </c>
      <c r="K553" s="46" t="s">
        <v>263</v>
      </c>
      <c r="L553" s="47" t="s">
        <v>31</v>
      </c>
      <c r="M553" s="48" t="s">
        <v>32</v>
      </c>
      <c r="N553" s="43">
        <v>1</v>
      </c>
      <c r="O553" s="43" t="s">
        <v>24</v>
      </c>
      <c r="P553" s="43" t="s">
        <v>25</v>
      </c>
      <c r="Q553" s="42" t="s">
        <v>21</v>
      </c>
      <c r="R553" s="49"/>
    </row>
    <row r="554" spans="1:18" customFormat="1" x14ac:dyDescent="0.25">
      <c r="A554" t="str">
        <f t="shared" si="16"/>
        <v>Impianto Videosorveglianza_Telecamera attiva_VEICOLO_LENTO_CORSIA_3-Allarme veicolo lento corsia veloce</v>
      </c>
      <c r="B554" t="str">
        <f t="shared" si="17"/>
        <v>VEICOLO_LENTO_CORSIA_3-Allarme veicolo lento corsia veloce</v>
      </c>
      <c r="C554" t="str">
        <f>VLOOKUP(B554,'[2]Classi allarmi RMT-STIG_rev4'!$C:$C,1,0)</f>
        <v>VEICOLO_LENTO_CORSIA_3-Allarme veicolo lento corsia veloce</v>
      </c>
      <c r="D554" t="str">
        <f>VLOOKUP(B554,'EXPORT IRIS PROD 13-11-2024'!A:A,1,0)</f>
        <v>VEICOLO_LENTO_CORSIA_3-Allarme veicolo lento corsia veloce</v>
      </c>
      <c r="E554" t="str">
        <f>VLOOKUP(H554,'EXPORT IRIS PROD 13-11-2024'!F:F,1,0)</f>
        <v>VEICOLO_LENTO_CORSIA_3</v>
      </c>
      <c r="F554" t="str">
        <f>VLOOKUP(I554,'EXPORT IRIS PROD 13-11-2024'!D:D,1,0)</f>
        <v>Allarme veicolo lento corsia veloce</v>
      </c>
      <c r="G554" s="37" t="s">
        <v>979</v>
      </c>
      <c r="H554" s="38" t="s">
        <v>1056</v>
      </c>
      <c r="I554" s="45" t="s">
        <v>1057</v>
      </c>
      <c r="J554" s="46" t="s">
        <v>201</v>
      </c>
      <c r="K554" s="46" t="s">
        <v>380</v>
      </c>
      <c r="L554" s="47" t="s">
        <v>31</v>
      </c>
      <c r="M554" s="48" t="s">
        <v>32</v>
      </c>
      <c r="N554" s="43">
        <v>1</v>
      </c>
      <c r="O554" s="43" t="s">
        <v>24</v>
      </c>
      <c r="P554" s="43" t="s">
        <v>25</v>
      </c>
      <c r="Q554" s="42" t="s">
        <v>21</v>
      </c>
      <c r="R554" s="49"/>
    </row>
    <row r="555" spans="1:18" customFormat="1" x14ac:dyDescent="0.25">
      <c r="A555" t="str">
        <f t="shared" si="16"/>
        <v>Impianto Videosorveglianza_Telecamera passiva_VEICOLO_LENTO_CORSIA_3-Allarme veicolo lento corsia veloce</v>
      </c>
      <c r="B555" t="str">
        <f t="shared" si="17"/>
        <v>VEICOLO_LENTO_CORSIA_3-Allarme veicolo lento corsia veloce</v>
      </c>
      <c r="C555" t="str">
        <f>VLOOKUP(B555,'[2]Classi allarmi RMT-STIG_rev4'!$C:$C,1,0)</f>
        <v>VEICOLO_LENTO_CORSIA_3-Allarme veicolo lento corsia veloce</v>
      </c>
      <c r="D555" t="str">
        <f>VLOOKUP(B555,'EXPORT IRIS PROD 13-11-2024'!A:A,1,0)</f>
        <v>VEICOLO_LENTO_CORSIA_3-Allarme veicolo lento corsia veloce</v>
      </c>
      <c r="E555" t="str">
        <f>VLOOKUP(H555,'EXPORT IRIS PROD 13-11-2024'!F:F,1,0)</f>
        <v>VEICOLO_LENTO_CORSIA_3</v>
      </c>
      <c r="F555" t="str">
        <f>VLOOKUP(I555,'EXPORT IRIS PROD 13-11-2024'!D:D,1,0)</f>
        <v>Allarme veicolo lento corsia veloce</v>
      </c>
      <c r="G555" s="37" t="s">
        <v>979</v>
      </c>
      <c r="H555" s="38" t="s">
        <v>1056</v>
      </c>
      <c r="I555" s="45" t="s">
        <v>1057</v>
      </c>
      <c r="J555" s="46" t="s">
        <v>201</v>
      </c>
      <c r="K555" s="46" t="s">
        <v>263</v>
      </c>
      <c r="L555" s="47" t="s">
        <v>31</v>
      </c>
      <c r="M555" s="48" t="s">
        <v>32</v>
      </c>
      <c r="N555" s="43">
        <v>1</v>
      </c>
      <c r="O555" s="43" t="s">
        <v>24</v>
      </c>
      <c r="P555" s="43" t="s">
        <v>25</v>
      </c>
      <c r="Q555" s="42" t="s">
        <v>21</v>
      </c>
      <c r="R555" s="49"/>
    </row>
    <row r="556" spans="1:18" customFormat="1" x14ac:dyDescent="0.25">
      <c r="A556" t="str">
        <f t="shared" si="16"/>
        <v>Impianto Ventilazione_Ventilatore_VENTILATORE_IN_ANOMALIA-Allarme ventilatore</v>
      </c>
      <c r="B556" t="str">
        <f t="shared" si="17"/>
        <v>VENTILATORE_IN_ANOMALIA-Allarme ventilatore</v>
      </c>
      <c r="C556" t="str">
        <f>VLOOKUP(B556,'[2]Classi allarmi RMT-STIG_rev4'!$C:$C,1,0)</f>
        <v>VENTILATORE_IN_ANOMALIA-Allarme ventilatore</v>
      </c>
      <c r="D556" t="str">
        <f>VLOOKUP(B556,'EXPORT IRIS PROD 13-11-2024'!A:A,1,0)</f>
        <v>VENTILATORE_IN_ANOMALIA-Allarme ventilatore</v>
      </c>
      <c r="E556" t="str">
        <f>VLOOKUP(H556,'EXPORT IRIS PROD 13-11-2024'!F:F,1,0)</f>
        <v>VENTILATORE_IN_ANOMALIA</v>
      </c>
      <c r="F556" t="str">
        <f>VLOOKUP(I556,'EXPORT IRIS PROD 13-11-2024'!D:D,1,0)</f>
        <v>Allarme ventilatore</v>
      </c>
      <c r="G556" s="37" t="s">
        <v>85</v>
      </c>
      <c r="H556" s="38" t="s">
        <v>1058</v>
      </c>
      <c r="I556" s="38" t="s">
        <v>662</v>
      </c>
      <c r="J556" s="39" t="s">
        <v>50</v>
      </c>
      <c r="K556" s="39" t="s">
        <v>124</v>
      </c>
      <c r="L556" s="40" t="s">
        <v>21</v>
      </c>
      <c r="M556" s="41" t="s">
        <v>22</v>
      </c>
      <c r="N556" s="42" t="s">
        <v>23</v>
      </c>
      <c r="O556" s="43" t="s">
        <v>24</v>
      </c>
      <c r="P556" s="42" t="s">
        <v>25</v>
      </c>
      <c r="Q556" s="42" t="s">
        <v>21</v>
      </c>
      <c r="R556" s="44"/>
    </row>
    <row r="557" spans="1:18" customFormat="1" x14ac:dyDescent="0.25">
      <c r="A557" t="str">
        <f t="shared" si="16"/>
        <v>Impianto Ventilazione_Ventilatore_ALR_TIMEOUT-Allarme timeout</v>
      </c>
      <c r="B557" t="str">
        <f t="shared" si="17"/>
        <v>ALR_TIMEOUT-Allarme timeout</v>
      </c>
      <c r="C557" t="str">
        <f>VLOOKUP(B557,'[2]Classi allarmi RMT-STIG_rev4'!$C:$C,1,0)</f>
        <v>ALR_TIMEOUT-Allarme timeout</v>
      </c>
      <c r="D557" t="str">
        <f>VLOOKUP(B557,'EXPORT IRIS PROD 13-11-2024'!A:A,1,0)</f>
        <v>ALR_TIMEOUT-Allarme timeout</v>
      </c>
      <c r="E557" t="str">
        <f>VLOOKUP(H557,'EXPORT IRIS PROD 13-11-2024'!F:F,1,0)</f>
        <v>ALR_TIMEOUT</v>
      </c>
      <c r="F557" t="str">
        <f>VLOOKUP(I557,'EXPORT IRIS PROD 13-11-2024'!D:D,1,0)</f>
        <v>Allarme timeout</v>
      </c>
      <c r="G557" s="37" t="s">
        <v>85</v>
      </c>
      <c r="H557" s="38" t="s">
        <v>1059</v>
      </c>
      <c r="I557" s="38" t="s">
        <v>1060</v>
      </c>
      <c r="J557" s="39" t="s">
        <v>50</v>
      </c>
      <c r="K557" s="39" t="s">
        <v>124</v>
      </c>
      <c r="L557" s="40" t="s">
        <v>21</v>
      </c>
      <c r="M557" s="41" t="s">
        <v>22</v>
      </c>
      <c r="N557" s="42" t="s">
        <v>23</v>
      </c>
      <c r="O557" s="43" t="s">
        <v>24</v>
      </c>
      <c r="P557" s="42" t="s">
        <v>25</v>
      </c>
      <c r="Q557" s="42" t="s">
        <v>21</v>
      </c>
      <c r="R557" s="44"/>
    </row>
    <row r="558" spans="1:18" customFormat="1" x14ac:dyDescent="0.25">
      <c r="A558" t="str">
        <f t="shared" si="16"/>
        <v>Impianto Ventilazione_CO-Termine_PRE_ALLARME_INCENDIO-Preallarme incendio da sensori</v>
      </c>
      <c r="B558" t="str">
        <f t="shared" si="17"/>
        <v>PRE_ALLARME_INCENDIO-Preallarme incendio da sensori</v>
      </c>
      <c r="C558" t="str">
        <f>VLOOKUP(B558,'[2]Classi allarmi RMT-STIG_rev4'!$C:$C,1,0)</f>
        <v>PRE_ALLARME_INCENDIO-Preallarme incendio da sensori</v>
      </c>
      <c r="D558" t="str">
        <f>VLOOKUP(B558,'EXPORT IRIS PROD 13-11-2024'!A:A,1,0)</f>
        <v>PRE_ALLARME_INCENDIO-Preallarme incendio da sensori</v>
      </c>
      <c r="E558" t="str">
        <f>VLOOKUP(H558,'EXPORT IRIS PROD 13-11-2024'!F:F,1,0)</f>
        <v>PRE_ALLARME_INCENDIO</v>
      </c>
      <c r="F558" t="str">
        <f>VLOOKUP(I558,'EXPORT IRIS PROD 13-11-2024'!D:D,1,0)</f>
        <v>Preallarme incendio da sensori</v>
      </c>
      <c r="G558" s="37" t="s">
        <v>47</v>
      </c>
      <c r="H558" s="38" t="s">
        <v>1061</v>
      </c>
      <c r="I558" s="45" t="s">
        <v>1062</v>
      </c>
      <c r="J558" s="46" t="s">
        <v>50</v>
      </c>
      <c r="K558" s="46" t="s">
        <v>1063</v>
      </c>
      <c r="L558" s="47" t="s">
        <v>31</v>
      </c>
      <c r="M558" s="48" t="s">
        <v>32</v>
      </c>
      <c r="N558" s="43">
        <v>2</v>
      </c>
      <c r="O558" s="43" t="s">
        <v>45</v>
      </c>
      <c r="P558" s="43" t="s">
        <v>46</v>
      </c>
      <c r="Q558" s="43" t="s">
        <v>31</v>
      </c>
      <c r="R558" s="49"/>
    </row>
    <row r="559" spans="1:18" customFormat="1" x14ac:dyDescent="0.25">
      <c r="A559" t="str">
        <f t="shared" si="16"/>
        <v>Impianto Ventilazione_OP-Termine_PRE_ALLARME_INCENDIO-Preallarme incendio da sensori</v>
      </c>
      <c r="B559" t="str">
        <f t="shared" si="17"/>
        <v>PRE_ALLARME_INCENDIO-Preallarme incendio da sensori</v>
      </c>
      <c r="C559" t="str">
        <f>VLOOKUP(B559,'[2]Classi allarmi RMT-STIG_rev4'!$C:$C,1,0)</f>
        <v>PRE_ALLARME_INCENDIO-Preallarme incendio da sensori</v>
      </c>
      <c r="D559" t="str">
        <f>VLOOKUP(B559,'EXPORT IRIS PROD 13-11-2024'!A:A,1,0)</f>
        <v>PRE_ALLARME_INCENDIO-Preallarme incendio da sensori</v>
      </c>
      <c r="E559" t="str">
        <f>VLOOKUP(H559,'EXPORT IRIS PROD 13-11-2024'!F:F,1,0)</f>
        <v>PRE_ALLARME_INCENDIO</v>
      </c>
      <c r="F559" t="str">
        <f>VLOOKUP(I559,'EXPORT IRIS PROD 13-11-2024'!D:D,1,0)</f>
        <v>Preallarme incendio da sensori</v>
      </c>
      <c r="G559" s="37" t="s">
        <v>47</v>
      </c>
      <c r="H559" s="38" t="s">
        <v>1061</v>
      </c>
      <c r="I559" s="45" t="s">
        <v>1062</v>
      </c>
      <c r="J559" s="46" t="s">
        <v>50</v>
      </c>
      <c r="K559" s="46" t="s">
        <v>1064</v>
      </c>
      <c r="L559" s="47" t="s">
        <v>31</v>
      </c>
      <c r="M559" s="48" t="s">
        <v>32</v>
      </c>
      <c r="N559" s="43">
        <v>2</v>
      </c>
      <c r="O559" s="43" t="s">
        <v>45</v>
      </c>
      <c r="P559" s="43" t="s">
        <v>46</v>
      </c>
      <c r="Q559" s="43" t="s">
        <v>31</v>
      </c>
      <c r="R559" s="49"/>
    </row>
    <row r="560" spans="1:18" x14ac:dyDescent="0.25">
      <c r="A560" t="str">
        <f t="shared" si="16"/>
        <v>Impianto SOS_SOS generale_ALLARME_DA_SOS_DIR_NORD-Allarme SOS premuto dir. nord</v>
      </c>
      <c r="B560" t="str">
        <f t="shared" si="17"/>
        <v>ALLARME_DA_SOS_DIR_NORD-Allarme SOS premuto dir. nord</v>
      </c>
      <c r="C560" t="str">
        <f>VLOOKUP(B560,'[2]Classi allarmi RMT-STIG_rev4'!$C:$C,1,0)</f>
        <v>ALLARME_DA_SOS_DIR_NORD-Allarme SOS premuto dir. nord</v>
      </c>
      <c r="D560" t="str">
        <f>VLOOKUP(B560,'EXPORT IRIS PROD 13-11-2024'!A:A,1,0)</f>
        <v>ALLARME_DA_SOS_DIR_NORD-Allarme SOS premuto dir. nord</v>
      </c>
      <c r="E560" t="str">
        <f>VLOOKUP(H560,'EXPORT IRIS PROD 13-11-2024'!F:F,1,0)</f>
        <v>ALLARME_DA_SOS_DIR_NORD</v>
      </c>
      <c r="F560" t="str">
        <f>VLOOKUP(I560,'EXPORT IRIS PROD 13-11-2024'!D:D,1,0)</f>
        <v>Allarme SOS premuto dir. nord</v>
      </c>
      <c r="G560" s="37" t="s">
        <v>26</v>
      </c>
      <c r="H560" s="38" t="s">
        <v>1065</v>
      </c>
      <c r="I560" s="45" t="s">
        <v>1066</v>
      </c>
      <c r="J560" s="46" t="s">
        <v>29</v>
      </c>
      <c r="K560" s="46" t="s">
        <v>1067</v>
      </c>
      <c r="L560" s="47" t="s">
        <v>31</v>
      </c>
      <c r="M560" s="48" t="s">
        <v>32</v>
      </c>
      <c r="N560" s="43">
        <v>1</v>
      </c>
      <c r="O560" s="43" t="s">
        <v>33</v>
      </c>
      <c r="P560" s="43" t="s">
        <v>34</v>
      </c>
      <c r="Q560" s="43" t="s">
        <v>31</v>
      </c>
      <c r="R560" s="44"/>
    </row>
    <row r="561" spans="1:18" x14ac:dyDescent="0.25">
      <c r="A561" t="str">
        <f t="shared" si="16"/>
        <v>Impianto SOS_SOS generale_ALLARME_DA_SOS_DIR_SUD-Allarme SOS premuto dir. sud</v>
      </c>
      <c r="B561" t="str">
        <f t="shared" si="17"/>
        <v>ALLARME_DA_SOS_DIR_SUD-Allarme SOS premuto dir. sud</v>
      </c>
      <c r="C561" t="str">
        <f>VLOOKUP(B561,'[2]Classi allarmi RMT-STIG_rev4'!$C:$C,1,0)</f>
        <v>ALLARME_DA_SOS_DIR_SUD-Allarme SOS premuto dir. sud</v>
      </c>
      <c r="D561" t="str">
        <f>VLOOKUP(B561,'EXPORT IRIS PROD 13-11-2024'!A:A,1,0)</f>
        <v>ALLARME_DA_SOS_DIR_SUD-Allarme SOS premuto dir. sud</v>
      </c>
      <c r="E561" t="str">
        <f>VLOOKUP(H561,'EXPORT IRIS PROD 13-11-2024'!F:F,1,0)</f>
        <v>ALLARME_DA_SOS_DIR_SUD</v>
      </c>
      <c r="F561" t="str">
        <f>VLOOKUP(I561,'EXPORT IRIS PROD 13-11-2024'!D:D,1,0)</f>
        <v>Allarme SOS premuto dir. sud</v>
      </c>
      <c r="G561" s="37" t="s">
        <v>26</v>
      </c>
      <c r="H561" s="38" t="s">
        <v>1068</v>
      </c>
      <c r="I561" s="45" t="s">
        <v>1069</v>
      </c>
      <c r="J561" s="46" t="s">
        <v>29</v>
      </c>
      <c r="K561" s="46" t="s">
        <v>1067</v>
      </c>
      <c r="L561" s="47" t="s">
        <v>31</v>
      </c>
      <c r="M561" s="48" t="s">
        <v>32</v>
      </c>
      <c r="N561" s="43">
        <v>1</v>
      </c>
      <c r="O561" s="43" t="s">
        <v>33</v>
      </c>
      <c r="P561" s="43" t="s">
        <v>34</v>
      </c>
      <c r="Q561" s="43" t="s">
        <v>31</v>
      </c>
      <c r="R561" s="44"/>
    </row>
    <row r="562" spans="1:18" x14ac:dyDescent="0.25">
      <c r="A562" t="str">
        <f t="shared" si="16"/>
        <v>Impianto Antincendio_Motopompa_ALLARME_PRESSIONE_POMPA-Allarme pressione pompa</v>
      </c>
      <c r="B562" t="str">
        <f t="shared" si="17"/>
        <v>ALLARME_PRESSIONE_POMPA-Allarme pressione pompa</v>
      </c>
      <c r="C562" t="str">
        <f>VLOOKUP(B562,'[2]Classi allarmi RMT-STIG_rev4'!$C:$C,1,0)</f>
        <v>ALLARME_PRESSIONE_POMPA-Allarme pressione pompa</v>
      </c>
      <c r="D562" t="str">
        <f>VLOOKUP(B562,'EXPORT IRIS PROD 13-11-2024'!A:A,1,0)</f>
        <v>ALLARME_PRESSIONE_POMPA-Allarme pressione pompa</v>
      </c>
      <c r="E562" t="str">
        <f>VLOOKUP(H562,'EXPORT IRIS PROD 13-11-2024'!F:F,1,0)</f>
        <v>ALLARME_PRESSIONE_POMPA</v>
      </c>
      <c r="F562" t="str">
        <f>VLOOKUP(I562,'EXPORT IRIS PROD 13-11-2024'!D:D,1,0)</f>
        <v>Allarme pressione pompa</v>
      </c>
      <c r="G562" s="37" t="s">
        <v>35</v>
      </c>
      <c r="H562" s="38" t="s">
        <v>1070</v>
      </c>
      <c r="I562" s="45" t="s">
        <v>1071</v>
      </c>
      <c r="J562" s="46" t="s">
        <v>38</v>
      </c>
      <c r="K562" s="46" t="s">
        <v>172</v>
      </c>
      <c r="L562" s="40" t="s">
        <v>21</v>
      </c>
      <c r="M562" s="41" t="s">
        <v>22</v>
      </c>
      <c r="N562" s="42" t="s">
        <v>23</v>
      </c>
      <c r="O562" s="43" t="s">
        <v>157</v>
      </c>
      <c r="P562" s="42" t="s">
        <v>158</v>
      </c>
      <c r="Q562" s="42" t="s">
        <v>21</v>
      </c>
      <c r="R562" s="44"/>
    </row>
    <row r="563" spans="1:18" x14ac:dyDescent="0.25">
      <c r="A563" t="str">
        <f t="shared" si="16"/>
        <v>Impianto SOS_SOS generale_ALR_113_DIR_NORD-Allarme SOS pulsante 113 dir. nord</v>
      </c>
      <c r="B563" t="str">
        <f t="shared" si="17"/>
        <v>ALR_113_DIR_NORD-Allarme SOS pulsante 113 dir. nord</v>
      </c>
      <c r="C563" t="str">
        <f>VLOOKUP(B563,'[2]Classi allarmi RMT-STIG_rev4'!$C:$C,1,0)</f>
        <v>ALR_113_DIR_NORD-Allarme SOS pulsante 113 dir. nord</v>
      </c>
      <c r="D563" t="str">
        <f>VLOOKUP(B563,'EXPORT IRIS PROD 13-11-2024'!A:A,1,0)</f>
        <v>ALR_113_DIR_NORD-Allarme SOS pulsante 113 dir. nord</v>
      </c>
      <c r="E563" t="str">
        <f>VLOOKUP(H563,'EXPORT IRIS PROD 13-11-2024'!F:F,1,0)</f>
        <v>ALR_113_DIR_NORD</v>
      </c>
      <c r="F563" t="str">
        <f>VLOOKUP(I563,'EXPORT IRIS PROD 13-11-2024'!D:D,1,0)</f>
        <v>Allarme SOS pulsante 113 dir. nord</v>
      </c>
      <c r="G563" s="37" t="s">
        <v>26</v>
      </c>
      <c r="H563" s="38" t="s">
        <v>1072</v>
      </c>
      <c r="I563" s="45" t="s">
        <v>1073</v>
      </c>
      <c r="J563" s="46" t="s">
        <v>29</v>
      </c>
      <c r="K563" s="46" t="s">
        <v>1067</v>
      </c>
      <c r="L563" s="47" t="s">
        <v>31</v>
      </c>
      <c r="M563" s="48" t="s">
        <v>32</v>
      </c>
      <c r="N563" s="43">
        <v>1</v>
      </c>
      <c r="O563" s="43" t="s">
        <v>33</v>
      </c>
      <c r="P563" s="43" t="s">
        <v>34</v>
      </c>
      <c r="Q563" s="43" t="s">
        <v>31</v>
      </c>
      <c r="R563" s="44"/>
    </row>
    <row r="564" spans="1:18" x14ac:dyDescent="0.25">
      <c r="A564" t="str">
        <f t="shared" si="16"/>
        <v>Impianto SOS_SOS generale_ALR_113_DIR_SUD-Allarme SOS pulsante 113 dir. sud</v>
      </c>
      <c r="B564" t="str">
        <f t="shared" si="17"/>
        <v>ALR_113_DIR_SUD-Allarme SOS pulsante 113 dir. sud</v>
      </c>
      <c r="C564" t="str">
        <f>VLOOKUP(B564,'[2]Classi allarmi RMT-STIG_rev4'!$C:$C,1,0)</f>
        <v>ALR_113_DIR_SUD-Allarme SOS pulsante 113 dir. sud</v>
      </c>
      <c r="D564" t="str">
        <f>VLOOKUP(B564,'EXPORT IRIS PROD 13-11-2024'!A:A,1,0)</f>
        <v>ALR_113_DIR_SUD-Allarme SOS pulsante 113 dir. sud</v>
      </c>
      <c r="E564" t="str">
        <f>VLOOKUP(H564,'EXPORT IRIS PROD 13-11-2024'!F:F,1,0)</f>
        <v>ALR_113_DIR_SUD</v>
      </c>
      <c r="F564" t="str">
        <f>VLOOKUP(I564,'EXPORT IRIS PROD 13-11-2024'!D:D,1,0)</f>
        <v>Allarme SOS pulsante 113 dir. sud</v>
      </c>
      <c r="G564" s="37" t="s">
        <v>26</v>
      </c>
      <c r="H564" s="38" t="s">
        <v>1074</v>
      </c>
      <c r="I564" s="45" t="s">
        <v>1075</v>
      </c>
      <c r="J564" s="46" t="s">
        <v>29</v>
      </c>
      <c r="K564" s="46" t="s">
        <v>1067</v>
      </c>
      <c r="L564" s="47" t="s">
        <v>31</v>
      </c>
      <c r="M564" s="48" t="s">
        <v>32</v>
      </c>
      <c r="N564" s="43">
        <v>1</v>
      </c>
      <c r="O564" s="43" t="s">
        <v>33</v>
      </c>
      <c r="P564" s="43" t="s">
        <v>34</v>
      </c>
      <c r="Q564" s="43" t="s">
        <v>31</v>
      </c>
      <c r="R564" s="44"/>
    </row>
    <row r="565" spans="1:18" x14ac:dyDescent="0.25">
      <c r="A565" t="str">
        <f t="shared" si="16"/>
        <v>Impianto SOS_SOS generale_ALR_115_DIR_NORD-Allarme SOS pulsante 115 dir. nord</v>
      </c>
      <c r="B565" t="str">
        <f t="shared" si="17"/>
        <v>ALR_115_DIR_NORD-Allarme SOS pulsante 115 dir. nord</v>
      </c>
      <c r="C565" t="str">
        <f>VLOOKUP(B565,'[2]Classi allarmi RMT-STIG_rev4'!$C:$C,1,0)</f>
        <v>ALR_115_DIR_NORD-Allarme SOS pulsante 115 dir. nord</v>
      </c>
      <c r="D565" t="str">
        <f>VLOOKUP(B565,'EXPORT IRIS PROD 13-11-2024'!A:A,1,0)</f>
        <v>ALR_115_DIR_NORD-Allarme SOS pulsante 115 dir. nord</v>
      </c>
      <c r="E565" t="str">
        <f>VLOOKUP(H565,'EXPORT IRIS PROD 13-11-2024'!F:F,1,0)</f>
        <v>ALR_115_DIR_NORD</v>
      </c>
      <c r="F565" t="str">
        <f>VLOOKUP(I565,'EXPORT IRIS PROD 13-11-2024'!D:D,1,0)</f>
        <v>Allarme SOS pulsante 115 dir. nord</v>
      </c>
      <c r="G565" s="37" t="s">
        <v>26</v>
      </c>
      <c r="H565" s="38" t="s">
        <v>1076</v>
      </c>
      <c r="I565" s="45" t="s">
        <v>1077</v>
      </c>
      <c r="J565" s="46" t="s">
        <v>29</v>
      </c>
      <c r="K565" s="46" t="s">
        <v>1067</v>
      </c>
      <c r="L565" s="47" t="s">
        <v>31</v>
      </c>
      <c r="M565" s="48" t="s">
        <v>32</v>
      </c>
      <c r="N565" s="43">
        <v>1</v>
      </c>
      <c r="O565" s="43" t="s">
        <v>33</v>
      </c>
      <c r="P565" s="43" t="s">
        <v>34</v>
      </c>
      <c r="Q565" s="43" t="s">
        <v>31</v>
      </c>
      <c r="R565" s="44"/>
    </row>
    <row r="566" spans="1:18" x14ac:dyDescent="0.25">
      <c r="A566" t="str">
        <f t="shared" si="16"/>
        <v>Impianto SOS_SOS generale_ALR_115_DIR_SUD-Allarme SOS pulsante 115 dir. sud</v>
      </c>
      <c r="B566" t="str">
        <f t="shared" si="17"/>
        <v>ALR_115_DIR_SUD-Allarme SOS pulsante 115 dir. sud</v>
      </c>
      <c r="C566" t="str">
        <f>VLOOKUP(B566,'[2]Classi allarmi RMT-STIG_rev4'!$C:$C,1,0)</f>
        <v>ALR_115_DIR_SUD-Allarme SOS pulsante 115 dir. sud</v>
      </c>
      <c r="D566" t="str">
        <f>VLOOKUP(B566,'EXPORT IRIS PROD 13-11-2024'!A:A,1,0)</f>
        <v>ALR_115_DIR_SUD-Allarme SOS pulsante 115 dir. sud</v>
      </c>
      <c r="E566" t="str">
        <f>VLOOKUP(H566,'EXPORT IRIS PROD 13-11-2024'!F:F,1,0)</f>
        <v>ALR_115_DIR_SUD</v>
      </c>
      <c r="F566" t="str">
        <f>VLOOKUP(I566,'EXPORT IRIS PROD 13-11-2024'!D:D,1,0)</f>
        <v>Allarme SOS pulsante 115 dir. sud</v>
      </c>
      <c r="G566" s="37" t="s">
        <v>26</v>
      </c>
      <c r="H566" s="38" t="s">
        <v>1078</v>
      </c>
      <c r="I566" s="45" t="s">
        <v>1079</v>
      </c>
      <c r="J566" s="46" t="s">
        <v>29</v>
      </c>
      <c r="K566" s="46" t="s">
        <v>1067</v>
      </c>
      <c r="L566" s="47" t="s">
        <v>31</v>
      </c>
      <c r="M566" s="48" t="s">
        <v>32</v>
      </c>
      <c r="N566" s="43">
        <v>1</v>
      </c>
      <c r="O566" s="43" t="s">
        <v>33</v>
      </c>
      <c r="P566" s="43" t="s">
        <v>34</v>
      </c>
      <c r="Q566" s="43" t="s">
        <v>31</v>
      </c>
      <c r="R566" s="44"/>
    </row>
    <row r="567" spans="1:18" x14ac:dyDescent="0.25">
      <c r="A567" t="str">
        <f t="shared" si="16"/>
        <v>Impianto SOS_SOS generale_ALR_118_DIR_NORD-Allarme SOS pulsante 118 dir. nord</v>
      </c>
      <c r="B567" t="str">
        <f t="shared" si="17"/>
        <v>ALR_118_DIR_NORD-Allarme SOS pulsante 118 dir. nord</v>
      </c>
      <c r="C567" t="str">
        <f>VLOOKUP(B567,'[2]Classi allarmi RMT-STIG_rev4'!$C:$C,1,0)</f>
        <v>ALR_118_DIR_NORD-Allarme SOS pulsante 118 dir. nord</v>
      </c>
      <c r="D567" t="str">
        <f>VLOOKUP(B567,'EXPORT IRIS PROD 13-11-2024'!A:A,1,0)</f>
        <v>ALR_118_DIR_NORD-Allarme SOS pulsante 118 dir. nord</v>
      </c>
      <c r="E567" t="str">
        <f>VLOOKUP(H567,'EXPORT IRIS PROD 13-11-2024'!F:F,1,0)</f>
        <v>ALR_118_DIR_NORD</v>
      </c>
      <c r="F567" t="str">
        <f>VLOOKUP(I567,'EXPORT IRIS PROD 13-11-2024'!D:D,1,0)</f>
        <v>Allarme SOS pulsante 118 dir. nord</v>
      </c>
      <c r="G567" s="37" t="s">
        <v>26</v>
      </c>
      <c r="H567" s="38" t="s">
        <v>1080</v>
      </c>
      <c r="I567" s="45" t="s">
        <v>1081</v>
      </c>
      <c r="J567" s="46" t="s">
        <v>29</v>
      </c>
      <c r="K567" s="46" t="s">
        <v>1067</v>
      </c>
      <c r="L567" s="47" t="s">
        <v>31</v>
      </c>
      <c r="M567" s="48" t="s">
        <v>32</v>
      </c>
      <c r="N567" s="43">
        <v>1</v>
      </c>
      <c r="O567" s="43" t="s">
        <v>33</v>
      </c>
      <c r="P567" s="43" t="s">
        <v>34</v>
      </c>
      <c r="Q567" s="43" t="s">
        <v>31</v>
      </c>
      <c r="R567" s="44"/>
    </row>
    <row r="568" spans="1:18" x14ac:dyDescent="0.25">
      <c r="A568" t="str">
        <f t="shared" si="16"/>
        <v>Impianto SOS_SOS generale_ALR_118_DIR_SUD-Allarme SOS pulsante 118 dir. sud</v>
      </c>
      <c r="B568" t="str">
        <f t="shared" si="17"/>
        <v>ALR_118_DIR_SUD-Allarme SOS pulsante 118 dir. sud</v>
      </c>
      <c r="C568" t="str">
        <f>VLOOKUP(B568,'[2]Classi allarmi RMT-STIG_rev4'!$C:$C,1,0)</f>
        <v>ALR_118_DIR_SUD-Allarme SOS pulsante 118 dir. sud</v>
      </c>
      <c r="D568" t="str">
        <f>VLOOKUP(B568,'EXPORT IRIS PROD 13-11-2024'!A:A,1,0)</f>
        <v>ALR_118_DIR_SUD-Allarme SOS pulsante 118 dir. sud</v>
      </c>
      <c r="E568" t="str">
        <f>VLOOKUP(H568,'EXPORT IRIS PROD 13-11-2024'!F:F,1,0)</f>
        <v>ALR_118_DIR_SUD</v>
      </c>
      <c r="F568" t="str">
        <f>VLOOKUP(I568,'EXPORT IRIS PROD 13-11-2024'!D:D,1,0)</f>
        <v>Allarme SOS pulsante 118 dir. sud</v>
      </c>
      <c r="G568" s="37" t="s">
        <v>26</v>
      </c>
      <c r="H568" s="38" t="s">
        <v>1082</v>
      </c>
      <c r="I568" s="45" t="s">
        <v>1083</v>
      </c>
      <c r="J568" s="46" t="s">
        <v>29</v>
      </c>
      <c r="K568" s="46" t="s">
        <v>1067</v>
      </c>
      <c r="L568" s="47" t="s">
        <v>31</v>
      </c>
      <c r="M568" s="48" t="s">
        <v>32</v>
      </c>
      <c r="N568" s="43">
        <v>1</v>
      </c>
      <c r="O568" s="43" t="s">
        <v>33</v>
      </c>
      <c r="P568" s="43" t="s">
        <v>34</v>
      </c>
      <c r="Q568" s="43" t="s">
        <v>31</v>
      </c>
      <c r="R568" s="44"/>
    </row>
    <row r="569" spans="1:18" x14ac:dyDescent="0.25">
      <c r="A569" t="str">
        <f t="shared" si="16"/>
        <v>Impianto SOS_SOS generale_ALR_803116_DIR_NORD-Allarme SOS soccorso meccanico dir. Nord</v>
      </c>
      <c r="B569" t="str">
        <f t="shared" si="17"/>
        <v>ALR_803116_DIR_NORD-Allarme SOS soccorso meccanico dir. Nord</v>
      </c>
      <c r="C569" t="str">
        <f>VLOOKUP(B569,'[2]Classi allarmi RMT-STIG_rev4'!$C:$C,1,0)</f>
        <v>ALR_803116_DIR_NORD-Allarme SOS soccorso meccanico dir. Nord</v>
      </c>
      <c r="D569" t="str">
        <f>VLOOKUP(B569,'EXPORT IRIS PROD 13-11-2024'!A:A,1,0)</f>
        <v>ALR_803116_DIR_NORD-Allarme SOS soccorso meccanico dir. Nord</v>
      </c>
      <c r="E569" t="str">
        <f>VLOOKUP(H569,'EXPORT IRIS PROD 13-11-2024'!F:F,1,0)</f>
        <v>ALR_803116_DIR_NORD</v>
      </c>
      <c r="F569" t="str">
        <f>VLOOKUP(I569,'EXPORT IRIS PROD 13-11-2024'!D:D,1,0)</f>
        <v>Allarme SOS soccorso meccanico dir. Nord</v>
      </c>
      <c r="G569" s="37" t="s">
        <v>26</v>
      </c>
      <c r="H569" s="38" t="s">
        <v>1084</v>
      </c>
      <c r="I569" s="45" t="s">
        <v>1085</v>
      </c>
      <c r="J569" s="46" t="s">
        <v>29</v>
      </c>
      <c r="K569" s="46" t="s">
        <v>1067</v>
      </c>
      <c r="L569" s="47" t="s">
        <v>31</v>
      </c>
      <c r="M569" s="48" t="s">
        <v>32</v>
      </c>
      <c r="N569" s="43">
        <v>1</v>
      </c>
      <c r="O569" s="43" t="s">
        <v>33</v>
      </c>
      <c r="P569" s="43" t="s">
        <v>34</v>
      </c>
      <c r="Q569" s="43" t="s">
        <v>31</v>
      </c>
      <c r="R569" s="44"/>
    </row>
    <row r="570" spans="1:18" x14ac:dyDescent="0.25">
      <c r="A570" t="str">
        <f t="shared" si="16"/>
        <v>Impianto SOS_SOS generale_ALR_803116_DIR_SUD-Allarme SOS soccorso meccanico dir. Sud</v>
      </c>
      <c r="B570" t="str">
        <f t="shared" si="17"/>
        <v>ALR_803116_DIR_SUD-Allarme SOS soccorso meccanico dir. Sud</v>
      </c>
      <c r="C570" t="str">
        <f>VLOOKUP(B570,'[2]Classi allarmi RMT-STIG_rev4'!$C:$C,1,0)</f>
        <v>ALR_803116_DIR_SUD-Allarme SOS soccorso meccanico dir. Sud</v>
      </c>
      <c r="D570" t="str">
        <f>VLOOKUP(B570,'EXPORT IRIS PROD 13-11-2024'!A:A,1,0)</f>
        <v>ALR_803116_DIR_SUD-Allarme SOS soccorso meccanico dir. Sud</v>
      </c>
      <c r="E570" t="str">
        <f>VLOOKUP(H570,'EXPORT IRIS PROD 13-11-2024'!F:F,1,0)</f>
        <v>ALR_803116_DIR_SUD</v>
      </c>
      <c r="F570" t="str">
        <f>VLOOKUP(I570,'EXPORT IRIS PROD 13-11-2024'!D:D,1,0)</f>
        <v>Allarme SOS soccorso meccanico dir. Sud</v>
      </c>
      <c r="G570" s="37" t="s">
        <v>26</v>
      </c>
      <c r="H570" s="38" t="s">
        <v>1086</v>
      </c>
      <c r="I570" s="45" t="s">
        <v>1087</v>
      </c>
      <c r="J570" s="46" t="s">
        <v>29</v>
      </c>
      <c r="K570" s="46" t="s">
        <v>1067</v>
      </c>
      <c r="L570" s="47" t="s">
        <v>31</v>
      </c>
      <c r="M570" s="48" t="s">
        <v>32</v>
      </c>
      <c r="N570" s="43">
        <v>1</v>
      </c>
      <c r="O570" s="43" t="s">
        <v>33</v>
      </c>
      <c r="P570" s="43" t="s">
        <v>34</v>
      </c>
      <c r="Q570" s="43" t="s">
        <v>31</v>
      </c>
      <c r="R570" s="44"/>
    </row>
    <row r="571" spans="1:18" x14ac:dyDescent="0.25">
      <c r="A571" t="str">
        <f t="shared" si="16"/>
        <v>Smart Road_Palo tecnologico_ALR_ALIMENTAZIONE_DA_BATTERIA-Allarme alimentazione da batteria</v>
      </c>
      <c r="B571" t="str">
        <f t="shared" si="17"/>
        <v>ALR_ALIMENTAZIONE_DA_BATTERIA-Allarme alimentazione da batteria</v>
      </c>
      <c r="C571" t="str">
        <f>VLOOKUP(B571,'[2]Classi allarmi RMT-STIG_rev4'!$C:$C,1,0)</f>
        <v>ALR_ALIMENTAZIONE_DA_BATTERIA-Allarme alimentazione da batteria</v>
      </c>
      <c r="D571" t="str">
        <f>VLOOKUP(B571,'EXPORT IRIS PROD 13-11-2024'!A:A,1,0)</f>
        <v>ALR_ALIMENTAZIONE_DA_BATTERIA-Allarme alimentazione da batteria</v>
      </c>
      <c r="E571" t="str">
        <f>VLOOKUP(H571,'EXPORT IRIS PROD 13-11-2024'!F:F,1,0)</f>
        <v>ALR_ALIMENTAZIONE_DA_BATTERIA</v>
      </c>
      <c r="F571" t="str">
        <f>VLOOKUP(I571,'EXPORT IRIS PROD 13-11-2024'!D:D,1,0)</f>
        <v>Allarme alimentazione da batteria</v>
      </c>
      <c r="G571" s="37" t="s">
        <v>1088</v>
      </c>
      <c r="H571" s="38" t="s">
        <v>1089</v>
      </c>
      <c r="I571" s="45" t="s">
        <v>1090</v>
      </c>
      <c r="J571" s="46" t="s">
        <v>965</v>
      </c>
      <c r="K571" s="46" t="s">
        <v>1091</v>
      </c>
      <c r="L571" s="40" t="s">
        <v>21</v>
      </c>
      <c r="M571" s="41" t="s">
        <v>22</v>
      </c>
      <c r="N571" s="42" t="s">
        <v>23</v>
      </c>
      <c r="O571" s="43" t="s">
        <v>24</v>
      </c>
      <c r="P571" s="42" t="s">
        <v>25</v>
      </c>
      <c r="Q571" s="42" t="s">
        <v>21</v>
      </c>
      <c r="R571" s="44"/>
    </row>
    <row r="572" spans="1:18" x14ac:dyDescent="0.25">
      <c r="A572" t="str">
        <f t="shared" si="16"/>
        <v>Impianto Ventilazione_Ventilatore_ALR_ALLINEAMENTO-Allarme allineamento ventilatore</v>
      </c>
      <c r="B572" t="str">
        <f t="shared" si="17"/>
        <v>ALR_ALLINEAMENTO-Allarme allineamento ventilatore</v>
      </c>
      <c r="C572" t="str">
        <f>VLOOKUP(B572,'[2]Classi allarmi RMT-STIG_rev4'!$C:$C,1,0)</f>
        <v>ALR_ALLINEAMENTO-Allarme allineamento ventilatore</v>
      </c>
      <c r="D572" t="str">
        <f>VLOOKUP(B572,'EXPORT IRIS PROD 13-11-2024'!A:A,1,0)</f>
        <v>ALR_ALLINEAMENTO-Allarme allineamento ventilatore</v>
      </c>
      <c r="E572" t="str">
        <f>VLOOKUP(H572,'EXPORT IRIS PROD 13-11-2024'!F:F,1,0)</f>
        <v>ALR_ALLINEAMENTO</v>
      </c>
      <c r="F572" t="str">
        <f>VLOOKUP(I572,'EXPORT IRIS PROD 13-11-2024'!D:D,1,0)</f>
        <v>Allarme allineamento ventilatore</v>
      </c>
      <c r="G572" s="37" t="s">
        <v>85</v>
      </c>
      <c r="H572" s="38" t="s">
        <v>1092</v>
      </c>
      <c r="I572" s="45" t="s">
        <v>1093</v>
      </c>
      <c r="J572" s="46" t="s">
        <v>50</v>
      </c>
      <c r="K572" s="46" t="s">
        <v>124</v>
      </c>
      <c r="L572" s="40" t="s">
        <v>31</v>
      </c>
      <c r="M572" s="41" t="s">
        <v>32</v>
      </c>
      <c r="N572" s="42">
        <v>3</v>
      </c>
      <c r="O572" s="43" t="s">
        <v>24</v>
      </c>
      <c r="P572" s="42" t="s">
        <v>25</v>
      </c>
      <c r="Q572" s="42" t="s">
        <v>21</v>
      </c>
      <c r="R572" s="44"/>
    </row>
    <row r="573" spans="1:18" x14ac:dyDescent="0.25">
      <c r="A573" t="str">
        <f t="shared" si="16"/>
        <v>Impianto Ventilazione_Ventilatore_ALR_ANOMALIA_COMANDO_DIR_DX-Allarme anomalia mancato comando dx</v>
      </c>
      <c r="B573" t="str">
        <f t="shared" si="17"/>
        <v>ALR_ANOMALIA_COMANDO_DIR_DX-Allarme anomalia mancato comando dx</v>
      </c>
      <c r="C573" t="str">
        <f>VLOOKUP(B573,'[2]Classi allarmi RMT-STIG_rev4'!$C:$C,1,0)</f>
        <v>ALR_ANOMALIA_COMANDO_DIR_DX-Allarme anomalia mancato comando dx</v>
      </c>
      <c r="D573" t="str">
        <f>VLOOKUP(B573,'EXPORT IRIS PROD 13-11-2024'!A:A,1,0)</f>
        <v>ALR_ANOMALIA_COMANDO_DIR_DX-Allarme anomalia mancato comando dx</v>
      </c>
      <c r="E573" t="str">
        <f>VLOOKUP(H573,'EXPORT IRIS PROD 13-11-2024'!F:F,1,0)</f>
        <v>ALR_ANOMALIA_COMANDO_DIR_DX</v>
      </c>
      <c r="F573" t="str">
        <f>VLOOKUP(I573,'EXPORT IRIS PROD 13-11-2024'!D:D,1,0)</f>
        <v>Allarme anomalia mancato comando dx</v>
      </c>
      <c r="G573" s="37" t="s">
        <v>85</v>
      </c>
      <c r="H573" s="38" t="s">
        <v>1094</v>
      </c>
      <c r="I573" s="45" t="s">
        <v>1095</v>
      </c>
      <c r="J573" s="46" t="s">
        <v>50</v>
      </c>
      <c r="K573" s="46" t="s">
        <v>124</v>
      </c>
      <c r="L573" s="40" t="s">
        <v>21</v>
      </c>
      <c r="M573" s="41" t="s">
        <v>22</v>
      </c>
      <c r="N573" s="42" t="s">
        <v>23</v>
      </c>
      <c r="O573" s="43" t="s">
        <v>24</v>
      </c>
      <c r="P573" s="42" t="s">
        <v>25</v>
      </c>
      <c r="Q573" s="42" t="s">
        <v>21</v>
      </c>
      <c r="R573" s="44"/>
    </row>
    <row r="574" spans="1:18" x14ac:dyDescent="0.25">
      <c r="A574" t="str">
        <f t="shared" si="16"/>
        <v>Impianto Ventilazione_Ventilatore_ALR_ANOMALIA_COMANDO_DIR_SX-Allarme anomalia mancato comando sx</v>
      </c>
      <c r="B574" t="str">
        <f t="shared" si="17"/>
        <v>ALR_ANOMALIA_COMANDO_DIR_SX-Allarme anomalia mancato comando sx</v>
      </c>
      <c r="C574" t="str">
        <f>VLOOKUP(B574,'[2]Classi allarmi RMT-STIG_rev4'!$C:$C,1,0)</f>
        <v>ALR_ANOMALIA_COMANDO_DIR_SX-Allarme anomalia mancato comando sx</v>
      </c>
      <c r="D574" t="str">
        <f>VLOOKUP(B574,'EXPORT IRIS PROD 13-11-2024'!A:A,1,0)</f>
        <v>ALR_ANOMALIA_COMANDO_DIR_SX-Allarme anomalia mancato comando sx</v>
      </c>
      <c r="E574" t="str">
        <f>VLOOKUP(H574,'EXPORT IRIS PROD 13-11-2024'!F:F,1,0)</f>
        <v>ALR_ANOMALIA_COMANDO_DIR_SX</v>
      </c>
      <c r="F574" t="str">
        <f>VLOOKUP(I574,'EXPORT IRIS PROD 13-11-2024'!D:D,1,0)</f>
        <v>Allarme anomalia mancato comando sx</v>
      </c>
      <c r="G574" s="37" t="s">
        <v>85</v>
      </c>
      <c r="H574" s="38" t="s">
        <v>1096</v>
      </c>
      <c r="I574" s="45" t="s">
        <v>1097</v>
      </c>
      <c r="J574" s="46" t="s">
        <v>50</v>
      </c>
      <c r="K574" s="46" t="s">
        <v>124</v>
      </c>
      <c r="L574" s="40" t="s">
        <v>21</v>
      </c>
      <c r="M574" s="41" t="s">
        <v>22</v>
      </c>
      <c r="N574" s="42" t="s">
        <v>23</v>
      </c>
      <c r="O574" s="43" t="s">
        <v>24</v>
      </c>
      <c r="P574" s="42" t="s">
        <v>25</v>
      </c>
      <c r="Q574" s="42" t="s">
        <v>21</v>
      </c>
      <c r="R574" s="44"/>
    </row>
    <row r="575" spans="1:18" x14ac:dyDescent="0.25">
      <c r="A575" t="str">
        <f t="shared" si="16"/>
        <v>Impianto Ventilazione_Ventilatore_ALR_ANOMALIA_DA_QUADRO-Allarme anomalia da quadro</v>
      </c>
      <c r="B575" t="str">
        <f t="shared" si="17"/>
        <v>ALR_ANOMALIA_DA_QUADRO-Allarme anomalia da quadro</v>
      </c>
      <c r="C575" t="str">
        <f>VLOOKUP(B575,'[2]Classi allarmi RMT-STIG_rev4'!$C:$C,1,0)</f>
        <v>ALR_ANOMALIA_DA_QUADRO-Allarme anomalia da quadro</v>
      </c>
      <c r="D575" t="str">
        <f>VLOOKUP(B575,'EXPORT IRIS PROD 13-11-2024'!A:A,1,0)</f>
        <v>ALR_ANOMALIA_DA_QUADRO-Allarme anomalia da quadro</v>
      </c>
      <c r="E575" t="str">
        <f>VLOOKUP(H575,'EXPORT IRIS PROD 13-11-2024'!F:F,1,0)</f>
        <v>ALR_ANOMALIA_DA_QUADRO</v>
      </c>
      <c r="F575" t="str">
        <f>VLOOKUP(I575,'EXPORT IRIS PROD 13-11-2024'!D:D,1,0)</f>
        <v>Allarme anomalia da quadro</v>
      </c>
      <c r="G575" s="37" t="s">
        <v>85</v>
      </c>
      <c r="H575" s="38" t="s">
        <v>1098</v>
      </c>
      <c r="I575" s="45" t="s">
        <v>1099</v>
      </c>
      <c r="J575" s="46" t="s">
        <v>50</v>
      </c>
      <c r="K575" s="46" t="s">
        <v>124</v>
      </c>
      <c r="L575" s="40" t="s">
        <v>21</v>
      </c>
      <c r="M575" s="41" t="s">
        <v>22</v>
      </c>
      <c r="N575" s="42" t="s">
        <v>23</v>
      </c>
      <c r="O575" s="43" t="s">
        <v>24</v>
      </c>
      <c r="P575" s="42" t="s">
        <v>25</v>
      </c>
      <c r="Q575" s="42" t="s">
        <v>21</v>
      </c>
      <c r="R575" s="44"/>
    </row>
    <row r="576" spans="1:18" x14ac:dyDescent="0.25">
      <c r="A576" t="str">
        <f t="shared" si="16"/>
        <v>Impianto Canalizzazione_FC_ALR_ANOMALIA_DA_QUADRO-Allarme anomalia da quadro</v>
      </c>
      <c r="B576" t="str">
        <f t="shared" si="17"/>
        <v>ALR_ANOMALIA_DA_QUADRO-Allarme anomalia da quadro</v>
      </c>
      <c r="C576" t="str">
        <f>VLOOKUP(B576,'[2]Classi allarmi RMT-STIG_rev4'!$C:$C,1,0)</f>
        <v>ALR_ANOMALIA_DA_QUADRO-Allarme anomalia da quadro</v>
      </c>
      <c r="D576" t="str">
        <f>VLOOKUP(B576,'EXPORT IRIS PROD 13-11-2024'!A:A,1,0)</f>
        <v>ALR_ANOMALIA_DA_QUADRO-Allarme anomalia da quadro</v>
      </c>
      <c r="E576" t="str">
        <f>VLOOKUP(H576,'EXPORT IRIS PROD 13-11-2024'!F:F,1,0)</f>
        <v>ALR_ANOMALIA_DA_QUADRO</v>
      </c>
      <c r="F576" t="str">
        <f>VLOOKUP(I576,'EXPORT IRIS PROD 13-11-2024'!D:D,1,0)</f>
        <v>Allarme anomalia da quadro</v>
      </c>
      <c r="G576" s="37" t="s">
        <v>109</v>
      </c>
      <c r="H576" s="38" t="s">
        <v>1098</v>
      </c>
      <c r="I576" s="45" t="s">
        <v>1099</v>
      </c>
      <c r="J576" s="46" t="s">
        <v>111</v>
      </c>
      <c r="K576" s="46" t="s">
        <v>1100</v>
      </c>
      <c r="L576" s="40" t="s">
        <v>21</v>
      </c>
      <c r="M576" s="41" t="s">
        <v>22</v>
      </c>
      <c r="N576" s="42" t="s">
        <v>23</v>
      </c>
      <c r="O576" s="43" t="s">
        <v>24</v>
      </c>
      <c r="P576" s="42" t="s">
        <v>25</v>
      </c>
      <c r="Q576" s="42" t="s">
        <v>21</v>
      </c>
      <c r="R576" s="44"/>
    </row>
    <row r="577" spans="1:18" x14ac:dyDescent="0.25">
      <c r="A577" t="str">
        <f t="shared" si="16"/>
        <v>Impianto Elettrico_Quadro elettrico_ALR_ANOMALIA_DA_QUADRO-Allarme anomalia da quadro</v>
      </c>
      <c r="B577" t="str">
        <f t="shared" si="17"/>
        <v>ALR_ANOMALIA_DA_QUADRO-Allarme anomalia da quadro</v>
      </c>
      <c r="C577" t="str">
        <f>VLOOKUP(B577,'[2]Classi allarmi RMT-STIG_rev4'!$C:$C,1,0)</f>
        <v>ALR_ANOMALIA_DA_QUADRO-Allarme anomalia da quadro</v>
      </c>
      <c r="D577" t="str">
        <f>VLOOKUP(B577,'EXPORT IRIS PROD 13-11-2024'!A:A,1,0)</f>
        <v>ALR_ANOMALIA_DA_QUADRO-Allarme anomalia da quadro</v>
      </c>
      <c r="E577" t="str">
        <f>VLOOKUP(H577,'EXPORT IRIS PROD 13-11-2024'!F:F,1,0)</f>
        <v>ALR_ANOMALIA_DA_QUADRO</v>
      </c>
      <c r="F577" t="str">
        <f>VLOOKUP(I577,'EXPORT IRIS PROD 13-11-2024'!D:D,1,0)</f>
        <v>Allarme anomalia da quadro</v>
      </c>
      <c r="G577" s="37" t="s">
        <v>53</v>
      </c>
      <c r="H577" s="38" t="s">
        <v>1098</v>
      </c>
      <c r="I577" s="45" t="s">
        <v>1099</v>
      </c>
      <c r="J577" s="46" t="s">
        <v>56</v>
      </c>
      <c r="K577" s="46" t="s">
        <v>114</v>
      </c>
      <c r="L577" s="40" t="s">
        <v>21</v>
      </c>
      <c r="M577" s="41" t="s">
        <v>22</v>
      </c>
      <c r="N577" s="42" t="s">
        <v>23</v>
      </c>
      <c r="O577" s="43" t="s">
        <v>24</v>
      </c>
      <c r="P577" s="42" t="s">
        <v>25</v>
      </c>
      <c r="Q577" s="42" t="s">
        <v>21</v>
      </c>
      <c r="R577" s="44"/>
    </row>
    <row r="578" spans="1:18" x14ac:dyDescent="0.25">
      <c r="A578" t="str">
        <f t="shared" ref="A578:A641" si="18">CONCATENATE(J578,"_",K578,"_",B578)</f>
        <v>Impianto sos_Colonnina SOS_ALR_ANTA_SOS-Allarme apertura anta colonnina SOS</v>
      </c>
      <c r="B578" t="str">
        <f t="shared" si="17"/>
        <v>ALR_ANTA_SOS-Allarme apertura anta colonnina SOS</v>
      </c>
      <c r="C578" t="str">
        <f>VLOOKUP(B578,'[2]Classi allarmi RMT-STIG_rev4'!$C:$C,1,0)</f>
        <v>ALR_ANTA_SOS-Allarme apertura anta colonnina SOS</v>
      </c>
      <c r="D578" t="str">
        <f>VLOOKUP(B578,'EXPORT IRIS PROD 13-11-2024'!A:A,1,0)</f>
        <v>ALR_ANTA_SOS-Allarme apertura anta colonnina SOS</v>
      </c>
      <c r="E578" t="str">
        <f>VLOOKUP(H578,'EXPORT IRIS PROD 13-11-2024'!F:F,1,0)</f>
        <v>ALR_ANTA_SOS</v>
      </c>
      <c r="F578" t="str">
        <f>VLOOKUP(I578,'EXPORT IRIS PROD 13-11-2024'!D:D,1,0)</f>
        <v>Allarme apertura anta colonnina SOS</v>
      </c>
      <c r="G578" s="37" t="s">
        <v>89</v>
      </c>
      <c r="H578" s="38" t="s">
        <v>1101</v>
      </c>
      <c r="I578" s="45" t="s">
        <v>1102</v>
      </c>
      <c r="J578" s="46" t="s">
        <v>1103</v>
      </c>
      <c r="K578" s="46" t="s">
        <v>360</v>
      </c>
      <c r="L578" s="40" t="s">
        <v>21</v>
      </c>
      <c r="M578" s="41" t="s">
        <v>22</v>
      </c>
      <c r="N578" s="42" t="s">
        <v>23</v>
      </c>
      <c r="O578" s="43" t="s">
        <v>24</v>
      </c>
      <c r="P578" s="42" t="s">
        <v>25</v>
      </c>
      <c r="Q578" s="42" t="s">
        <v>21</v>
      </c>
      <c r="R578" s="44"/>
    </row>
    <row r="579" spans="1:18" x14ac:dyDescent="0.25">
      <c r="A579" t="str">
        <f t="shared" si="18"/>
        <v>Impianto Ventilazione_Ventilatore_ALR_ASSENZA_ALIMENTAZIONE-Allarme assenza alimentazione</v>
      </c>
      <c r="B579" t="str">
        <f t="shared" ref="B579:B642" si="19">CONCATENATE(H579,"-",I579)</f>
        <v>ALR_ASSENZA_ALIMENTAZIONE-Allarme assenza alimentazione</v>
      </c>
      <c r="C579" t="str">
        <f>VLOOKUP(B579,'[2]Classi allarmi RMT-STIG_rev4'!$C:$C,1,0)</f>
        <v>ALR_ASSENZA_ALIMENTAZIONE-Allarme assenza alimentazione</v>
      </c>
      <c r="D579" t="str">
        <f>VLOOKUP(B579,'EXPORT IRIS PROD 13-11-2024'!A:A,1,0)</f>
        <v>ALR_ASSENZA_ALIMENTAZIONE-Allarme assenza alimentazione</v>
      </c>
      <c r="E579" t="str">
        <f>VLOOKUP(H579,'EXPORT IRIS PROD 13-11-2024'!F:F,1,0)</f>
        <v>ALR_ASSENZA_ALIMENTAZIONE</v>
      </c>
      <c r="F579" t="str">
        <f>VLOOKUP(I579,'EXPORT IRIS PROD 13-11-2024'!D:D,1,0)</f>
        <v>Allarme assenza alimentazione</v>
      </c>
      <c r="G579" s="37" t="s">
        <v>85</v>
      </c>
      <c r="H579" s="38" t="s">
        <v>1104</v>
      </c>
      <c r="I579" s="45" t="s">
        <v>1105</v>
      </c>
      <c r="J579" s="46" t="s">
        <v>50</v>
      </c>
      <c r="K579" s="46" t="s">
        <v>124</v>
      </c>
      <c r="L579" s="40" t="s">
        <v>21</v>
      </c>
      <c r="M579" s="41" t="s">
        <v>22</v>
      </c>
      <c r="N579" s="42" t="s">
        <v>23</v>
      </c>
      <c r="O579" s="43" t="s">
        <v>24</v>
      </c>
      <c r="P579" s="42" t="s">
        <v>25</v>
      </c>
      <c r="Q579" s="42" t="s">
        <v>21</v>
      </c>
      <c r="R579" s="44"/>
    </row>
    <row r="580" spans="1:18" x14ac:dyDescent="0.25">
      <c r="A580" t="str">
        <f t="shared" si="18"/>
        <v>Impianto elettrico_Centrale scambio rete-ups_ALR_ASSENZA_ALIMENTAZIONE-Allarme assenza alimentazione</v>
      </c>
      <c r="B580" t="str">
        <f t="shared" si="19"/>
        <v>ALR_ASSENZA_ALIMENTAZIONE-Allarme assenza alimentazione</v>
      </c>
      <c r="C580" t="str">
        <f>VLOOKUP(B580,'[2]Classi allarmi RMT-STIG_rev4'!$C:$C,1,0)</f>
        <v>ALR_ASSENZA_ALIMENTAZIONE-Allarme assenza alimentazione</v>
      </c>
      <c r="D580" t="str">
        <f>VLOOKUP(B580,'EXPORT IRIS PROD 13-11-2024'!A:A,1,0)</f>
        <v>ALR_ASSENZA_ALIMENTAZIONE-Allarme assenza alimentazione</v>
      </c>
      <c r="E580" t="str">
        <f>VLOOKUP(H580,'EXPORT IRIS PROD 13-11-2024'!F:F,1,0)</f>
        <v>ALR_ASSENZA_ALIMENTAZIONE</v>
      </c>
      <c r="F580" t="str">
        <f>VLOOKUP(I580,'EXPORT IRIS PROD 13-11-2024'!D:D,1,0)</f>
        <v>Allarme assenza alimentazione</v>
      </c>
      <c r="G580" s="37" t="s">
        <v>53</v>
      </c>
      <c r="H580" s="38" t="s">
        <v>1104</v>
      </c>
      <c r="I580" s="45" t="s">
        <v>1105</v>
      </c>
      <c r="J580" s="46" t="s">
        <v>1106</v>
      </c>
      <c r="K580" s="46" t="s">
        <v>1107</v>
      </c>
      <c r="L580" s="40" t="s">
        <v>21</v>
      </c>
      <c r="M580" s="41" t="s">
        <v>22</v>
      </c>
      <c r="N580" s="42" t="s">
        <v>23</v>
      </c>
      <c r="O580" s="43" t="s">
        <v>24</v>
      </c>
      <c r="P580" s="42" t="s">
        <v>25</v>
      </c>
      <c r="Q580" s="42" t="s">
        <v>21</v>
      </c>
      <c r="R580" s="44"/>
    </row>
    <row r="581" spans="1:18" x14ac:dyDescent="0.25">
      <c r="A581" t="str">
        <f t="shared" si="18"/>
        <v>Impianto Radio_Route radio_ALR_ASSENZA_ALIMENTAZIONE-Allarme assenza alimentazione</v>
      </c>
      <c r="B581" t="str">
        <f t="shared" si="19"/>
        <v>ALR_ASSENZA_ALIMENTAZIONE-Allarme assenza alimentazione</v>
      </c>
      <c r="C581" t="str">
        <f>VLOOKUP(B581,'[2]Classi allarmi RMT-STIG_rev4'!$C:$C,1,0)</f>
        <v>ALR_ASSENZA_ALIMENTAZIONE-Allarme assenza alimentazione</v>
      </c>
      <c r="D581" t="str">
        <f>VLOOKUP(B581,'EXPORT IRIS PROD 13-11-2024'!A:A,1,0)</f>
        <v>ALR_ASSENZA_ALIMENTAZIONE-Allarme assenza alimentazione</v>
      </c>
      <c r="E581" t="str">
        <f>VLOOKUP(H581,'EXPORT IRIS PROD 13-11-2024'!F:F,1,0)</f>
        <v>ALR_ASSENZA_ALIMENTAZIONE</v>
      </c>
      <c r="F581" t="str">
        <f>VLOOKUP(I581,'EXPORT IRIS PROD 13-11-2024'!D:D,1,0)</f>
        <v>Allarme assenza alimentazione</v>
      </c>
      <c r="G581" s="37" t="s">
        <v>1108</v>
      </c>
      <c r="H581" s="38" t="s">
        <v>1104</v>
      </c>
      <c r="I581" s="45" t="s">
        <v>1105</v>
      </c>
      <c r="J581" s="46" t="s">
        <v>1109</v>
      </c>
      <c r="K581" s="46" t="s">
        <v>1110</v>
      </c>
      <c r="L581" s="40" t="s">
        <v>21</v>
      </c>
      <c r="M581" s="41" t="s">
        <v>22</v>
      </c>
      <c r="N581" s="42" t="s">
        <v>23</v>
      </c>
      <c r="O581" s="43" t="s">
        <v>24</v>
      </c>
      <c r="P581" s="42" t="s">
        <v>25</v>
      </c>
      <c r="Q581" s="42" t="s">
        <v>21</v>
      </c>
      <c r="R581" s="44"/>
    </row>
    <row r="582" spans="1:18" x14ac:dyDescent="0.25">
      <c r="A582" t="str">
        <f t="shared" si="18"/>
        <v>Impianto Elettrico_UPS_ALR_ASSENZA_TENSIONE_2_IMP-Allarme assenza tensione dispositivo</v>
      </c>
      <c r="B582" t="str">
        <f t="shared" si="19"/>
        <v>ALR_ASSENZA_TENSIONE_2_IMP-Allarme assenza tensione dispositivo</v>
      </c>
      <c r="C582" t="str">
        <f>VLOOKUP(B582,'[2]Classi allarmi RMT-STIG_rev4'!$C:$C,1,0)</f>
        <v>ALR_ASSENZA_TENSIONE_2_IMP-Allarme assenza tensione dispositivo</v>
      </c>
      <c r="D582" t="str">
        <f>VLOOKUP(B582,'EXPORT IRIS PROD 13-11-2024'!A:A,1,0)</f>
        <v>ALR_ASSENZA_TENSIONE_2_IMP-Allarme assenza tensione dispositivo</v>
      </c>
      <c r="E582" t="str">
        <f>VLOOKUP(H582,'EXPORT IRIS PROD 13-11-2024'!F:F,1,0)</f>
        <v>ALR_ASSENZA_TENSIONE_2_IMP</v>
      </c>
      <c r="F582" t="str">
        <f>VLOOKUP(I582,'EXPORT IRIS PROD 13-11-2024'!D:D,1,0)</f>
        <v>Allarme assenza tensione dispositivo</v>
      </c>
      <c r="G582" s="37" t="s">
        <v>53</v>
      </c>
      <c r="H582" s="38" t="s">
        <v>110</v>
      </c>
      <c r="I582" s="38" t="s">
        <v>107</v>
      </c>
      <c r="J582" s="39" t="s">
        <v>56</v>
      </c>
      <c r="K582" s="39" t="s">
        <v>104</v>
      </c>
      <c r="L582" s="40" t="s">
        <v>21</v>
      </c>
      <c r="M582" s="41" t="s">
        <v>22</v>
      </c>
      <c r="N582" s="42" t="s">
        <v>23</v>
      </c>
      <c r="O582" s="43" t="s">
        <v>24</v>
      </c>
      <c r="P582" s="42" t="s">
        <v>25</v>
      </c>
      <c r="Q582" s="42" t="s">
        <v>21</v>
      </c>
      <c r="R582" s="44"/>
    </row>
    <row r="583" spans="1:18" x14ac:dyDescent="0.25">
      <c r="A583" t="str">
        <f t="shared" si="18"/>
        <v>Smart road_Palo tecnologico_ALR_ASSENZA_TENSIONE_24V-Allarme assenza tensione 24V</v>
      </c>
      <c r="B583" t="str">
        <f t="shared" si="19"/>
        <v>ALR_ASSENZA_TENSIONE_24V-Allarme assenza tensione 24V</v>
      </c>
      <c r="C583" t="str">
        <f>VLOOKUP(B583,'[2]Classi allarmi RMT-STIG_rev4'!$C:$C,1,0)</f>
        <v>ALR_ASSENZA_TENSIONE_24V-Allarme assenza tensione 24V</v>
      </c>
      <c r="D583" t="str">
        <f>VLOOKUP(B583,'EXPORT IRIS PROD 13-11-2024'!A:A,1,0)</f>
        <v>ALR_ASSENZA_TENSIONE_24V-Allarme assenza tensione 24V</v>
      </c>
      <c r="E583" t="str">
        <f>VLOOKUP(H583,'EXPORT IRIS PROD 13-11-2024'!F:F,1,0)</f>
        <v>ALR_ASSENZA_TENSIONE_24V</v>
      </c>
      <c r="F583" t="str">
        <f>VLOOKUP(I583,'EXPORT IRIS PROD 13-11-2024'!D:D,1,0)</f>
        <v>Allarme assenza tensione 24V</v>
      </c>
      <c r="G583" s="37" t="s">
        <v>1088</v>
      </c>
      <c r="H583" s="38" t="s">
        <v>1111</v>
      </c>
      <c r="I583" s="45" t="s">
        <v>1112</v>
      </c>
      <c r="J583" s="46" t="s">
        <v>1113</v>
      </c>
      <c r="K583" s="46" t="s">
        <v>1091</v>
      </c>
      <c r="L583" s="40" t="s">
        <v>21</v>
      </c>
      <c r="M583" s="41" t="s">
        <v>22</v>
      </c>
      <c r="N583" s="42" t="s">
        <v>23</v>
      </c>
      <c r="O583" s="43" t="s">
        <v>24</v>
      </c>
      <c r="P583" s="42" t="s">
        <v>25</v>
      </c>
      <c r="Q583" s="42" t="s">
        <v>21</v>
      </c>
      <c r="R583" s="44"/>
    </row>
    <row r="584" spans="1:18" x14ac:dyDescent="0.25">
      <c r="A584" t="str">
        <f t="shared" si="18"/>
        <v>Impianto elettrico_Quadro elettrico_ALR_ASSENZA_TENSIONE_400V-Allarme assenza tensione 400V</v>
      </c>
      <c r="B584" t="str">
        <f t="shared" si="19"/>
        <v>ALR_ASSENZA_TENSIONE_400V-Allarme assenza tensione 400V</v>
      </c>
      <c r="C584" t="str">
        <f>VLOOKUP(B584,'[2]Classi allarmi RMT-STIG_rev4'!$C:$C,1,0)</f>
        <v>ALR_ASSENZA_TENSIONE_400V-Allarme assenza tensione 400V</v>
      </c>
      <c r="D584" t="str">
        <f>VLOOKUP(B584,'EXPORT IRIS PROD 13-11-2024'!A:A,1,0)</f>
        <v>ALR_ASSENZA_TENSIONE_400V-Allarme assenza tensione 400V</v>
      </c>
      <c r="E584" t="str">
        <f>VLOOKUP(H584,'EXPORT IRIS PROD 13-11-2024'!F:F,1,0)</f>
        <v>ALR_ASSENZA_TENSIONE_400V</v>
      </c>
      <c r="F584" t="str">
        <f>VLOOKUP(I584,'EXPORT IRIS PROD 13-11-2024'!D:D,1,0)</f>
        <v>Allarme assenza tensione 400V</v>
      </c>
      <c r="G584" s="37" t="s">
        <v>53</v>
      </c>
      <c r="H584" s="38" t="s">
        <v>1114</v>
      </c>
      <c r="I584" s="45" t="s">
        <v>1115</v>
      </c>
      <c r="J584" s="46" t="s">
        <v>1106</v>
      </c>
      <c r="K584" s="46" t="s">
        <v>114</v>
      </c>
      <c r="L584" s="40" t="s">
        <v>21</v>
      </c>
      <c r="M584" s="41" t="s">
        <v>22</v>
      </c>
      <c r="N584" s="42" t="s">
        <v>23</v>
      </c>
      <c r="O584" s="43" t="s">
        <v>24</v>
      </c>
      <c r="P584" s="42" t="s">
        <v>25</v>
      </c>
      <c r="Q584" s="42" t="s">
        <v>21</v>
      </c>
      <c r="R584" s="44"/>
    </row>
    <row r="585" spans="1:18" x14ac:dyDescent="0.25">
      <c r="A585" t="str">
        <f t="shared" si="18"/>
        <v>Impianto Elettrico_Quadro elettrico_ALR_ASSENZA_TENSIONE_400V-Allarme assenza tensione 400V</v>
      </c>
      <c r="B585" t="str">
        <f t="shared" si="19"/>
        <v>ALR_ASSENZA_TENSIONE_400V-Allarme assenza tensione 400V</v>
      </c>
      <c r="C585" t="str">
        <f>VLOOKUP(B585,'[2]Classi allarmi RMT-STIG_rev4'!$C:$C,1,0)</f>
        <v>ALR_ASSENZA_TENSIONE_400V-Allarme assenza tensione 400V</v>
      </c>
      <c r="D585" t="str">
        <f>VLOOKUP(B585,'EXPORT IRIS PROD 13-11-2024'!A:A,1,0)</f>
        <v>ALR_ASSENZA_TENSIONE_400V-Allarme assenza tensione 400V</v>
      </c>
      <c r="E585" t="str">
        <f>VLOOKUP(H585,'EXPORT IRIS PROD 13-11-2024'!F:F,1,0)</f>
        <v>ALR_ASSENZA_TENSIONE_400V</v>
      </c>
      <c r="F585" t="str">
        <f>VLOOKUP(I585,'EXPORT IRIS PROD 13-11-2024'!D:D,1,0)</f>
        <v>Allarme assenza tensione 400V</v>
      </c>
      <c r="G585" s="37" t="s">
        <v>53</v>
      </c>
      <c r="H585" s="38" t="s">
        <v>1114</v>
      </c>
      <c r="I585" s="45" t="s">
        <v>1115</v>
      </c>
      <c r="J585" s="46" t="s">
        <v>56</v>
      </c>
      <c r="K585" s="46" t="s">
        <v>114</v>
      </c>
      <c r="L585" s="40" t="s">
        <v>21</v>
      </c>
      <c r="M585" s="41" t="s">
        <v>22</v>
      </c>
      <c r="N585" s="42" t="s">
        <v>23</v>
      </c>
      <c r="O585" s="43" t="s">
        <v>24</v>
      </c>
      <c r="P585" s="42" t="s">
        <v>25</v>
      </c>
      <c r="Q585" s="42" t="s">
        <v>21</v>
      </c>
      <c r="R585" s="95" t="s">
        <v>2042</v>
      </c>
    </row>
    <row r="586" spans="1:18" x14ac:dyDescent="0.25">
      <c r="A586" t="str">
        <f t="shared" si="18"/>
        <v>Smart road_Palo tecnologico_ALR_ASSENZA_TENSIONE_48V-Allarme assenza tensione 48V</v>
      </c>
      <c r="B586" t="str">
        <f t="shared" si="19"/>
        <v>ALR_ASSENZA_TENSIONE_48V-Allarme assenza tensione 48V</v>
      </c>
      <c r="C586" t="str">
        <f>VLOOKUP(B586,'[2]Classi allarmi RMT-STIG_rev4'!$C:$C,1,0)</f>
        <v>ALR_ASSENZA_TENSIONE_48V-Allarme assenza tensione 48V</v>
      </c>
      <c r="D586" t="str">
        <f>VLOOKUP(B586,'EXPORT IRIS PROD 13-11-2024'!A:A,1,0)</f>
        <v>ALR_ASSENZA_TENSIONE_48V-Allarme assenza tensione 48V</v>
      </c>
      <c r="E586" t="str">
        <f>VLOOKUP(H586,'EXPORT IRIS PROD 13-11-2024'!F:F,1,0)</f>
        <v>ALR_ASSENZA_TENSIONE_48V</v>
      </c>
      <c r="F586" t="str">
        <f>VLOOKUP(I586,'EXPORT IRIS PROD 13-11-2024'!D:D,1,0)</f>
        <v>Allarme assenza tensione 48V</v>
      </c>
      <c r="G586" s="37" t="s">
        <v>1088</v>
      </c>
      <c r="H586" s="38" t="s">
        <v>1116</v>
      </c>
      <c r="I586" s="45" t="s">
        <v>1117</v>
      </c>
      <c r="J586" s="46" t="s">
        <v>1113</v>
      </c>
      <c r="K586" s="46" t="s">
        <v>1091</v>
      </c>
      <c r="L586" s="40" t="s">
        <v>21</v>
      </c>
      <c r="M586" s="41" t="s">
        <v>22</v>
      </c>
      <c r="N586" s="42" t="s">
        <v>23</v>
      </c>
      <c r="O586" s="43" t="s">
        <v>24</v>
      </c>
      <c r="P586" s="42" t="s">
        <v>25</v>
      </c>
      <c r="Q586" s="42" t="s">
        <v>21</v>
      </c>
      <c r="R586" s="44"/>
    </row>
    <row r="587" spans="1:18" x14ac:dyDescent="0.25">
      <c r="A587" t="str">
        <f t="shared" si="18"/>
        <v>Impianto elettrico_Quadro elettrico_ALR_ASSENZA_TENSIONE_690V-Allarme assenza tensione 690V</v>
      </c>
      <c r="B587" t="str">
        <f t="shared" si="19"/>
        <v>ALR_ASSENZA_TENSIONE_690V-Allarme assenza tensione 690V</v>
      </c>
      <c r="C587" t="str">
        <f>VLOOKUP(B587,'[2]Classi allarmi RMT-STIG_rev4'!$C:$C,1,0)</f>
        <v>ALR_ASSENZA_TENSIONE_690V-Allarme assenza tensione 690V</v>
      </c>
      <c r="D587" t="str">
        <f>VLOOKUP(B587,'EXPORT IRIS PROD 13-11-2024'!A:A,1,0)</f>
        <v>ALR_ASSENZA_TENSIONE_690V-Allarme assenza tensione 690V</v>
      </c>
      <c r="E587" t="str">
        <f>VLOOKUP(H587,'EXPORT IRIS PROD 13-11-2024'!F:F,1,0)</f>
        <v>ALR_ASSENZA_TENSIONE_690V</v>
      </c>
      <c r="F587" t="str">
        <f>VLOOKUP(I587,'EXPORT IRIS PROD 13-11-2024'!D:D,1,0)</f>
        <v>Allarme assenza tensione 690V</v>
      </c>
      <c r="G587" s="37" t="s">
        <v>53</v>
      </c>
      <c r="H587" s="38" t="s">
        <v>1118</v>
      </c>
      <c r="I587" s="45" t="s">
        <v>1119</v>
      </c>
      <c r="J587" s="46" t="s">
        <v>1106</v>
      </c>
      <c r="K587" s="46" t="s">
        <v>114</v>
      </c>
      <c r="L587" s="40" t="s">
        <v>21</v>
      </c>
      <c r="M587" s="41" t="s">
        <v>22</v>
      </c>
      <c r="N587" s="42" t="s">
        <v>23</v>
      </c>
      <c r="O587" s="43" t="s">
        <v>24</v>
      </c>
      <c r="P587" s="42" t="s">
        <v>25</v>
      </c>
      <c r="Q587" s="42" t="s">
        <v>21</v>
      </c>
      <c r="R587" s="44"/>
    </row>
    <row r="588" spans="1:18" x14ac:dyDescent="0.25">
      <c r="A588" t="str">
        <f t="shared" si="18"/>
        <v>Impianto Elettrico_Quadro elettrico_ALR_ASSENZA_TENSIONE_690V-Allarme assenza tensione 690V</v>
      </c>
      <c r="B588" t="str">
        <f t="shared" si="19"/>
        <v>ALR_ASSENZA_TENSIONE_690V-Allarme assenza tensione 690V</v>
      </c>
      <c r="C588" t="str">
        <f>VLOOKUP(B588,'[2]Classi allarmi RMT-STIG_rev4'!$C:$C,1,0)</f>
        <v>ALR_ASSENZA_TENSIONE_690V-Allarme assenza tensione 690V</v>
      </c>
      <c r="D588" t="str">
        <f>VLOOKUP(B588,'EXPORT IRIS PROD 13-11-2024'!A:A,1,0)</f>
        <v>ALR_ASSENZA_TENSIONE_690V-Allarme assenza tensione 690V</v>
      </c>
      <c r="E588" t="str">
        <f>VLOOKUP(H588,'EXPORT IRIS PROD 13-11-2024'!F:F,1,0)</f>
        <v>ALR_ASSENZA_TENSIONE_690V</v>
      </c>
      <c r="F588" t="str">
        <f>VLOOKUP(I588,'EXPORT IRIS PROD 13-11-2024'!D:D,1,0)</f>
        <v>Allarme assenza tensione 690V</v>
      </c>
      <c r="G588" s="37" t="s">
        <v>53</v>
      </c>
      <c r="H588" s="38" t="s">
        <v>1118</v>
      </c>
      <c r="I588" s="45" t="s">
        <v>1119</v>
      </c>
      <c r="J588" s="46" t="s">
        <v>56</v>
      </c>
      <c r="K588" s="46" t="s">
        <v>114</v>
      </c>
      <c r="L588" s="40" t="s">
        <v>21</v>
      </c>
      <c r="M588" s="41" t="s">
        <v>22</v>
      </c>
      <c r="N588" s="42" t="s">
        <v>23</v>
      </c>
      <c r="O588" s="43" t="s">
        <v>24</v>
      </c>
      <c r="P588" s="42" t="s">
        <v>25</v>
      </c>
      <c r="Q588" s="42" t="s">
        <v>21</v>
      </c>
      <c r="R588" s="95" t="s">
        <v>2043</v>
      </c>
    </row>
    <row r="589" spans="1:18" x14ac:dyDescent="0.25">
      <c r="A589" t="str">
        <f t="shared" si="18"/>
        <v>Impianto elettrico_Cabina elettrica_ALR_ASSENZA_TENSIONE_ALIM_PALI-Allarme assenza tensione dispositivo alimentazione pali</v>
      </c>
      <c r="B589" t="str">
        <f t="shared" si="19"/>
        <v>ALR_ASSENZA_TENSIONE_ALIM_PALI-Allarme assenza tensione dispositivo alimentazione pali</v>
      </c>
      <c r="C589" t="str">
        <f>VLOOKUP(B589,'[2]Classi allarmi RMT-STIG_rev4'!$C:$C,1,0)</f>
        <v>ALR_ASSENZA_TENSIONE_ALIM_PALI-Allarme assenza tensione dispositivo alimentazione pali</v>
      </c>
      <c r="D589" t="str">
        <f>VLOOKUP(B589,'EXPORT IRIS PROD 13-11-2024'!A:A,1,0)</f>
        <v>ALR_ASSENZA_TENSIONE_ALIM_PALI-Allarme assenza tensione dispositivo alimentazione pali</v>
      </c>
      <c r="E589" t="str">
        <f>VLOOKUP(H589,'EXPORT IRIS PROD 13-11-2024'!F:F,1,0)</f>
        <v>ALR_ASSENZA_TENSIONE_ALIM_PALI</v>
      </c>
      <c r="F589" t="str">
        <f>VLOOKUP(I589,'EXPORT IRIS PROD 13-11-2024'!D:D,1,0)</f>
        <v>Allarme assenza tensione dispositivo alimentazione pali</v>
      </c>
      <c r="G589" s="37" t="s">
        <v>53</v>
      </c>
      <c r="H589" s="38" t="s">
        <v>1120</v>
      </c>
      <c r="I589" s="45" t="s">
        <v>1121</v>
      </c>
      <c r="J589" s="46" t="s">
        <v>1106</v>
      </c>
      <c r="K589" s="46" t="s">
        <v>1122</v>
      </c>
      <c r="L589" s="40" t="s">
        <v>21</v>
      </c>
      <c r="M589" s="41" t="s">
        <v>22</v>
      </c>
      <c r="N589" s="42" t="s">
        <v>23</v>
      </c>
      <c r="O589" s="43" t="s">
        <v>24</v>
      </c>
      <c r="P589" s="42" t="s">
        <v>25</v>
      </c>
      <c r="Q589" s="42" t="s">
        <v>21</v>
      </c>
      <c r="R589" s="44"/>
    </row>
    <row r="590" spans="1:18" x14ac:dyDescent="0.25">
      <c r="A590" t="str">
        <f t="shared" si="18"/>
        <v>Impianto Elettrico_Cabina elettrica_ALR_ASSENZA_TENSIONE_ALIM_PALI-Allarme assenza tensione dispositivo alimentazione pali</v>
      </c>
      <c r="B590" t="str">
        <f t="shared" si="19"/>
        <v>ALR_ASSENZA_TENSIONE_ALIM_PALI-Allarme assenza tensione dispositivo alimentazione pali</v>
      </c>
      <c r="C590" t="str">
        <f>VLOOKUP(B590,'[2]Classi allarmi RMT-STIG_rev4'!$C:$C,1,0)</f>
        <v>ALR_ASSENZA_TENSIONE_ALIM_PALI-Allarme assenza tensione dispositivo alimentazione pali</v>
      </c>
      <c r="D590" t="str">
        <f>VLOOKUP(B590,'EXPORT IRIS PROD 13-11-2024'!A:A,1,0)</f>
        <v>ALR_ASSENZA_TENSIONE_ALIM_PALI-Allarme assenza tensione dispositivo alimentazione pali</v>
      </c>
      <c r="E590" t="str">
        <f>VLOOKUP(H590,'EXPORT IRIS PROD 13-11-2024'!F:F,1,0)</f>
        <v>ALR_ASSENZA_TENSIONE_ALIM_PALI</v>
      </c>
      <c r="F590" t="str">
        <f>VLOOKUP(I590,'EXPORT IRIS PROD 13-11-2024'!D:D,1,0)</f>
        <v>Allarme assenza tensione dispositivo alimentazione pali</v>
      </c>
      <c r="G590" s="37" t="s">
        <v>53</v>
      </c>
      <c r="H590" s="38" t="s">
        <v>1120</v>
      </c>
      <c r="I590" s="45" t="s">
        <v>1121</v>
      </c>
      <c r="J590" s="46" t="s">
        <v>56</v>
      </c>
      <c r="K590" s="46" t="s">
        <v>1122</v>
      </c>
      <c r="L590" s="40" t="s">
        <v>21</v>
      </c>
      <c r="M590" s="41" t="s">
        <v>22</v>
      </c>
      <c r="N590" s="42" t="s">
        <v>23</v>
      </c>
      <c r="O590" s="43" t="s">
        <v>24</v>
      </c>
      <c r="P590" s="42" t="s">
        <v>25</v>
      </c>
      <c r="Q590" s="42" t="s">
        <v>21</v>
      </c>
      <c r="R590" s="95" t="s">
        <v>2044</v>
      </c>
    </row>
    <row r="591" spans="1:18" x14ac:dyDescent="0.25">
      <c r="A591" t="str">
        <f t="shared" si="18"/>
        <v>Impianto elettrico_Cabina elettrica_ALR_ASSENZA_TENSIONE_ALIM_TORRI-Allarme assenza tensione dispositivo alimentazione torri</v>
      </c>
      <c r="B591" t="str">
        <f t="shared" si="19"/>
        <v>ALR_ASSENZA_TENSIONE_ALIM_TORRI-Allarme assenza tensione dispositivo alimentazione torri</v>
      </c>
      <c r="C591" t="str">
        <f>VLOOKUP(B591,'[2]Classi allarmi RMT-STIG_rev4'!$C:$C,1,0)</f>
        <v>ALR_ASSENZA_TENSIONE_ALIM_TORRI-Allarme assenza tensione dispositivo alimentazione torri</v>
      </c>
      <c r="D591" t="str">
        <f>VLOOKUP(B591,'EXPORT IRIS PROD 13-11-2024'!A:A,1,0)</f>
        <v>ALR_ASSENZA_TENSIONE_ALIM_TORRI-Allarme assenza tensione dispositivo alimentazione torri</v>
      </c>
      <c r="E591" t="str">
        <f>VLOOKUP(H591,'EXPORT IRIS PROD 13-11-2024'!F:F,1,0)</f>
        <v>ALR_ASSENZA_TENSIONE_ALIM_TORRI</v>
      </c>
      <c r="F591" t="str">
        <f>VLOOKUP(I591,'EXPORT IRIS PROD 13-11-2024'!D:D,1,0)</f>
        <v>Allarme assenza tensione dispositivo alimentazione torri</v>
      </c>
      <c r="G591" s="37" t="s">
        <v>53</v>
      </c>
      <c r="H591" s="38" t="s">
        <v>1123</v>
      </c>
      <c r="I591" s="45" t="s">
        <v>1124</v>
      </c>
      <c r="J591" s="46" t="s">
        <v>1106</v>
      </c>
      <c r="K591" s="46" t="s">
        <v>1122</v>
      </c>
      <c r="L591" s="40" t="s">
        <v>21</v>
      </c>
      <c r="M591" s="41" t="s">
        <v>22</v>
      </c>
      <c r="N591" s="42" t="s">
        <v>23</v>
      </c>
      <c r="O591" s="43" t="s">
        <v>24</v>
      </c>
      <c r="P591" s="42" t="s">
        <v>25</v>
      </c>
      <c r="Q591" s="42" t="s">
        <v>21</v>
      </c>
      <c r="R591" s="44"/>
    </row>
    <row r="592" spans="1:18" x14ac:dyDescent="0.25">
      <c r="A592" t="str">
        <f t="shared" si="18"/>
        <v>Impianto Elettrico_Cabina elettrica_ALR_ASSENZA_TENSIONE_ALIM_TORRI-Allarme assenza tensione dispositivo alimentazione torri</v>
      </c>
      <c r="B592" t="str">
        <f t="shared" si="19"/>
        <v>ALR_ASSENZA_TENSIONE_ALIM_TORRI-Allarme assenza tensione dispositivo alimentazione torri</v>
      </c>
      <c r="C592" t="str">
        <f>VLOOKUP(B592,'[2]Classi allarmi RMT-STIG_rev4'!$C:$C,1,0)</f>
        <v>ALR_ASSENZA_TENSIONE_ALIM_TORRI-Allarme assenza tensione dispositivo alimentazione torri</v>
      </c>
      <c r="D592" t="str">
        <f>VLOOKUP(B592,'EXPORT IRIS PROD 13-11-2024'!A:A,1,0)</f>
        <v>ALR_ASSENZA_TENSIONE_ALIM_TORRI-Allarme assenza tensione dispositivo alimentazione torri</v>
      </c>
      <c r="E592" t="str">
        <f>VLOOKUP(H592,'EXPORT IRIS PROD 13-11-2024'!F:F,1,0)</f>
        <v>ALR_ASSENZA_TENSIONE_ALIM_TORRI</v>
      </c>
      <c r="F592" t="str">
        <f>VLOOKUP(I592,'EXPORT IRIS PROD 13-11-2024'!D:D,1,0)</f>
        <v>Allarme assenza tensione dispositivo alimentazione torri</v>
      </c>
      <c r="G592" s="37" t="s">
        <v>53</v>
      </c>
      <c r="H592" s="38" t="s">
        <v>1123</v>
      </c>
      <c r="I592" s="45" t="s">
        <v>1124</v>
      </c>
      <c r="J592" s="46" t="s">
        <v>56</v>
      </c>
      <c r="K592" s="46" t="s">
        <v>1122</v>
      </c>
      <c r="L592" s="40" t="s">
        <v>21</v>
      </c>
      <c r="M592" s="41" t="s">
        <v>22</v>
      </c>
      <c r="N592" s="42" t="s">
        <v>23</v>
      </c>
      <c r="O592" s="43" t="s">
        <v>24</v>
      </c>
      <c r="P592" s="42" t="s">
        <v>25</v>
      </c>
      <c r="Q592" s="42" t="s">
        <v>21</v>
      </c>
      <c r="R592" s="95" t="s">
        <v>2045</v>
      </c>
    </row>
    <row r="593" spans="1:18" x14ac:dyDescent="0.25">
      <c r="A593" t="str">
        <f t="shared" si="18"/>
        <v>Impianto elettrico_Quadro elettrico_ALR_ASSENZA_TENSIONE_AUX-Allarme assenza tensione aux</v>
      </c>
      <c r="B593" t="str">
        <f t="shared" si="19"/>
        <v>ALR_ASSENZA_TENSIONE_AUX-Allarme assenza tensione aux</v>
      </c>
      <c r="C593" t="str">
        <f>VLOOKUP(B593,'[2]Classi allarmi RMT-STIG_rev4'!$C:$C,1,0)</f>
        <v>ALR_ASSENZA_TENSIONE_AUX-Allarme assenza tensione aux</v>
      </c>
      <c r="D593" t="str">
        <f>VLOOKUP(B593,'EXPORT IRIS PROD 13-11-2024'!A:A,1,0)</f>
        <v>ALR_ASSENZA_TENSIONE_AUX-Allarme assenza tensione aux</v>
      </c>
      <c r="E593" t="str">
        <f>VLOOKUP(H593,'EXPORT IRIS PROD 13-11-2024'!F:F,1,0)</f>
        <v>ALR_ASSENZA_TENSIONE_AUX</v>
      </c>
      <c r="F593" t="str">
        <f>VLOOKUP(I593,'EXPORT IRIS PROD 13-11-2024'!D:D,1,0)</f>
        <v>Allarme assenza tensione aux</v>
      </c>
      <c r="G593" s="37" t="s">
        <v>53</v>
      </c>
      <c r="H593" s="38" t="s">
        <v>1125</v>
      </c>
      <c r="I593" s="45" t="s">
        <v>1126</v>
      </c>
      <c r="J593" s="46" t="s">
        <v>1106</v>
      </c>
      <c r="K593" s="46" t="s">
        <v>114</v>
      </c>
      <c r="L593" s="40" t="s">
        <v>21</v>
      </c>
      <c r="M593" s="41" t="s">
        <v>22</v>
      </c>
      <c r="N593" s="42" t="s">
        <v>23</v>
      </c>
      <c r="O593" s="43" t="s">
        <v>24</v>
      </c>
      <c r="P593" s="42" t="s">
        <v>25</v>
      </c>
      <c r="Q593" s="42" t="s">
        <v>21</v>
      </c>
      <c r="R593" s="44"/>
    </row>
    <row r="594" spans="1:18" x14ac:dyDescent="0.25">
      <c r="A594" t="str">
        <f t="shared" si="18"/>
        <v>Impianto Elettrico_Quadro elettrico_ALR_ASSENZA_TENSIONE_FASE_L1-Allarme assenza tensione dispositivo fase L1</v>
      </c>
      <c r="B594" t="str">
        <f t="shared" si="19"/>
        <v>ALR_ASSENZA_TENSIONE_FASE_L1-Allarme assenza tensione dispositivo fase L1</v>
      </c>
      <c r="C594" t="str">
        <f>VLOOKUP(B594,'[2]Classi allarmi RMT-STIG_rev4'!$C:$C,1,0)</f>
        <v>ALR_ASSENZA_TENSIONE_FASE_L1-Allarme assenza tensione dispositivo fase L1</v>
      </c>
      <c r="D594" t="str">
        <f>VLOOKUP(B594,'EXPORT IRIS PROD 13-11-2024'!A:A,1,0)</f>
        <v>ALR_ASSENZA_TENSIONE_FASE_L1-Allarme assenza tensione dispositivo fase L1</v>
      </c>
      <c r="E594" t="str">
        <f>VLOOKUP(H594,'EXPORT IRIS PROD 13-11-2024'!F:F,1,0)</f>
        <v>ALR_ASSENZA_TENSIONE_FASE_L1</v>
      </c>
      <c r="F594" t="str">
        <f>VLOOKUP(I594,'EXPORT IRIS PROD 13-11-2024'!D:D,1,0)</f>
        <v>Allarme assenza tensione dispositivo fase L1</v>
      </c>
      <c r="G594" s="37" t="s">
        <v>53</v>
      </c>
      <c r="H594" s="38" t="s">
        <v>1127</v>
      </c>
      <c r="I594" s="45" t="s">
        <v>1128</v>
      </c>
      <c r="J594" s="46" t="s">
        <v>56</v>
      </c>
      <c r="K594" s="46" t="s">
        <v>114</v>
      </c>
      <c r="L594" s="40" t="s">
        <v>21</v>
      </c>
      <c r="M594" s="41" t="s">
        <v>22</v>
      </c>
      <c r="N594" s="42" t="s">
        <v>23</v>
      </c>
      <c r="O594" s="43" t="s">
        <v>24</v>
      </c>
      <c r="P594" s="42" t="s">
        <v>25</v>
      </c>
      <c r="Q594" s="42" t="s">
        <v>21</v>
      </c>
      <c r="R594" s="44"/>
    </row>
    <row r="595" spans="1:18" x14ac:dyDescent="0.25">
      <c r="A595" t="str">
        <f t="shared" si="18"/>
        <v>Impianto Elettrico_Cabina elettrica_ALR_ASSENZA_TENSIONE_FASE_L1-Allarme assenza tensione dispositivo fase L1</v>
      </c>
      <c r="B595" t="str">
        <f t="shared" si="19"/>
        <v>ALR_ASSENZA_TENSIONE_FASE_L1-Allarme assenza tensione dispositivo fase L1</v>
      </c>
      <c r="C595" t="str">
        <f>VLOOKUP(B595,'[2]Classi allarmi RMT-STIG_rev4'!$C:$C,1,0)</f>
        <v>ALR_ASSENZA_TENSIONE_FASE_L1-Allarme assenza tensione dispositivo fase L1</v>
      </c>
      <c r="D595" t="str">
        <f>VLOOKUP(B595,'EXPORT IRIS PROD 13-11-2024'!A:A,1,0)</f>
        <v>ALR_ASSENZA_TENSIONE_FASE_L1-Allarme assenza tensione dispositivo fase L1</v>
      </c>
      <c r="E595" t="str">
        <f>VLOOKUP(H595,'EXPORT IRIS PROD 13-11-2024'!F:F,1,0)</f>
        <v>ALR_ASSENZA_TENSIONE_FASE_L1</v>
      </c>
      <c r="F595" t="str">
        <f>VLOOKUP(I595,'EXPORT IRIS PROD 13-11-2024'!D:D,1,0)</f>
        <v>Allarme assenza tensione dispositivo fase L1</v>
      </c>
      <c r="G595" s="37" t="s">
        <v>53</v>
      </c>
      <c r="H595" s="38" t="s">
        <v>1127</v>
      </c>
      <c r="I595" s="45" t="s">
        <v>1128</v>
      </c>
      <c r="J595" s="46" t="s">
        <v>56</v>
      </c>
      <c r="K595" s="46" t="s">
        <v>1122</v>
      </c>
      <c r="L595" s="40" t="s">
        <v>21</v>
      </c>
      <c r="M595" s="41" t="s">
        <v>22</v>
      </c>
      <c r="N595" s="42" t="s">
        <v>23</v>
      </c>
      <c r="O595" s="43" t="s">
        <v>24</v>
      </c>
      <c r="P595" s="42" t="s">
        <v>25</v>
      </c>
      <c r="Q595" s="42" t="s">
        <v>21</v>
      </c>
      <c r="R595" s="44"/>
    </row>
    <row r="596" spans="1:18" x14ac:dyDescent="0.25">
      <c r="A596" t="str">
        <f t="shared" si="18"/>
        <v>Impianto Elettrico_Trasformatore_ALR_ASSENZA_TENSIONE_FASE_L1-Allarme assenza tensione dispositivo fase L1</v>
      </c>
      <c r="B596" t="str">
        <f t="shared" si="19"/>
        <v>ALR_ASSENZA_TENSIONE_FASE_L1-Allarme assenza tensione dispositivo fase L1</v>
      </c>
      <c r="C596" t="str">
        <f>VLOOKUP(B596,'[2]Classi allarmi RMT-STIG_rev4'!$C:$C,1,0)</f>
        <v>ALR_ASSENZA_TENSIONE_FASE_L1-Allarme assenza tensione dispositivo fase L1</v>
      </c>
      <c r="D596" t="str">
        <f>VLOOKUP(B596,'EXPORT IRIS PROD 13-11-2024'!A:A,1,0)</f>
        <v>ALR_ASSENZA_TENSIONE_FASE_L1-Allarme assenza tensione dispositivo fase L1</v>
      </c>
      <c r="E596" t="str">
        <f>VLOOKUP(H596,'EXPORT IRIS PROD 13-11-2024'!F:F,1,0)</f>
        <v>ALR_ASSENZA_TENSIONE_FASE_L1</v>
      </c>
      <c r="F596" t="str">
        <f>VLOOKUP(I596,'EXPORT IRIS PROD 13-11-2024'!D:D,1,0)</f>
        <v>Allarme assenza tensione dispositivo fase L1</v>
      </c>
      <c r="G596" s="37" t="s">
        <v>53</v>
      </c>
      <c r="H596" s="38" t="s">
        <v>1127</v>
      </c>
      <c r="I596" s="45" t="s">
        <v>1128</v>
      </c>
      <c r="J596" s="46" t="s">
        <v>56</v>
      </c>
      <c r="K596" s="46" t="s">
        <v>208</v>
      </c>
      <c r="L596" s="40" t="s">
        <v>21</v>
      </c>
      <c r="M596" s="41" t="s">
        <v>22</v>
      </c>
      <c r="N596" s="42" t="s">
        <v>23</v>
      </c>
      <c r="O596" s="43" t="s">
        <v>24</v>
      </c>
      <c r="P596" s="42" t="s">
        <v>25</v>
      </c>
      <c r="Q596" s="42" t="s">
        <v>21</v>
      </c>
      <c r="R596" s="44"/>
    </row>
    <row r="597" spans="1:18" x14ac:dyDescent="0.25">
      <c r="A597" t="str">
        <f t="shared" si="18"/>
        <v>Impianto Elettrico_Quadro elettrico_ALR_ASSENZA_TENSIONE_FASE_L2-Allarme assenza tensione dispositivo fase L2</v>
      </c>
      <c r="B597" t="str">
        <f t="shared" si="19"/>
        <v>ALR_ASSENZA_TENSIONE_FASE_L2-Allarme assenza tensione dispositivo fase L2</v>
      </c>
      <c r="C597" t="str">
        <f>VLOOKUP(B597,'[2]Classi allarmi RMT-STIG_rev4'!$C:$C,1,0)</f>
        <v>ALR_ASSENZA_TENSIONE_FASE_L2-Allarme assenza tensione dispositivo fase L2</v>
      </c>
      <c r="D597" t="str">
        <f>VLOOKUP(B597,'EXPORT IRIS PROD 13-11-2024'!A:A,1,0)</f>
        <v>ALR_ASSENZA_TENSIONE_FASE_L2-Allarme assenza tensione dispositivo fase L2</v>
      </c>
      <c r="E597" t="str">
        <f>VLOOKUP(H597,'EXPORT IRIS PROD 13-11-2024'!F:F,1,0)</f>
        <v>ALR_ASSENZA_TENSIONE_FASE_L2</v>
      </c>
      <c r="F597" t="str">
        <f>VLOOKUP(I597,'EXPORT IRIS PROD 13-11-2024'!D:D,1,0)</f>
        <v>Allarme assenza tensione dispositivo fase L2</v>
      </c>
      <c r="G597" s="37" t="s">
        <v>53</v>
      </c>
      <c r="H597" s="38" t="s">
        <v>1129</v>
      </c>
      <c r="I597" s="45" t="s">
        <v>1130</v>
      </c>
      <c r="J597" s="46" t="s">
        <v>56</v>
      </c>
      <c r="K597" s="46" t="s">
        <v>114</v>
      </c>
      <c r="L597" s="40" t="s">
        <v>21</v>
      </c>
      <c r="M597" s="41" t="s">
        <v>22</v>
      </c>
      <c r="N597" s="42" t="s">
        <v>23</v>
      </c>
      <c r="O597" s="43" t="s">
        <v>24</v>
      </c>
      <c r="P597" s="42" t="s">
        <v>25</v>
      </c>
      <c r="Q597" s="42" t="s">
        <v>21</v>
      </c>
      <c r="R597" s="44"/>
    </row>
    <row r="598" spans="1:18" x14ac:dyDescent="0.25">
      <c r="A598" t="str">
        <f t="shared" si="18"/>
        <v>Impianto Elettrico_Cabina elettrica_ALR_ASSENZA_TENSIONE_FASE_L2-Allarme assenza tensione dispositivo fase L2</v>
      </c>
      <c r="B598" t="str">
        <f t="shared" si="19"/>
        <v>ALR_ASSENZA_TENSIONE_FASE_L2-Allarme assenza tensione dispositivo fase L2</v>
      </c>
      <c r="C598" t="str">
        <f>VLOOKUP(B598,'[2]Classi allarmi RMT-STIG_rev4'!$C:$C,1,0)</f>
        <v>ALR_ASSENZA_TENSIONE_FASE_L2-Allarme assenza tensione dispositivo fase L2</v>
      </c>
      <c r="D598" t="str">
        <f>VLOOKUP(B598,'EXPORT IRIS PROD 13-11-2024'!A:A,1,0)</f>
        <v>ALR_ASSENZA_TENSIONE_FASE_L2-Allarme assenza tensione dispositivo fase L2</v>
      </c>
      <c r="E598" t="str">
        <f>VLOOKUP(H598,'EXPORT IRIS PROD 13-11-2024'!F:F,1,0)</f>
        <v>ALR_ASSENZA_TENSIONE_FASE_L2</v>
      </c>
      <c r="F598" t="str">
        <f>VLOOKUP(I598,'EXPORT IRIS PROD 13-11-2024'!D:D,1,0)</f>
        <v>Allarme assenza tensione dispositivo fase L2</v>
      </c>
      <c r="G598" s="37" t="s">
        <v>53</v>
      </c>
      <c r="H598" s="38" t="s">
        <v>1129</v>
      </c>
      <c r="I598" s="45" t="s">
        <v>1130</v>
      </c>
      <c r="J598" s="46" t="s">
        <v>56</v>
      </c>
      <c r="K598" s="46" t="s">
        <v>1122</v>
      </c>
      <c r="L598" s="40" t="s">
        <v>21</v>
      </c>
      <c r="M598" s="41" t="s">
        <v>22</v>
      </c>
      <c r="N598" s="42" t="s">
        <v>23</v>
      </c>
      <c r="O598" s="43" t="s">
        <v>24</v>
      </c>
      <c r="P598" s="42" t="s">
        <v>25</v>
      </c>
      <c r="Q598" s="42" t="s">
        <v>21</v>
      </c>
      <c r="R598" s="44"/>
    </row>
    <row r="599" spans="1:18" x14ac:dyDescent="0.25">
      <c r="A599" t="str">
        <f t="shared" si="18"/>
        <v>Impianto Elettrico_Trasformatore_ALR_ASSENZA_TENSIONE_FASE_L2-Allarme assenza tensione dispositivo fase L2</v>
      </c>
      <c r="B599" t="str">
        <f t="shared" si="19"/>
        <v>ALR_ASSENZA_TENSIONE_FASE_L2-Allarme assenza tensione dispositivo fase L2</v>
      </c>
      <c r="C599" t="str">
        <f>VLOOKUP(B599,'[2]Classi allarmi RMT-STIG_rev4'!$C:$C,1,0)</f>
        <v>ALR_ASSENZA_TENSIONE_FASE_L2-Allarme assenza tensione dispositivo fase L2</v>
      </c>
      <c r="D599" t="str">
        <f>VLOOKUP(B599,'EXPORT IRIS PROD 13-11-2024'!A:A,1,0)</f>
        <v>ALR_ASSENZA_TENSIONE_FASE_L2-Allarme assenza tensione dispositivo fase L2</v>
      </c>
      <c r="E599" t="str">
        <f>VLOOKUP(H599,'EXPORT IRIS PROD 13-11-2024'!F:F,1,0)</f>
        <v>ALR_ASSENZA_TENSIONE_FASE_L2</v>
      </c>
      <c r="F599" t="str">
        <f>VLOOKUP(I599,'EXPORT IRIS PROD 13-11-2024'!D:D,1,0)</f>
        <v>Allarme assenza tensione dispositivo fase L2</v>
      </c>
      <c r="G599" s="37" t="s">
        <v>53</v>
      </c>
      <c r="H599" s="38" t="s">
        <v>1129</v>
      </c>
      <c r="I599" s="45" t="s">
        <v>1130</v>
      </c>
      <c r="J599" s="46" t="s">
        <v>56</v>
      </c>
      <c r="K599" s="46" t="s">
        <v>208</v>
      </c>
      <c r="L599" s="40" t="s">
        <v>21</v>
      </c>
      <c r="M599" s="41" t="s">
        <v>22</v>
      </c>
      <c r="N599" s="42" t="s">
        <v>23</v>
      </c>
      <c r="O599" s="43" t="s">
        <v>24</v>
      </c>
      <c r="P599" s="42" t="s">
        <v>25</v>
      </c>
      <c r="Q599" s="42" t="s">
        <v>21</v>
      </c>
      <c r="R599" s="44"/>
    </row>
    <row r="600" spans="1:18" x14ac:dyDescent="0.25">
      <c r="A600" t="str">
        <f t="shared" si="18"/>
        <v>Impianto Elettrico_Quadro elettrico_ALR_ASSENZA_TENSIONE_FASE_L3-Allarme assenza tensione dispositivo fase L3</v>
      </c>
      <c r="B600" t="str">
        <f t="shared" si="19"/>
        <v>ALR_ASSENZA_TENSIONE_FASE_L3-Allarme assenza tensione dispositivo fase L3</v>
      </c>
      <c r="C600" t="str">
        <f>VLOOKUP(B600,'[2]Classi allarmi RMT-STIG_rev4'!$C:$C,1,0)</f>
        <v>ALR_ASSENZA_TENSIONE_FASE_L3-Allarme assenza tensione dispositivo fase L3</v>
      </c>
      <c r="D600" t="str">
        <f>VLOOKUP(B600,'EXPORT IRIS PROD 13-11-2024'!A:A,1,0)</f>
        <v>ALR_ASSENZA_TENSIONE_FASE_L3-Allarme assenza tensione dispositivo fase L3</v>
      </c>
      <c r="E600" t="str">
        <f>VLOOKUP(H600,'EXPORT IRIS PROD 13-11-2024'!F:F,1,0)</f>
        <v>ALR_ASSENZA_TENSIONE_FASE_L3</v>
      </c>
      <c r="F600" t="str">
        <f>VLOOKUP(I600,'EXPORT IRIS PROD 13-11-2024'!D:D,1,0)</f>
        <v>Allarme assenza tensione dispositivo fase L3</v>
      </c>
      <c r="G600" s="37" t="s">
        <v>53</v>
      </c>
      <c r="H600" s="38" t="s">
        <v>1131</v>
      </c>
      <c r="I600" s="45" t="s">
        <v>1132</v>
      </c>
      <c r="J600" s="46" t="s">
        <v>56</v>
      </c>
      <c r="K600" s="46" t="s">
        <v>114</v>
      </c>
      <c r="L600" s="40" t="s">
        <v>21</v>
      </c>
      <c r="M600" s="41" t="s">
        <v>22</v>
      </c>
      <c r="N600" s="42" t="s">
        <v>23</v>
      </c>
      <c r="O600" s="43" t="s">
        <v>24</v>
      </c>
      <c r="P600" s="42" t="s">
        <v>25</v>
      </c>
      <c r="Q600" s="42" t="s">
        <v>21</v>
      </c>
      <c r="R600" s="44"/>
    </row>
    <row r="601" spans="1:18" x14ac:dyDescent="0.25">
      <c r="A601" t="str">
        <f t="shared" si="18"/>
        <v>Impianto Elettrico_Cabina elettrica_ALR_ASSENZA_TENSIONE_FASE_L3-Allarme assenza tensione dispositivo fase L3</v>
      </c>
      <c r="B601" t="str">
        <f t="shared" si="19"/>
        <v>ALR_ASSENZA_TENSIONE_FASE_L3-Allarme assenza tensione dispositivo fase L3</v>
      </c>
      <c r="C601" t="str">
        <f>VLOOKUP(B601,'[2]Classi allarmi RMT-STIG_rev4'!$C:$C,1,0)</f>
        <v>ALR_ASSENZA_TENSIONE_FASE_L3-Allarme assenza tensione dispositivo fase L3</v>
      </c>
      <c r="D601" t="str">
        <f>VLOOKUP(B601,'EXPORT IRIS PROD 13-11-2024'!A:A,1,0)</f>
        <v>ALR_ASSENZA_TENSIONE_FASE_L3-Allarme assenza tensione dispositivo fase L3</v>
      </c>
      <c r="E601" t="str">
        <f>VLOOKUP(H601,'EXPORT IRIS PROD 13-11-2024'!F:F,1,0)</f>
        <v>ALR_ASSENZA_TENSIONE_FASE_L3</v>
      </c>
      <c r="F601" t="str">
        <f>VLOOKUP(I601,'EXPORT IRIS PROD 13-11-2024'!D:D,1,0)</f>
        <v>Allarme assenza tensione dispositivo fase L3</v>
      </c>
      <c r="G601" s="37" t="s">
        <v>53</v>
      </c>
      <c r="H601" s="38" t="s">
        <v>1131</v>
      </c>
      <c r="I601" s="45" t="s">
        <v>1132</v>
      </c>
      <c r="J601" s="46" t="s">
        <v>56</v>
      </c>
      <c r="K601" s="46" t="s">
        <v>1122</v>
      </c>
      <c r="L601" s="40" t="s">
        <v>21</v>
      </c>
      <c r="M601" s="41" t="s">
        <v>22</v>
      </c>
      <c r="N601" s="42" t="s">
        <v>23</v>
      </c>
      <c r="O601" s="43" t="s">
        <v>24</v>
      </c>
      <c r="P601" s="42" t="s">
        <v>25</v>
      </c>
      <c r="Q601" s="42" t="s">
        <v>21</v>
      </c>
      <c r="R601" s="44"/>
    </row>
    <row r="602" spans="1:18" x14ac:dyDescent="0.25">
      <c r="A602" t="str">
        <f t="shared" si="18"/>
        <v>Impianto Elettrico_Trasformatore_ALR_ASSENZA_TENSIONE_FASE_L3-Allarme assenza tensione dispositivo fase L3</v>
      </c>
      <c r="B602" t="str">
        <f t="shared" si="19"/>
        <v>ALR_ASSENZA_TENSIONE_FASE_L3-Allarme assenza tensione dispositivo fase L3</v>
      </c>
      <c r="C602" t="str">
        <f>VLOOKUP(B602,'[2]Classi allarmi RMT-STIG_rev4'!$C:$C,1,0)</f>
        <v>ALR_ASSENZA_TENSIONE_FASE_L3-Allarme assenza tensione dispositivo fase L3</v>
      </c>
      <c r="D602" t="str">
        <f>VLOOKUP(B602,'EXPORT IRIS PROD 13-11-2024'!A:A,1,0)</f>
        <v>ALR_ASSENZA_TENSIONE_FASE_L3-Allarme assenza tensione dispositivo fase L3</v>
      </c>
      <c r="E602" t="str">
        <f>VLOOKUP(H602,'EXPORT IRIS PROD 13-11-2024'!F:F,1,0)</f>
        <v>ALR_ASSENZA_TENSIONE_FASE_L3</v>
      </c>
      <c r="F602" t="str">
        <f>VLOOKUP(I602,'EXPORT IRIS PROD 13-11-2024'!D:D,1,0)</f>
        <v>Allarme assenza tensione dispositivo fase L3</v>
      </c>
      <c r="G602" s="37" t="s">
        <v>53</v>
      </c>
      <c r="H602" s="38" t="s">
        <v>1131</v>
      </c>
      <c r="I602" s="45" t="s">
        <v>1132</v>
      </c>
      <c r="J602" s="46" t="s">
        <v>56</v>
      </c>
      <c r="K602" s="46" t="s">
        <v>208</v>
      </c>
      <c r="L602" s="40" t="s">
        <v>21</v>
      </c>
      <c r="M602" s="41" t="s">
        <v>22</v>
      </c>
      <c r="N602" s="42" t="s">
        <v>23</v>
      </c>
      <c r="O602" s="43" t="s">
        <v>24</v>
      </c>
      <c r="P602" s="42" t="s">
        <v>25</v>
      </c>
      <c r="Q602" s="42" t="s">
        <v>21</v>
      </c>
      <c r="R602" s="44"/>
    </row>
    <row r="603" spans="1:18" x14ac:dyDescent="0.25">
      <c r="A603" t="str">
        <f t="shared" si="18"/>
        <v>Impianto Elettrico_Quadro elettrico_ALR_ASSENZA_TENSIONE_LINEA_GE-Allarme assenza tensione dispositivo linea GE</v>
      </c>
      <c r="B603" t="str">
        <f t="shared" si="19"/>
        <v>ALR_ASSENZA_TENSIONE_LINEA_GE-Allarme assenza tensione dispositivo linea GE</v>
      </c>
      <c r="C603" t="str">
        <f>VLOOKUP(B603,'[2]Classi allarmi RMT-STIG_rev4'!$C:$C,1,0)</f>
        <v>ALR_ASSENZA_TENSIONE_LINEA_GE-Allarme assenza tensione dispositivo linea GE</v>
      </c>
      <c r="D603" t="str">
        <f>VLOOKUP(B603,'EXPORT IRIS PROD 13-11-2024'!A:A,1,0)</f>
        <v>ALR_ASSENZA_TENSIONE_LINEA_GE-Allarme assenza tensione dispositivo linea GE</v>
      </c>
      <c r="E603" t="str">
        <f>VLOOKUP(H603,'EXPORT IRIS PROD 13-11-2024'!F:F,1,0)</f>
        <v>ALR_ASSENZA_TENSIONE_LINEA_GE</v>
      </c>
      <c r="F603" t="str">
        <f>VLOOKUP(I603,'EXPORT IRIS PROD 13-11-2024'!D:D,1,0)</f>
        <v>Allarme assenza tensione dispositivo linea GE</v>
      </c>
      <c r="G603" s="37" t="s">
        <v>53</v>
      </c>
      <c r="H603" s="38" t="s">
        <v>1133</v>
      </c>
      <c r="I603" s="45" t="s">
        <v>1134</v>
      </c>
      <c r="J603" s="46" t="s">
        <v>56</v>
      </c>
      <c r="K603" s="46" t="s">
        <v>114</v>
      </c>
      <c r="L603" s="40" t="s">
        <v>21</v>
      </c>
      <c r="M603" s="41" t="s">
        <v>22</v>
      </c>
      <c r="N603" s="42" t="s">
        <v>23</v>
      </c>
      <c r="O603" s="43" t="s">
        <v>24</v>
      </c>
      <c r="P603" s="42" t="s">
        <v>25</v>
      </c>
      <c r="Q603" s="42" t="s">
        <v>21</v>
      </c>
      <c r="R603" s="44"/>
    </row>
    <row r="604" spans="1:18" x14ac:dyDescent="0.25">
      <c r="A604" t="str">
        <f t="shared" si="18"/>
        <v>Impianto elettrico_Interruttore rete-GE_ALR_ASSENZA_TENSIONE_LINEA_GE-Allarme assenza tensione dispositivo linea GE</v>
      </c>
      <c r="B604" t="str">
        <f t="shared" si="19"/>
        <v>ALR_ASSENZA_TENSIONE_LINEA_GE-Allarme assenza tensione dispositivo linea GE</v>
      </c>
      <c r="C604" t="str">
        <f>VLOOKUP(B604,'[2]Classi allarmi RMT-STIG_rev4'!$C:$C,1,0)</f>
        <v>ALR_ASSENZA_TENSIONE_LINEA_GE-Allarme assenza tensione dispositivo linea GE</v>
      </c>
      <c r="D604" t="str">
        <f>VLOOKUP(B604,'EXPORT IRIS PROD 13-11-2024'!A:A,1,0)</f>
        <v>ALR_ASSENZA_TENSIONE_LINEA_GE-Allarme assenza tensione dispositivo linea GE</v>
      </c>
      <c r="E604" t="str">
        <f>VLOOKUP(H604,'EXPORT IRIS PROD 13-11-2024'!F:F,1,0)</f>
        <v>ALR_ASSENZA_TENSIONE_LINEA_GE</v>
      </c>
      <c r="F604" t="str">
        <f>VLOOKUP(I604,'EXPORT IRIS PROD 13-11-2024'!D:D,1,0)</f>
        <v>Allarme assenza tensione dispositivo linea GE</v>
      </c>
      <c r="G604" s="37" t="s">
        <v>53</v>
      </c>
      <c r="H604" s="38" t="s">
        <v>1133</v>
      </c>
      <c r="I604" s="45" t="s">
        <v>1134</v>
      </c>
      <c r="J604" s="46" t="s">
        <v>1106</v>
      </c>
      <c r="K604" s="46" t="s">
        <v>1135</v>
      </c>
      <c r="L604" s="40" t="s">
        <v>21</v>
      </c>
      <c r="M604" s="41" t="s">
        <v>22</v>
      </c>
      <c r="N604" s="42" t="s">
        <v>23</v>
      </c>
      <c r="O604" s="43" t="s">
        <v>24</v>
      </c>
      <c r="P604" s="42" t="s">
        <v>25</v>
      </c>
      <c r="Q604" s="42" t="s">
        <v>21</v>
      </c>
      <c r="R604" s="44"/>
    </row>
    <row r="605" spans="1:18" x14ac:dyDescent="0.25">
      <c r="A605" t="str">
        <f t="shared" si="18"/>
        <v>Impianto Elettrico_Quadro elettrico_ALR_ASSENZA_TENSIONE_LINEA_RETE-Allarme assenza tensione dispositivo linea rete</v>
      </c>
      <c r="B605" t="str">
        <f t="shared" si="19"/>
        <v>ALR_ASSENZA_TENSIONE_LINEA_RETE-Allarme assenza tensione dispositivo linea rete</v>
      </c>
      <c r="C605" t="str">
        <f>VLOOKUP(B605,'[2]Classi allarmi RMT-STIG_rev4'!$C:$C,1,0)</f>
        <v>ALR_ASSENZA_TENSIONE_LINEA_RETE-Allarme assenza tensione dispositivo linea rete</v>
      </c>
      <c r="D605" t="str">
        <f>VLOOKUP(B605,'EXPORT IRIS PROD 13-11-2024'!A:A,1,0)</f>
        <v>ALR_ASSENZA_TENSIONE_LINEA_RETE-Allarme assenza tensione dispositivo linea rete</v>
      </c>
      <c r="E605" t="str">
        <f>VLOOKUP(H605,'EXPORT IRIS PROD 13-11-2024'!F:F,1,0)</f>
        <v>ALR_ASSENZA_TENSIONE_LINEA_RETE</v>
      </c>
      <c r="F605" t="str">
        <f>VLOOKUP(I605,'EXPORT IRIS PROD 13-11-2024'!D:D,1,0)</f>
        <v>Allarme assenza tensione dispositivo linea rete</v>
      </c>
      <c r="G605" s="37" t="s">
        <v>53</v>
      </c>
      <c r="H605" s="38" t="s">
        <v>1136</v>
      </c>
      <c r="I605" s="45" t="s">
        <v>1137</v>
      </c>
      <c r="J605" s="46" t="s">
        <v>56</v>
      </c>
      <c r="K605" s="46" t="s">
        <v>114</v>
      </c>
      <c r="L605" s="40" t="s">
        <v>21</v>
      </c>
      <c r="M605" s="41" t="s">
        <v>22</v>
      </c>
      <c r="N605" s="42" t="s">
        <v>23</v>
      </c>
      <c r="O605" s="43" t="s">
        <v>24</v>
      </c>
      <c r="P605" s="42" t="s">
        <v>25</v>
      </c>
      <c r="Q605" s="42" t="s">
        <v>21</v>
      </c>
      <c r="R605" s="44"/>
    </row>
    <row r="606" spans="1:18" x14ac:dyDescent="0.25">
      <c r="A606" t="str">
        <f t="shared" si="18"/>
        <v>Impianto elettrico_Interruttore rete-GE_ALR_ASSENZA_TENSIONE_LINEA_RETE-Allarme assenza tensione dispositivo linea rete</v>
      </c>
      <c r="B606" t="str">
        <f t="shared" si="19"/>
        <v>ALR_ASSENZA_TENSIONE_LINEA_RETE-Allarme assenza tensione dispositivo linea rete</v>
      </c>
      <c r="C606" t="str">
        <f>VLOOKUP(B606,'[2]Classi allarmi RMT-STIG_rev4'!$C:$C,1,0)</f>
        <v>ALR_ASSENZA_TENSIONE_LINEA_RETE-Allarme assenza tensione dispositivo linea rete</v>
      </c>
      <c r="D606" t="str">
        <f>VLOOKUP(B606,'EXPORT IRIS PROD 13-11-2024'!A:A,1,0)</f>
        <v>ALR_ASSENZA_TENSIONE_LINEA_RETE-Allarme assenza tensione dispositivo linea rete</v>
      </c>
      <c r="E606" t="str">
        <f>VLOOKUP(H606,'EXPORT IRIS PROD 13-11-2024'!F:F,1,0)</f>
        <v>ALR_ASSENZA_TENSIONE_LINEA_RETE</v>
      </c>
      <c r="F606" t="str">
        <f>VLOOKUP(I606,'EXPORT IRIS PROD 13-11-2024'!D:D,1,0)</f>
        <v>Allarme assenza tensione dispositivo linea rete</v>
      </c>
      <c r="G606" s="37" t="s">
        <v>53</v>
      </c>
      <c r="H606" s="38" t="s">
        <v>1136</v>
      </c>
      <c r="I606" s="45" t="s">
        <v>1137</v>
      </c>
      <c r="J606" s="46" t="s">
        <v>1106</v>
      </c>
      <c r="K606" s="46" t="s">
        <v>1135</v>
      </c>
      <c r="L606" s="40" t="s">
        <v>21</v>
      </c>
      <c r="M606" s="41" t="s">
        <v>22</v>
      </c>
      <c r="N606" s="42" t="s">
        <v>23</v>
      </c>
      <c r="O606" s="43" t="s">
        <v>24</v>
      </c>
      <c r="P606" s="42" t="s">
        <v>25</v>
      </c>
      <c r="Q606" s="42" t="s">
        <v>21</v>
      </c>
      <c r="R606" s="44"/>
    </row>
    <row r="607" spans="1:18" x14ac:dyDescent="0.25">
      <c r="A607" t="str">
        <f t="shared" si="18"/>
        <v>Impianto Elettrico_Gruppo elettrogeno_ALR_ASSENZA_TENSIONE_LINEA_RETE-Allarme assenza tensione dispositivo linea rete</v>
      </c>
      <c r="B607" t="str">
        <f t="shared" si="19"/>
        <v>ALR_ASSENZA_TENSIONE_LINEA_RETE-Allarme assenza tensione dispositivo linea rete</v>
      </c>
      <c r="C607" t="str">
        <f>VLOOKUP(B607,'[2]Classi allarmi RMT-STIG_rev4'!$C:$C,1,0)</f>
        <v>ALR_ASSENZA_TENSIONE_LINEA_RETE-Allarme assenza tensione dispositivo linea rete</v>
      </c>
      <c r="D607" t="str">
        <f>VLOOKUP(B607,'EXPORT IRIS PROD 13-11-2024'!A:A,1,0)</f>
        <v>ALR_ASSENZA_TENSIONE_LINEA_RETE-Allarme assenza tensione dispositivo linea rete</v>
      </c>
      <c r="E607" t="str">
        <f>VLOOKUP(H607,'EXPORT IRIS PROD 13-11-2024'!F:F,1,0)</f>
        <v>ALR_ASSENZA_TENSIONE_LINEA_RETE</v>
      </c>
      <c r="F607" t="str">
        <f>VLOOKUP(I607,'EXPORT IRIS PROD 13-11-2024'!D:D,1,0)</f>
        <v>Allarme assenza tensione dispositivo linea rete</v>
      </c>
      <c r="G607" s="37" t="s">
        <v>53</v>
      </c>
      <c r="H607" s="38" t="s">
        <v>1136</v>
      </c>
      <c r="I607" s="45" t="s">
        <v>1137</v>
      </c>
      <c r="J607" s="46" t="s">
        <v>56</v>
      </c>
      <c r="K607" s="46" t="s">
        <v>57</v>
      </c>
      <c r="L607" s="40" t="s">
        <v>21</v>
      </c>
      <c r="M607" s="41" t="s">
        <v>22</v>
      </c>
      <c r="N607" s="42" t="s">
        <v>23</v>
      </c>
      <c r="O607" s="43" t="s">
        <v>24</v>
      </c>
      <c r="P607" s="42" t="s">
        <v>25</v>
      </c>
      <c r="Q607" s="42" t="s">
        <v>21</v>
      </c>
      <c r="R607" s="44"/>
    </row>
    <row r="608" spans="1:18" x14ac:dyDescent="0.25">
      <c r="A608" t="str">
        <f t="shared" si="18"/>
        <v>Impianto Elettrico_UPS_ALR_ASSENZA_TENSIONE_LINEA_RETE-Allarme assenza tensione dispositivo linea rete</v>
      </c>
      <c r="B608" t="str">
        <f t="shared" si="19"/>
        <v>ALR_ASSENZA_TENSIONE_LINEA_RETE-Allarme assenza tensione dispositivo linea rete</v>
      </c>
      <c r="C608" t="str">
        <f>VLOOKUP(B608,'[2]Classi allarmi RMT-STIG_rev4'!$C:$C,1,0)</f>
        <v>ALR_ASSENZA_TENSIONE_LINEA_RETE-Allarme assenza tensione dispositivo linea rete</v>
      </c>
      <c r="D608" t="str">
        <f>VLOOKUP(B608,'EXPORT IRIS PROD 13-11-2024'!A:A,1,0)</f>
        <v>ALR_ASSENZA_TENSIONE_LINEA_RETE-Allarme assenza tensione dispositivo linea rete</v>
      </c>
      <c r="E608" t="str">
        <f>VLOOKUP(H608,'EXPORT IRIS PROD 13-11-2024'!F:F,1,0)</f>
        <v>ALR_ASSENZA_TENSIONE_LINEA_RETE</v>
      </c>
      <c r="F608" t="str">
        <f>VLOOKUP(I608,'EXPORT IRIS PROD 13-11-2024'!D:D,1,0)</f>
        <v>Allarme assenza tensione dispositivo linea rete</v>
      </c>
      <c r="G608" s="37" t="s">
        <v>53</v>
      </c>
      <c r="H608" s="38" t="s">
        <v>1136</v>
      </c>
      <c r="I608" s="45" t="s">
        <v>1137</v>
      </c>
      <c r="J608" s="46" t="s">
        <v>56</v>
      </c>
      <c r="K608" s="46" t="s">
        <v>104</v>
      </c>
      <c r="L608" s="40" t="s">
        <v>21</v>
      </c>
      <c r="M608" s="41" t="s">
        <v>22</v>
      </c>
      <c r="N608" s="42" t="s">
        <v>23</v>
      </c>
      <c r="O608" s="43" t="s">
        <v>24</v>
      </c>
      <c r="P608" s="42" t="s">
        <v>25</v>
      </c>
      <c r="Q608" s="42" t="s">
        <v>21</v>
      </c>
      <c r="R608" s="44"/>
    </row>
    <row r="609" spans="1:18" x14ac:dyDescent="0.25">
      <c r="A609" t="str">
        <f t="shared" si="18"/>
        <v>Impianto Elettrico_Quadro elettrico_ALR_ASSENZA_TENSIONE_LINEA_UTENZE-Allarme assenza tensione dispositivo linea utenze</v>
      </c>
      <c r="B609" t="str">
        <f t="shared" si="19"/>
        <v>ALR_ASSENZA_TENSIONE_LINEA_UTENZE-Allarme assenza tensione dispositivo linea utenze</v>
      </c>
      <c r="C609" t="str">
        <f>VLOOKUP(B609,'[2]Classi allarmi RMT-STIG_rev4'!$C:$C,1,0)</f>
        <v>ALR_ASSENZA_TENSIONE_LINEA_UTENZE-Allarme assenza tensione dispositivo linea utenze</v>
      </c>
      <c r="D609" t="str">
        <f>VLOOKUP(B609,'EXPORT IRIS PROD 13-11-2024'!A:A,1,0)</f>
        <v>ALR_ASSENZA_TENSIONE_LINEA_UTENZE-Allarme assenza tensione dispositivo linea utenze</v>
      </c>
      <c r="E609" t="str">
        <f>VLOOKUP(H609,'EXPORT IRIS PROD 13-11-2024'!F:F,1,0)</f>
        <v>ALR_ASSENZA_TENSIONE_LINEA_UTENZE</v>
      </c>
      <c r="F609" t="str">
        <f>VLOOKUP(I609,'EXPORT IRIS PROD 13-11-2024'!D:D,1,0)</f>
        <v>Allarme assenza tensione dispositivo linea utenze</v>
      </c>
      <c r="G609" s="37" t="s">
        <v>53</v>
      </c>
      <c r="H609" s="38" t="s">
        <v>1138</v>
      </c>
      <c r="I609" s="45" t="s">
        <v>1139</v>
      </c>
      <c r="J609" s="46" t="s">
        <v>56</v>
      </c>
      <c r="K609" s="46" t="s">
        <v>114</v>
      </c>
      <c r="L609" s="40" t="s">
        <v>21</v>
      </c>
      <c r="M609" s="41" t="s">
        <v>22</v>
      </c>
      <c r="N609" s="42" t="s">
        <v>23</v>
      </c>
      <c r="O609" s="43" t="s">
        <v>24</v>
      </c>
      <c r="P609" s="42" t="s">
        <v>25</v>
      </c>
      <c r="Q609" s="42" t="s">
        <v>21</v>
      </c>
      <c r="R609" s="44"/>
    </row>
    <row r="610" spans="1:18" x14ac:dyDescent="0.25">
      <c r="A610" t="str">
        <f t="shared" si="18"/>
        <v>Impianto illuminazione_Picchetti luminosi_ALR_ASSENZA_TENSIONE_RAMO1-Allarme assenza tensione ramo 1</v>
      </c>
      <c r="B610" t="str">
        <f t="shared" si="19"/>
        <v>ALR_ASSENZA_TENSIONE_RAMO1-Allarme assenza tensione ramo 1</v>
      </c>
      <c r="C610" t="str">
        <f>VLOOKUP(B610,'[2]Classi allarmi RMT-STIG_rev4'!$C:$C,1,0)</f>
        <v>ALR_ASSENZA_TENSIONE_RAMO1-Allarme assenza tensione ramo 1</v>
      </c>
      <c r="D610" t="str">
        <f>VLOOKUP(B610,'EXPORT IRIS PROD 13-11-2024'!A:A,1,0)</f>
        <v>ALR_ASSENZA_TENSIONE_RAMO1-Allarme assenza tensione ramo 1</v>
      </c>
      <c r="E610" t="str">
        <f>VLOOKUP(H610,'EXPORT IRIS PROD 13-11-2024'!F:F,1,0)</f>
        <v>ALR_ASSENZA_TENSIONE_RAMO1</v>
      </c>
      <c r="F610" t="str">
        <f>VLOOKUP(I610,'EXPORT IRIS PROD 13-11-2024'!D:D,1,0)</f>
        <v>Allarme assenza tensione ramo 1</v>
      </c>
      <c r="G610" s="37" t="s">
        <v>115</v>
      </c>
      <c r="H610" s="38" t="s">
        <v>1140</v>
      </c>
      <c r="I610" s="45" t="s">
        <v>1141</v>
      </c>
      <c r="J610" s="46" t="s">
        <v>1142</v>
      </c>
      <c r="K610" s="46" t="s">
        <v>715</v>
      </c>
      <c r="L610" s="40" t="s">
        <v>21</v>
      </c>
      <c r="M610" s="41" t="s">
        <v>22</v>
      </c>
      <c r="N610" s="42" t="s">
        <v>23</v>
      </c>
      <c r="O610" s="43" t="s">
        <v>24</v>
      </c>
      <c r="P610" s="42" t="s">
        <v>25</v>
      </c>
      <c r="Q610" s="42" t="s">
        <v>21</v>
      </c>
      <c r="R610" s="44"/>
    </row>
    <row r="611" spans="1:18" x14ac:dyDescent="0.25">
      <c r="A611" t="str">
        <f t="shared" si="18"/>
        <v>Impianto illuminazione_Picchetti luminosi_ALR_ASSENZA_TENSIONE_RAMO2-Allarme assenza tensione ramo 2</v>
      </c>
      <c r="B611" t="str">
        <f t="shared" si="19"/>
        <v>ALR_ASSENZA_TENSIONE_RAMO2-Allarme assenza tensione ramo 2</v>
      </c>
      <c r="C611" t="str">
        <f>VLOOKUP(B611,'[2]Classi allarmi RMT-STIG_rev4'!$C:$C,1,0)</f>
        <v>ALR_ASSENZA_TENSIONE_RAMO2-Allarme assenza tensione ramo 2</v>
      </c>
      <c r="D611" t="str">
        <f>VLOOKUP(B611,'EXPORT IRIS PROD 13-11-2024'!A:A,1,0)</f>
        <v>ALR_ASSENZA_TENSIONE_RAMO2-Allarme assenza tensione ramo 2</v>
      </c>
      <c r="E611" t="str">
        <f>VLOOKUP(H611,'EXPORT IRIS PROD 13-11-2024'!F:F,1,0)</f>
        <v>ALR_ASSENZA_TENSIONE_RAMO2</v>
      </c>
      <c r="F611" t="str">
        <f>VLOOKUP(I611,'EXPORT IRIS PROD 13-11-2024'!D:D,1,0)</f>
        <v>Allarme assenza tensione ramo 2</v>
      </c>
      <c r="G611" s="37" t="s">
        <v>115</v>
      </c>
      <c r="H611" s="38" t="s">
        <v>1143</v>
      </c>
      <c r="I611" s="45" t="s">
        <v>1144</v>
      </c>
      <c r="J611" s="46" t="s">
        <v>1142</v>
      </c>
      <c r="K611" s="46" t="s">
        <v>715</v>
      </c>
      <c r="L611" s="40" t="s">
        <v>21</v>
      </c>
      <c r="M611" s="41" t="s">
        <v>22</v>
      </c>
      <c r="N611" s="42" t="s">
        <v>23</v>
      </c>
      <c r="O611" s="43" t="s">
        <v>24</v>
      </c>
      <c r="P611" s="42" t="s">
        <v>25</v>
      </c>
      <c r="Q611" s="42" t="s">
        <v>21</v>
      </c>
      <c r="R611" s="44"/>
    </row>
    <row r="612" spans="1:18" x14ac:dyDescent="0.25">
      <c r="A612" t="str">
        <f t="shared" si="18"/>
        <v>Impianto Rete dati_PLC bypass_ALR_ASSENZA_TENSIONE_VERSO_CE_NORD-Allarme assenza tensione dispositivo verso cabina nord</v>
      </c>
      <c r="B612" t="str">
        <f t="shared" si="19"/>
        <v>ALR_ASSENZA_TENSIONE_VERSO_CE_NORD-Allarme assenza tensione dispositivo verso cabina nord</v>
      </c>
      <c r="C612" t="str">
        <f>VLOOKUP(B612,'[2]Classi allarmi RMT-STIG_rev4'!$C:$C,1,0)</f>
        <v>ALR_ASSENZA_TENSIONE_VERSO_CE_NORD-Allarme assenza tensione dispositivo verso cabina nord</v>
      </c>
      <c r="D612" t="str">
        <f>VLOOKUP(B612,'EXPORT IRIS PROD 13-11-2024'!A:A,1,0)</f>
        <v>ALR_ASSENZA_TENSIONE_VERSO_CE_NORD-Allarme assenza tensione dispositivo verso cabina nord</v>
      </c>
      <c r="E612" t="str">
        <f>VLOOKUP(H612,'EXPORT IRIS PROD 13-11-2024'!F:F,1,0)</f>
        <v>ALR_ASSENZA_TENSIONE_VERSO_CE_NORD</v>
      </c>
      <c r="F612" t="str">
        <f>VLOOKUP(I612,'EXPORT IRIS PROD 13-11-2024'!D:D,1,0)</f>
        <v>Allarme assenza tensione dispositivo verso cabina nord</v>
      </c>
      <c r="G612" s="37" t="s">
        <v>16</v>
      </c>
      <c r="H612" s="38" t="s">
        <v>1145</v>
      </c>
      <c r="I612" s="45" t="s">
        <v>1146</v>
      </c>
      <c r="J612" s="46" t="s">
        <v>19</v>
      </c>
      <c r="K612" s="46" t="s">
        <v>1147</v>
      </c>
      <c r="L612" s="40" t="s">
        <v>21</v>
      </c>
      <c r="M612" s="41" t="s">
        <v>22</v>
      </c>
      <c r="N612" s="42" t="s">
        <v>23</v>
      </c>
      <c r="O612" s="43" t="s">
        <v>24</v>
      </c>
      <c r="P612" s="42" t="s">
        <v>25</v>
      </c>
      <c r="Q612" s="42" t="s">
        <v>21</v>
      </c>
      <c r="R612" s="44"/>
    </row>
    <row r="613" spans="1:18" x14ac:dyDescent="0.25">
      <c r="A613" t="str">
        <f t="shared" si="18"/>
        <v>Impianto Bypass_PLC bypass_ALR_ASSENZA_TENSIONE_VERSO_CE_NORD-Allarme assenza tensione dispositivo verso cabina nord</v>
      </c>
      <c r="B613" t="str">
        <f t="shared" si="19"/>
        <v>ALR_ASSENZA_TENSIONE_VERSO_CE_NORD-Allarme assenza tensione dispositivo verso cabina nord</v>
      </c>
      <c r="C613" t="str">
        <f>VLOOKUP(B613,'[2]Classi allarmi RMT-STIG_rev4'!$C:$C,1,0)</f>
        <v>ALR_ASSENZA_TENSIONE_VERSO_CE_NORD-Allarme assenza tensione dispositivo verso cabina nord</v>
      </c>
      <c r="D613" t="str">
        <f>VLOOKUP(B613,'EXPORT IRIS PROD 13-11-2024'!A:A,1,0)</f>
        <v>ALR_ASSENZA_TENSIONE_VERSO_CE_NORD-Allarme assenza tensione dispositivo verso cabina nord</v>
      </c>
      <c r="E613" t="str">
        <f>VLOOKUP(H613,'EXPORT IRIS PROD 13-11-2024'!F:F,1,0)</f>
        <v>ALR_ASSENZA_TENSIONE_VERSO_CE_NORD</v>
      </c>
      <c r="F613" t="str">
        <f>VLOOKUP(I613,'EXPORT IRIS PROD 13-11-2024'!D:D,1,0)</f>
        <v>Allarme assenza tensione dispositivo verso cabina nord</v>
      </c>
      <c r="G613" s="37" t="s">
        <v>863</v>
      </c>
      <c r="H613" s="38" t="s">
        <v>1145</v>
      </c>
      <c r="I613" s="45" t="s">
        <v>1146</v>
      </c>
      <c r="J613" s="46" t="s">
        <v>274</v>
      </c>
      <c r="K613" s="46" t="s">
        <v>1147</v>
      </c>
      <c r="L613" s="40" t="s">
        <v>21</v>
      </c>
      <c r="M613" s="41" t="s">
        <v>22</v>
      </c>
      <c r="N613" s="42" t="s">
        <v>23</v>
      </c>
      <c r="O613" s="43" t="s">
        <v>24</v>
      </c>
      <c r="P613" s="42" t="s">
        <v>25</v>
      </c>
      <c r="Q613" s="42" t="s">
        <v>21</v>
      </c>
      <c r="R613" s="44"/>
    </row>
    <row r="614" spans="1:18" x14ac:dyDescent="0.25">
      <c r="A614" t="str">
        <f t="shared" si="18"/>
        <v>Impianto Rete dati_PLC bypass_ALR_ASSENZA_TENSIONE_VERSO_CE_SUD-Allarme assenza tensione dispositivo verso cabina sud</v>
      </c>
      <c r="B614" t="str">
        <f t="shared" si="19"/>
        <v>ALR_ASSENZA_TENSIONE_VERSO_CE_SUD-Allarme assenza tensione dispositivo verso cabina sud</v>
      </c>
      <c r="C614" t="str">
        <f>VLOOKUP(B614,'[2]Classi allarmi RMT-STIG_rev4'!$C:$C,1,0)</f>
        <v>ALR_ASSENZA_TENSIONE_VERSO_CE_SUD-Allarme assenza tensione dispositivo verso cabina sud</v>
      </c>
      <c r="D614" t="str">
        <f>VLOOKUP(B614,'EXPORT IRIS PROD 13-11-2024'!A:A,1,0)</f>
        <v>ALR_ASSENZA_TENSIONE_VERSO_CE_SUD-Allarme assenza tensione dispositivo verso cabina sud</v>
      </c>
      <c r="E614" t="str">
        <f>VLOOKUP(H614,'EXPORT IRIS PROD 13-11-2024'!F:F,1,0)</f>
        <v>ALR_ASSENZA_TENSIONE_VERSO_CE_SUD</v>
      </c>
      <c r="F614" t="str">
        <f>VLOOKUP(I614,'EXPORT IRIS PROD 13-11-2024'!D:D,1,0)</f>
        <v>Allarme assenza tensione dispositivo verso cabina sud</v>
      </c>
      <c r="G614" s="37" t="s">
        <v>16</v>
      </c>
      <c r="H614" s="38" t="s">
        <v>1148</v>
      </c>
      <c r="I614" s="45" t="s">
        <v>1149</v>
      </c>
      <c r="J614" s="46" t="s">
        <v>19</v>
      </c>
      <c r="K614" s="46" t="s">
        <v>1147</v>
      </c>
      <c r="L614" s="40" t="s">
        <v>21</v>
      </c>
      <c r="M614" s="41" t="s">
        <v>22</v>
      </c>
      <c r="N614" s="42" t="s">
        <v>23</v>
      </c>
      <c r="O614" s="43" t="s">
        <v>24</v>
      </c>
      <c r="P614" s="42" t="s">
        <v>25</v>
      </c>
      <c r="Q614" s="42" t="s">
        <v>21</v>
      </c>
      <c r="R614" s="44"/>
    </row>
    <row r="615" spans="1:18" x14ac:dyDescent="0.25">
      <c r="A615" t="str">
        <f t="shared" si="18"/>
        <v>Impianto Bypass_PLC bypass_ALR_ASSENZA_TENSIONE_VERSO_CE_SUD-Allarme assenza tensione dispositivo verso cabina sud</v>
      </c>
      <c r="B615" t="str">
        <f t="shared" si="19"/>
        <v>ALR_ASSENZA_TENSIONE_VERSO_CE_SUD-Allarme assenza tensione dispositivo verso cabina sud</v>
      </c>
      <c r="C615" t="str">
        <f>VLOOKUP(B615,'[2]Classi allarmi RMT-STIG_rev4'!$C:$C,1,0)</f>
        <v>ALR_ASSENZA_TENSIONE_VERSO_CE_SUD-Allarme assenza tensione dispositivo verso cabina sud</v>
      </c>
      <c r="D615" t="str">
        <f>VLOOKUP(B615,'EXPORT IRIS PROD 13-11-2024'!A:A,1,0)</f>
        <v>ALR_ASSENZA_TENSIONE_VERSO_CE_SUD-Allarme assenza tensione dispositivo verso cabina sud</v>
      </c>
      <c r="E615" t="str">
        <f>VLOOKUP(H615,'EXPORT IRIS PROD 13-11-2024'!F:F,1,0)</f>
        <v>ALR_ASSENZA_TENSIONE_VERSO_CE_SUD</v>
      </c>
      <c r="F615" t="str">
        <f>VLOOKUP(I615,'EXPORT IRIS PROD 13-11-2024'!D:D,1,0)</f>
        <v>Allarme assenza tensione dispositivo verso cabina sud</v>
      </c>
      <c r="G615" s="37" t="s">
        <v>863</v>
      </c>
      <c r="H615" s="38" t="s">
        <v>1148</v>
      </c>
      <c r="I615" s="45" t="s">
        <v>1149</v>
      </c>
      <c r="J615" s="46" t="s">
        <v>274</v>
      </c>
      <c r="K615" s="46" t="s">
        <v>1147</v>
      </c>
      <c r="L615" s="40" t="s">
        <v>21</v>
      </c>
      <c r="M615" s="41" t="s">
        <v>22</v>
      </c>
      <c r="N615" s="42" t="s">
        <v>23</v>
      </c>
      <c r="O615" s="43" t="s">
        <v>24</v>
      </c>
      <c r="P615" s="42" t="s">
        <v>25</v>
      </c>
      <c r="Q615" s="42" t="s">
        <v>21</v>
      </c>
      <c r="R615" s="44"/>
    </row>
    <row r="616" spans="1:18" x14ac:dyDescent="0.25">
      <c r="A616" t="str">
        <f t="shared" si="18"/>
        <v>Illuminazione punto-punto_Centralina/Luce_ALR_AVARIA_GRAVE-Allarme avaria grave</v>
      </c>
      <c r="B616" t="str">
        <f t="shared" si="19"/>
        <v>ALR_AVARIA_GRAVE-Allarme avaria grave</v>
      </c>
      <c r="C616" t="str">
        <f>VLOOKUP(B616,'[2]Classi allarmi RMT-STIG_rev4'!$C:$C,1,0)</f>
        <v>ALR_AVARIA_GRAVE-Allarme avaria grave</v>
      </c>
      <c r="D616" t="str">
        <f>VLOOKUP(B616,'EXPORT IRIS PROD 13-11-2024'!A:A,1,0)</f>
        <v>ALR_AVARIA_GRAVE-Allarme avaria grave</v>
      </c>
      <c r="E616" t="str">
        <f>VLOOKUP(H616,'EXPORT IRIS PROD 13-11-2024'!F:F,1,0)</f>
        <v>ALR_AVARIA_GRAVE</v>
      </c>
      <c r="F616" t="str">
        <f>VLOOKUP(I616,'EXPORT IRIS PROD 13-11-2024'!D:D,1,0)</f>
        <v>Allarme avaria grave</v>
      </c>
      <c r="G616" s="37" t="s">
        <v>115</v>
      </c>
      <c r="H616" s="38" t="s">
        <v>1150</v>
      </c>
      <c r="I616" s="45" t="s">
        <v>1151</v>
      </c>
      <c r="J616" s="46" t="s">
        <v>1152</v>
      </c>
      <c r="K616" s="46" t="s">
        <v>1153</v>
      </c>
      <c r="L616" s="40" t="s">
        <v>21</v>
      </c>
      <c r="M616" s="41" t="s">
        <v>22</v>
      </c>
      <c r="N616" s="42" t="s">
        <v>23</v>
      </c>
      <c r="O616" s="43" t="s">
        <v>24</v>
      </c>
      <c r="P616" s="42" t="s">
        <v>25</v>
      </c>
      <c r="Q616" s="42" t="s">
        <v>21</v>
      </c>
      <c r="R616" s="44"/>
    </row>
    <row r="617" spans="1:18" x14ac:dyDescent="0.25">
      <c r="A617" t="str">
        <f t="shared" si="18"/>
        <v>Impianto rete dati_PLC primario/di cabina_ALR_BATTERIA_ALIMENTATORI_SCARICA-Allarme batteria alimentatori scarica</v>
      </c>
      <c r="B617" t="str">
        <f t="shared" si="19"/>
        <v>ALR_BATTERIA_ALIMENTATORI_SCARICA-Allarme batteria alimentatori scarica</v>
      </c>
      <c r="C617" t="str">
        <f>VLOOKUP(B617,'[2]Classi allarmi RMT-STIG_rev4'!$C:$C,1,0)</f>
        <v>ALR_BATTERIA_ALIMENTATORI_SCARICA-Allarme batteria alimentatori scarica</v>
      </c>
      <c r="D617" t="str">
        <f>VLOOKUP(B617,'EXPORT IRIS PROD 13-11-2024'!A:A,1,0)</f>
        <v>ALR_BATTERIA_ALIMENTATORI_SCARICA-Allarme batteria alimentatori scarica</v>
      </c>
      <c r="E617" t="str">
        <f>VLOOKUP(H617,'EXPORT IRIS PROD 13-11-2024'!F:F,1,0)</f>
        <v>ALR_BATTERIA_ALIMENTATORI_SCARICA</v>
      </c>
      <c r="F617" t="str">
        <f>VLOOKUP(I617,'EXPORT IRIS PROD 13-11-2024'!D:D,1,0)</f>
        <v>Allarme batteria alimentatori scarica</v>
      </c>
      <c r="G617" s="37" t="s">
        <v>16</v>
      </c>
      <c r="H617" s="38" t="s">
        <v>1154</v>
      </c>
      <c r="I617" s="45" t="s">
        <v>1155</v>
      </c>
      <c r="J617" s="46" t="s">
        <v>1156</v>
      </c>
      <c r="K617" s="46" t="s">
        <v>1157</v>
      </c>
      <c r="L617" s="40" t="s">
        <v>21</v>
      </c>
      <c r="M617" s="41" t="s">
        <v>22</v>
      </c>
      <c r="N617" s="42" t="s">
        <v>23</v>
      </c>
      <c r="O617" s="43" t="s">
        <v>24</v>
      </c>
      <c r="P617" s="42" t="s">
        <v>25</v>
      </c>
      <c r="Q617" s="42" t="s">
        <v>21</v>
      </c>
      <c r="R617" s="44"/>
    </row>
    <row r="618" spans="1:18" x14ac:dyDescent="0.25">
      <c r="A618" t="str">
        <f t="shared" si="18"/>
        <v>Impianto Bypass_Bypass generale/quadro elettrico_ALR_BYPASS_NORD_1-Allarme bypass 1 dir. nord</v>
      </c>
      <c r="B618" t="str">
        <f t="shared" si="19"/>
        <v>ALR_BYPASS_NORD_1-Allarme bypass 1 dir. nord</v>
      </c>
      <c r="C618" t="str">
        <f>VLOOKUP(B618,'[2]Classi allarmi RMT-STIG_rev4'!$C:$C,1,0)</f>
        <v>ALR_BYPASS_NORD_1-Allarme bypass 1 dir. nord</v>
      </c>
      <c r="D618" t="str">
        <f>VLOOKUP(B618,'EXPORT IRIS PROD 13-11-2024'!A:A,1,0)</f>
        <v>ALR_BYPASS_NORD_1-Allarme bypass 1 dir. nord</v>
      </c>
      <c r="E618" t="str">
        <f>VLOOKUP(H618,'EXPORT IRIS PROD 13-11-2024'!F:F,1,0)</f>
        <v>ALR_BYPASS_NORD_1</v>
      </c>
      <c r="F618" t="str">
        <f>VLOOKUP(I618,'EXPORT IRIS PROD 13-11-2024'!D:D,1,0)</f>
        <v>Allarme bypass 1 dir. nord</v>
      </c>
      <c r="G618" s="37" t="s">
        <v>271</v>
      </c>
      <c r="H618" s="38" t="s">
        <v>1158</v>
      </c>
      <c r="I618" s="45" t="s">
        <v>1159</v>
      </c>
      <c r="J618" s="46" t="s">
        <v>274</v>
      </c>
      <c r="K618" s="46" t="s">
        <v>1160</v>
      </c>
      <c r="L618" s="40" t="s">
        <v>21</v>
      </c>
      <c r="M618" s="41" t="s">
        <v>22</v>
      </c>
      <c r="N618" s="42" t="s">
        <v>23</v>
      </c>
      <c r="O618" s="43" t="s">
        <v>24</v>
      </c>
      <c r="P618" s="42" t="s">
        <v>25</v>
      </c>
      <c r="Q618" s="42" t="s">
        <v>21</v>
      </c>
      <c r="R618" s="44"/>
    </row>
    <row r="619" spans="1:18" x14ac:dyDescent="0.25">
      <c r="A619" t="str">
        <f t="shared" si="18"/>
        <v>Impianto Bypass_Bypass generale/quadro elettrico_ALR_BYPASS_NORD_2-Allarme bypass 2 dir. nord</v>
      </c>
      <c r="B619" t="str">
        <f t="shared" si="19"/>
        <v>ALR_BYPASS_NORD_2-Allarme bypass 2 dir. nord</v>
      </c>
      <c r="C619" t="str">
        <f>VLOOKUP(B619,'[2]Classi allarmi RMT-STIG_rev4'!$C:$C,1,0)</f>
        <v>ALR_BYPASS_NORD_2-Allarme bypass 2 dir. nord</v>
      </c>
      <c r="D619" t="str">
        <f>VLOOKUP(B619,'EXPORT IRIS PROD 13-11-2024'!A:A,1,0)</f>
        <v>ALR_BYPASS_NORD_2-Allarme bypass 2 dir. nord</v>
      </c>
      <c r="E619" t="str">
        <f>VLOOKUP(H619,'EXPORT IRIS PROD 13-11-2024'!F:F,1,0)</f>
        <v>ALR_BYPASS_NORD_2</v>
      </c>
      <c r="F619" t="str">
        <f>VLOOKUP(I619,'EXPORT IRIS PROD 13-11-2024'!D:D,1,0)</f>
        <v>Allarme bypass 2 dir. nord</v>
      </c>
      <c r="G619" s="37" t="s">
        <v>271</v>
      </c>
      <c r="H619" s="38" t="s">
        <v>1161</v>
      </c>
      <c r="I619" s="45" t="s">
        <v>1162</v>
      </c>
      <c r="J619" s="46" t="s">
        <v>274</v>
      </c>
      <c r="K619" s="46" t="s">
        <v>1160</v>
      </c>
      <c r="L619" s="40" t="s">
        <v>21</v>
      </c>
      <c r="M619" s="41" t="s">
        <v>22</v>
      </c>
      <c r="N619" s="42" t="s">
        <v>23</v>
      </c>
      <c r="O619" s="43" t="s">
        <v>24</v>
      </c>
      <c r="P619" s="42" t="s">
        <v>25</v>
      </c>
      <c r="Q619" s="42" t="s">
        <v>21</v>
      </c>
      <c r="R619" s="44"/>
    </row>
    <row r="620" spans="1:18" x14ac:dyDescent="0.25">
      <c r="A620" t="str">
        <f t="shared" si="18"/>
        <v>Impianto Bypass_Bypass generale/quadro elettrico_ALR_BYPASS_NORD_3-Allarme bypass 3 dir. nord</v>
      </c>
      <c r="B620" t="str">
        <f t="shared" si="19"/>
        <v>ALR_BYPASS_NORD_3-Allarme bypass 3 dir. nord</v>
      </c>
      <c r="C620" t="str">
        <f>VLOOKUP(B620,'[2]Classi allarmi RMT-STIG_rev4'!$C:$C,1,0)</f>
        <v>ALR_BYPASS_NORD_3-Allarme bypass 3 dir. nord</v>
      </c>
      <c r="D620" t="str">
        <f>VLOOKUP(B620,'EXPORT IRIS PROD 13-11-2024'!A:A,1,0)</f>
        <v>ALR_BYPASS_NORD_3-Allarme bypass 3 dir. nord</v>
      </c>
      <c r="E620" t="str">
        <f>VLOOKUP(H620,'EXPORT IRIS PROD 13-11-2024'!F:F,1,0)</f>
        <v>ALR_BYPASS_NORD_3</v>
      </c>
      <c r="F620" t="str">
        <f>VLOOKUP(I620,'EXPORT IRIS PROD 13-11-2024'!D:D,1,0)</f>
        <v>Allarme bypass 3 dir. nord</v>
      </c>
      <c r="G620" s="37" t="s">
        <v>271</v>
      </c>
      <c r="H620" s="38" t="s">
        <v>1163</v>
      </c>
      <c r="I620" s="45" t="s">
        <v>1164</v>
      </c>
      <c r="J620" s="46" t="s">
        <v>274</v>
      </c>
      <c r="K620" s="46" t="s">
        <v>1160</v>
      </c>
      <c r="L620" s="40" t="s">
        <v>21</v>
      </c>
      <c r="M620" s="41" t="s">
        <v>22</v>
      </c>
      <c r="N620" s="42" t="s">
        <v>23</v>
      </c>
      <c r="O620" s="43" t="s">
        <v>24</v>
      </c>
      <c r="P620" s="42" t="s">
        <v>25</v>
      </c>
      <c r="Q620" s="42" t="s">
        <v>21</v>
      </c>
      <c r="R620" s="44"/>
    </row>
    <row r="621" spans="1:18" x14ac:dyDescent="0.25">
      <c r="A621" t="str">
        <f t="shared" si="18"/>
        <v>Impianto Bypass_Bypass generale/quadro elettrico_ALR_BYPASS_SUD_1-Allarme bypass 1 dir. sud</v>
      </c>
      <c r="B621" t="str">
        <f t="shared" si="19"/>
        <v>ALR_BYPASS_SUD_1-Allarme bypass 1 dir. sud</v>
      </c>
      <c r="C621" t="str">
        <f>VLOOKUP(B621,'[2]Classi allarmi RMT-STIG_rev4'!$C:$C,1,0)</f>
        <v>ALR_BYPASS_SUD_1-Allarme bypass 1 dir. sud</v>
      </c>
      <c r="D621" t="str">
        <f>VLOOKUP(B621,'EXPORT IRIS PROD 13-11-2024'!A:A,1,0)</f>
        <v>ALR_BYPASS_SUD_1-Allarme bypass 1 dir. sud</v>
      </c>
      <c r="E621" t="str">
        <f>VLOOKUP(H621,'EXPORT IRIS PROD 13-11-2024'!F:F,1,0)</f>
        <v>ALR_BYPASS_SUD_1</v>
      </c>
      <c r="F621" t="str">
        <f>VLOOKUP(I621,'EXPORT IRIS PROD 13-11-2024'!D:D,1,0)</f>
        <v>Allarme bypass 1 dir. sud</v>
      </c>
      <c r="G621" s="37" t="s">
        <v>271</v>
      </c>
      <c r="H621" s="38" t="s">
        <v>1165</v>
      </c>
      <c r="I621" s="45" t="s">
        <v>1166</v>
      </c>
      <c r="J621" s="46" t="s">
        <v>274</v>
      </c>
      <c r="K621" s="46" t="s">
        <v>1160</v>
      </c>
      <c r="L621" s="40" t="s">
        <v>21</v>
      </c>
      <c r="M621" s="41" t="s">
        <v>22</v>
      </c>
      <c r="N621" s="42" t="s">
        <v>23</v>
      </c>
      <c r="O621" s="43" t="s">
        <v>24</v>
      </c>
      <c r="P621" s="42" t="s">
        <v>25</v>
      </c>
      <c r="Q621" s="42" t="s">
        <v>21</v>
      </c>
      <c r="R621" s="44"/>
    </row>
    <row r="622" spans="1:18" x14ac:dyDescent="0.25">
      <c r="A622" t="str">
        <f t="shared" si="18"/>
        <v>Impianto Bypass_Bypass generale/quadro elettrico_ALR_BYPASS_SUD_2-Allarme bypass 2 dir. sud</v>
      </c>
      <c r="B622" t="str">
        <f t="shared" si="19"/>
        <v>ALR_BYPASS_SUD_2-Allarme bypass 2 dir. sud</v>
      </c>
      <c r="C622" t="str">
        <f>VLOOKUP(B622,'[2]Classi allarmi RMT-STIG_rev4'!$C:$C,1,0)</f>
        <v>ALR_BYPASS_SUD_2-Allarme bypass 2 dir. sud</v>
      </c>
      <c r="D622" t="str">
        <f>VLOOKUP(B622,'EXPORT IRIS PROD 13-11-2024'!A:A,1,0)</f>
        <v>ALR_BYPASS_SUD_2-Allarme bypass 2 dir. sud</v>
      </c>
      <c r="E622" t="str">
        <f>VLOOKUP(H622,'EXPORT IRIS PROD 13-11-2024'!F:F,1,0)</f>
        <v>ALR_BYPASS_SUD_2</v>
      </c>
      <c r="F622" t="str">
        <f>VLOOKUP(I622,'EXPORT IRIS PROD 13-11-2024'!D:D,1,0)</f>
        <v>Allarme bypass 2 dir. sud</v>
      </c>
      <c r="G622" s="37" t="s">
        <v>271</v>
      </c>
      <c r="H622" s="38" t="s">
        <v>1167</v>
      </c>
      <c r="I622" s="45" t="s">
        <v>1168</v>
      </c>
      <c r="J622" s="46" t="s">
        <v>274</v>
      </c>
      <c r="K622" s="46" t="s">
        <v>1160</v>
      </c>
      <c r="L622" s="40" t="s">
        <v>21</v>
      </c>
      <c r="M622" s="41" t="s">
        <v>22</v>
      </c>
      <c r="N622" s="42" t="s">
        <v>23</v>
      </c>
      <c r="O622" s="43" t="s">
        <v>24</v>
      </c>
      <c r="P622" s="42" t="s">
        <v>25</v>
      </c>
      <c r="Q622" s="42" t="s">
        <v>21</v>
      </c>
      <c r="R622" s="44"/>
    </row>
    <row r="623" spans="1:18" x14ac:dyDescent="0.25">
      <c r="A623" t="str">
        <f t="shared" si="18"/>
        <v>Impianto Bypass_Bypass generale/quadro elettrico_ALR_BYPASS_SUD_3-Allarme bypass 3 dir. sud</v>
      </c>
      <c r="B623" t="str">
        <f t="shared" si="19"/>
        <v>ALR_BYPASS_SUD_3-Allarme bypass 3 dir. sud</v>
      </c>
      <c r="C623" t="str">
        <f>VLOOKUP(B623,'[2]Classi allarmi RMT-STIG_rev4'!$C:$C,1,0)</f>
        <v>ALR_BYPASS_SUD_3-Allarme bypass 3 dir. sud</v>
      </c>
      <c r="D623" t="str">
        <f>VLOOKUP(B623,'EXPORT IRIS PROD 13-11-2024'!A:A,1,0)</f>
        <v>ALR_BYPASS_SUD_3-Allarme bypass 3 dir. sud</v>
      </c>
      <c r="E623" t="str">
        <f>VLOOKUP(H623,'EXPORT IRIS PROD 13-11-2024'!F:F,1,0)</f>
        <v>ALR_BYPASS_SUD_3</v>
      </c>
      <c r="F623" t="str">
        <f>VLOOKUP(I623,'EXPORT IRIS PROD 13-11-2024'!D:D,1,0)</f>
        <v>Allarme bypass 3 dir. sud</v>
      </c>
      <c r="G623" s="37" t="s">
        <v>271</v>
      </c>
      <c r="H623" s="38" t="s">
        <v>1169</v>
      </c>
      <c r="I623" s="45" t="s">
        <v>1170</v>
      </c>
      <c r="J623" s="46" t="s">
        <v>274</v>
      </c>
      <c r="K623" s="46" t="s">
        <v>1160</v>
      </c>
      <c r="L623" s="40" t="s">
        <v>21</v>
      </c>
      <c r="M623" s="41" t="s">
        <v>22</v>
      </c>
      <c r="N623" s="42" t="s">
        <v>23</v>
      </c>
      <c r="O623" s="43" t="s">
        <v>24</v>
      </c>
      <c r="P623" s="42" t="s">
        <v>25</v>
      </c>
      <c r="Q623" s="42" t="s">
        <v>21</v>
      </c>
      <c r="R623" s="44"/>
    </row>
    <row r="624" spans="1:18" x14ac:dyDescent="0.25">
      <c r="A624" t="str">
        <f t="shared" si="18"/>
        <v>Impianto Ventilazione_Sensori CO/OP_ALR_CANALE-Allarme canale</v>
      </c>
      <c r="B624" t="str">
        <f t="shared" si="19"/>
        <v>ALR_CANALE-Allarme canale</v>
      </c>
      <c r="C624" t="str">
        <f>VLOOKUP(B624,'[2]Classi allarmi RMT-STIG_rev4'!$C:$C,1,0)</f>
        <v>ALR_CANALE-Allarme canale</v>
      </c>
      <c r="D624" t="str">
        <f>VLOOKUP(B624,'EXPORT IRIS PROD 13-11-2024'!A:A,1,0)</f>
        <v>ALR_CANALE-Allarme canale</v>
      </c>
      <c r="E624" t="str">
        <f>VLOOKUP(H624,'EXPORT IRIS PROD 13-11-2024'!F:F,1,0)</f>
        <v>ALR_CANALE</v>
      </c>
      <c r="F624" t="str">
        <f>VLOOKUP(I624,'EXPORT IRIS PROD 13-11-2024'!D:D,1,0)</f>
        <v>Allarme canale</v>
      </c>
      <c r="G624" s="37" t="s">
        <v>85</v>
      </c>
      <c r="H624" s="38" t="s">
        <v>1171</v>
      </c>
      <c r="I624" s="45" t="s">
        <v>1172</v>
      </c>
      <c r="J624" s="46" t="s">
        <v>50</v>
      </c>
      <c r="K624" s="46" t="s">
        <v>1173</v>
      </c>
      <c r="L624" s="40" t="s">
        <v>21</v>
      </c>
      <c r="M624" s="41" t="s">
        <v>22</v>
      </c>
      <c r="N624" s="42" t="s">
        <v>23</v>
      </c>
      <c r="O624" s="43" t="s">
        <v>24</v>
      </c>
      <c r="P624" s="42" t="s">
        <v>25</v>
      </c>
      <c r="Q624" s="42" t="s">
        <v>21</v>
      </c>
      <c r="R624" s="44"/>
    </row>
    <row r="625" spans="1:18" x14ac:dyDescent="0.25">
      <c r="A625" t="str">
        <f t="shared" si="18"/>
        <v>Impianto Ventilazione_Ventilatore_ALR_CANALE-Allarme canale</v>
      </c>
      <c r="B625" t="str">
        <f t="shared" si="19"/>
        <v>ALR_CANALE-Allarme canale</v>
      </c>
      <c r="C625" t="str">
        <f>VLOOKUP(B625,'[2]Classi allarmi RMT-STIG_rev4'!$C:$C,1,0)</f>
        <v>ALR_CANALE-Allarme canale</v>
      </c>
      <c r="D625" t="str">
        <f>VLOOKUP(B625,'EXPORT IRIS PROD 13-11-2024'!A:A,1,0)</f>
        <v>ALR_CANALE-Allarme canale</v>
      </c>
      <c r="E625" t="str">
        <f>VLOOKUP(H625,'EXPORT IRIS PROD 13-11-2024'!F:F,1,0)</f>
        <v>ALR_CANALE</v>
      </c>
      <c r="F625" t="str">
        <f>VLOOKUP(I625,'EXPORT IRIS PROD 13-11-2024'!D:D,1,0)</f>
        <v>Allarme canale</v>
      </c>
      <c r="G625" s="37" t="s">
        <v>85</v>
      </c>
      <c r="H625" s="38" t="s">
        <v>1171</v>
      </c>
      <c r="I625" s="45" t="s">
        <v>1172</v>
      </c>
      <c r="J625" s="46" t="s">
        <v>50</v>
      </c>
      <c r="K625" s="46" t="s">
        <v>124</v>
      </c>
      <c r="L625" s="40" t="s">
        <v>21</v>
      </c>
      <c r="M625" s="41" t="s">
        <v>22</v>
      </c>
      <c r="N625" s="42" t="s">
        <v>23</v>
      </c>
      <c r="O625" s="43" t="s">
        <v>24</v>
      </c>
      <c r="P625" s="42" t="s">
        <v>25</v>
      </c>
      <c r="Q625" s="42" t="s">
        <v>21</v>
      </c>
      <c r="R625" s="44"/>
    </row>
    <row r="626" spans="1:18" x14ac:dyDescent="0.25">
      <c r="A626" t="str">
        <f t="shared" si="18"/>
        <v>Impianto Bypass_Pressostato/Pressione differenziale_ALR_CANALE-Allarme canale</v>
      </c>
      <c r="B626" t="str">
        <f t="shared" si="19"/>
        <v>ALR_CANALE-Allarme canale</v>
      </c>
      <c r="C626" t="str">
        <f>VLOOKUP(B626,'[2]Classi allarmi RMT-STIG_rev4'!$C:$C,1,0)</f>
        <v>ALR_CANALE-Allarme canale</v>
      </c>
      <c r="D626" t="str">
        <f>VLOOKUP(B626,'EXPORT IRIS PROD 13-11-2024'!A:A,1,0)</f>
        <v>ALR_CANALE-Allarme canale</v>
      </c>
      <c r="E626" t="str">
        <f>VLOOKUP(H626,'EXPORT IRIS PROD 13-11-2024'!F:F,1,0)</f>
        <v>ALR_CANALE</v>
      </c>
      <c r="F626" t="str">
        <f>VLOOKUP(I626,'EXPORT IRIS PROD 13-11-2024'!D:D,1,0)</f>
        <v>Allarme canale</v>
      </c>
      <c r="G626" s="37" t="s">
        <v>271</v>
      </c>
      <c r="H626" s="38" t="s">
        <v>1171</v>
      </c>
      <c r="I626" s="45" t="s">
        <v>1172</v>
      </c>
      <c r="J626" s="46" t="s">
        <v>274</v>
      </c>
      <c r="K626" s="46" t="s">
        <v>1174</v>
      </c>
      <c r="L626" s="40" t="s">
        <v>21</v>
      </c>
      <c r="M626" s="41" t="s">
        <v>22</v>
      </c>
      <c r="N626" s="42" t="s">
        <v>23</v>
      </c>
      <c r="O626" s="43" t="s">
        <v>24</v>
      </c>
      <c r="P626" s="42" t="s">
        <v>25</v>
      </c>
      <c r="Q626" s="42" t="s">
        <v>21</v>
      </c>
      <c r="R626" s="44"/>
    </row>
    <row r="627" spans="1:18" x14ac:dyDescent="0.25">
      <c r="A627" t="str">
        <f t="shared" si="18"/>
        <v>Impianto rete dati_Route radio_ALR_CANALE-Allarme canale</v>
      </c>
      <c r="B627" t="str">
        <f t="shared" si="19"/>
        <v>ALR_CANALE-Allarme canale</v>
      </c>
      <c r="C627" t="str">
        <f>VLOOKUP(B627,'[2]Classi allarmi RMT-STIG_rev4'!$C:$C,1,0)</f>
        <v>ALR_CANALE-Allarme canale</v>
      </c>
      <c r="D627" t="str">
        <f>VLOOKUP(B627,'EXPORT IRIS PROD 13-11-2024'!A:A,1,0)</f>
        <v>ALR_CANALE-Allarme canale</v>
      </c>
      <c r="E627" t="str">
        <f>VLOOKUP(H627,'EXPORT IRIS PROD 13-11-2024'!F:F,1,0)</f>
        <v>ALR_CANALE</v>
      </c>
      <c r="F627" t="str">
        <f>VLOOKUP(I627,'EXPORT IRIS PROD 13-11-2024'!D:D,1,0)</f>
        <v>Allarme canale</v>
      </c>
      <c r="G627" s="37" t="s">
        <v>16</v>
      </c>
      <c r="H627" s="38" t="s">
        <v>1171</v>
      </c>
      <c r="I627" s="45" t="s">
        <v>1172</v>
      </c>
      <c r="J627" s="46" t="s">
        <v>1156</v>
      </c>
      <c r="K627" s="46" t="s">
        <v>1110</v>
      </c>
      <c r="L627" s="40" t="s">
        <v>21</v>
      </c>
      <c r="M627" s="41" t="s">
        <v>22</v>
      </c>
      <c r="N627" s="42" t="s">
        <v>23</v>
      </c>
      <c r="O627" s="43" t="s">
        <v>24</v>
      </c>
      <c r="P627" s="42" t="s">
        <v>25</v>
      </c>
      <c r="Q627" s="42" t="s">
        <v>21</v>
      </c>
      <c r="R627" s="44"/>
    </row>
    <row r="628" spans="1:18" x14ac:dyDescent="0.25">
      <c r="A628" t="str">
        <f t="shared" si="18"/>
        <v>impianto Radio_Rack radio_ALR_CANALE-Allarme canale</v>
      </c>
      <c r="B628" t="str">
        <f t="shared" si="19"/>
        <v>ALR_CANALE-Allarme canale</v>
      </c>
      <c r="C628" t="str">
        <f>VLOOKUP(B628,'[2]Classi allarmi RMT-STIG_rev4'!$C:$C,1,0)</f>
        <v>ALR_CANALE-Allarme canale</v>
      </c>
      <c r="D628" t="str">
        <f>VLOOKUP(B628,'EXPORT IRIS PROD 13-11-2024'!A:A,1,0)</f>
        <v>ALR_CANALE-Allarme canale</v>
      </c>
      <c r="E628" t="str">
        <f>VLOOKUP(H628,'EXPORT IRIS PROD 13-11-2024'!F:F,1,0)</f>
        <v>ALR_CANALE</v>
      </c>
      <c r="F628" t="str">
        <f>VLOOKUP(I628,'EXPORT IRIS PROD 13-11-2024'!D:D,1,0)</f>
        <v>Allarme canale</v>
      </c>
      <c r="G628" s="37" t="s">
        <v>1108</v>
      </c>
      <c r="H628" s="38" t="s">
        <v>1171</v>
      </c>
      <c r="I628" s="45" t="s">
        <v>1172</v>
      </c>
      <c r="J628" s="46" t="s">
        <v>1175</v>
      </c>
      <c r="K628" s="46" t="s">
        <v>20</v>
      </c>
      <c r="L628" s="40" t="s">
        <v>21</v>
      </c>
      <c r="M628" s="41" t="s">
        <v>22</v>
      </c>
      <c r="N628" s="42" t="s">
        <v>23</v>
      </c>
      <c r="O628" s="43" t="s">
        <v>24</v>
      </c>
      <c r="P628" s="42" t="s">
        <v>25</v>
      </c>
      <c r="Q628" s="42" t="s">
        <v>21</v>
      </c>
      <c r="R628" s="44"/>
    </row>
    <row r="629" spans="1:18" x14ac:dyDescent="0.25">
      <c r="A629" t="str">
        <f t="shared" si="18"/>
        <v>Impianto Radio_Route radio_ALR_CANALE_1-Allarme canale 1</v>
      </c>
      <c r="B629" t="str">
        <f t="shared" si="19"/>
        <v>ALR_CANALE_1-Allarme canale 1</v>
      </c>
      <c r="C629" t="str">
        <f>VLOOKUP(B629,'[2]Classi allarmi RMT-STIG_rev4'!$C:$C,1,0)</f>
        <v>ALR_CANALE_1-Allarme canale 1</v>
      </c>
      <c r="D629" t="str">
        <f>VLOOKUP(B629,'EXPORT IRIS PROD 13-11-2024'!A:A,1,0)</f>
        <v>ALR_CANALE_1-Allarme canale 1</v>
      </c>
      <c r="E629" t="str">
        <f>VLOOKUP(H629,'EXPORT IRIS PROD 13-11-2024'!F:F,1,0)</f>
        <v>ALR_CANALE_1</v>
      </c>
      <c r="F629" t="str">
        <f>VLOOKUP(I629,'EXPORT IRIS PROD 13-11-2024'!D:D,1,0)</f>
        <v>Allarme canale 1</v>
      </c>
      <c r="G629" s="37" t="s">
        <v>1108</v>
      </c>
      <c r="H629" s="38" t="s">
        <v>1176</v>
      </c>
      <c r="I629" s="45" t="s">
        <v>1177</v>
      </c>
      <c r="J629" s="46" t="s">
        <v>1109</v>
      </c>
      <c r="K629" s="46" t="s">
        <v>1110</v>
      </c>
      <c r="L629" s="40" t="s">
        <v>21</v>
      </c>
      <c r="M629" s="41" t="s">
        <v>22</v>
      </c>
      <c r="N629" s="42" t="s">
        <v>23</v>
      </c>
      <c r="O629" s="43" t="s">
        <v>24</v>
      </c>
      <c r="P629" s="42" t="s">
        <v>25</v>
      </c>
      <c r="Q629" s="42" t="s">
        <v>21</v>
      </c>
      <c r="R629" s="44"/>
    </row>
    <row r="630" spans="1:18" x14ac:dyDescent="0.25">
      <c r="A630" t="str">
        <f t="shared" si="18"/>
        <v>Impianto Radio_Route radio_ALR_CANALE_2-Allarme canale 2</v>
      </c>
      <c r="B630" t="str">
        <f t="shared" si="19"/>
        <v>ALR_CANALE_2-Allarme canale 2</v>
      </c>
      <c r="C630" t="str">
        <f>VLOOKUP(B630,'[2]Classi allarmi RMT-STIG_rev4'!$C:$C,1,0)</f>
        <v>ALR_CANALE_2-Allarme canale 2</v>
      </c>
      <c r="D630" t="str">
        <f>VLOOKUP(B630,'EXPORT IRIS PROD 13-11-2024'!A:A,1,0)</f>
        <v>ALR_CANALE_2-Allarme canale 2</v>
      </c>
      <c r="E630" t="str">
        <f>VLOOKUP(H630,'EXPORT IRIS PROD 13-11-2024'!F:F,1,0)</f>
        <v>ALR_CANALE_2</v>
      </c>
      <c r="F630" t="str">
        <f>VLOOKUP(I630,'EXPORT IRIS PROD 13-11-2024'!D:D,1,0)</f>
        <v>Allarme canale 2</v>
      </c>
      <c r="G630" s="37" t="s">
        <v>1108</v>
      </c>
      <c r="H630" s="38" t="s">
        <v>1178</v>
      </c>
      <c r="I630" s="45" t="s">
        <v>1179</v>
      </c>
      <c r="J630" s="46" t="s">
        <v>1109</v>
      </c>
      <c r="K630" s="46" t="s">
        <v>1110</v>
      </c>
      <c r="L630" s="40" t="s">
        <v>21</v>
      </c>
      <c r="M630" s="41" t="s">
        <v>22</v>
      </c>
      <c r="N630" s="42" t="s">
        <v>23</v>
      </c>
      <c r="O630" s="43" t="s">
        <v>24</v>
      </c>
      <c r="P630" s="42" t="s">
        <v>25</v>
      </c>
      <c r="Q630" s="42" t="s">
        <v>21</v>
      </c>
      <c r="R630" s="44"/>
    </row>
    <row r="631" spans="1:18" x14ac:dyDescent="0.25">
      <c r="A631" t="str">
        <f t="shared" si="18"/>
        <v>Impianto Radio_Route radio_ALR_CANALE_3-Allarme canale 3</v>
      </c>
      <c r="B631" t="str">
        <f t="shared" si="19"/>
        <v>ALR_CANALE_3-Allarme canale 3</v>
      </c>
      <c r="C631" t="str">
        <f>VLOOKUP(B631,'[2]Classi allarmi RMT-STIG_rev4'!$C:$C,1,0)</f>
        <v>ALR_CANALE_3-Allarme canale 3</v>
      </c>
      <c r="D631" t="str">
        <f>VLOOKUP(B631,'EXPORT IRIS PROD 13-11-2024'!A:A,1,0)</f>
        <v>ALR_CANALE_3-Allarme canale 3</v>
      </c>
      <c r="E631" t="str">
        <f>VLOOKUP(H631,'EXPORT IRIS PROD 13-11-2024'!F:F,1,0)</f>
        <v>ALR_CANALE_3</v>
      </c>
      <c r="F631" t="str">
        <f>VLOOKUP(I631,'EXPORT IRIS PROD 13-11-2024'!D:D,1,0)</f>
        <v>Allarme canale 3</v>
      </c>
      <c r="G631" s="37" t="s">
        <v>1108</v>
      </c>
      <c r="H631" s="38" t="s">
        <v>1180</v>
      </c>
      <c r="I631" s="45" t="s">
        <v>1181</v>
      </c>
      <c r="J631" s="46" t="s">
        <v>1109</v>
      </c>
      <c r="K631" s="46" t="s">
        <v>1110</v>
      </c>
      <c r="L631" s="40" t="s">
        <v>21</v>
      </c>
      <c r="M631" s="41" t="s">
        <v>22</v>
      </c>
      <c r="N631" s="42" t="s">
        <v>23</v>
      </c>
      <c r="O631" s="43" t="s">
        <v>24</v>
      </c>
      <c r="P631" s="42" t="s">
        <v>25</v>
      </c>
      <c r="Q631" s="42" t="s">
        <v>21</v>
      </c>
      <c r="R631" s="44"/>
    </row>
    <row r="632" spans="1:18" x14ac:dyDescent="0.25">
      <c r="A632" t="str">
        <f t="shared" si="18"/>
        <v>Impianto Radio_Route radio_ALR_CANALE_4-Allarme canale 4</v>
      </c>
      <c r="B632" t="str">
        <f t="shared" si="19"/>
        <v>ALR_CANALE_4-Allarme canale 4</v>
      </c>
      <c r="C632" t="str">
        <f>VLOOKUP(B632,'[2]Classi allarmi RMT-STIG_rev4'!$C:$C,1,0)</f>
        <v>ALR_CANALE_4-Allarme canale 4</v>
      </c>
      <c r="D632" t="str">
        <f>VLOOKUP(B632,'EXPORT IRIS PROD 13-11-2024'!A:A,1,0)</f>
        <v>ALR_CANALE_4-Allarme canale 4</v>
      </c>
      <c r="E632" t="str">
        <f>VLOOKUP(H632,'EXPORT IRIS PROD 13-11-2024'!F:F,1,0)</f>
        <v>ALR_CANALE_4</v>
      </c>
      <c r="F632" t="str">
        <f>VLOOKUP(I632,'EXPORT IRIS PROD 13-11-2024'!D:D,1,0)</f>
        <v>Allarme canale 4</v>
      </c>
      <c r="G632" s="37" t="s">
        <v>1108</v>
      </c>
      <c r="H632" s="38" t="s">
        <v>1182</v>
      </c>
      <c r="I632" s="45" t="s">
        <v>1183</v>
      </c>
      <c r="J632" s="46" t="s">
        <v>1109</v>
      </c>
      <c r="K632" s="46" t="s">
        <v>1110</v>
      </c>
      <c r="L632" s="40" t="s">
        <v>21</v>
      </c>
      <c r="M632" s="41" t="s">
        <v>22</v>
      </c>
      <c r="N632" s="42" t="s">
        <v>23</v>
      </c>
      <c r="O632" s="43" t="s">
        <v>24</v>
      </c>
      <c r="P632" s="42" t="s">
        <v>25</v>
      </c>
      <c r="Q632" s="42" t="s">
        <v>21</v>
      </c>
      <c r="R632" s="44"/>
    </row>
    <row r="633" spans="1:18" x14ac:dyDescent="0.25">
      <c r="A633" t="str">
        <f t="shared" si="18"/>
        <v>Impianto radio_Route radio_ALR_CANALE_5-Allarme canale 5</v>
      </c>
      <c r="B633" t="str">
        <f t="shared" si="19"/>
        <v>ALR_CANALE_5-Allarme canale 5</v>
      </c>
      <c r="C633" t="str">
        <f>VLOOKUP(B633,'[2]Classi allarmi RMT-STIG_rev4'!$C:$C,1,0)</f>
        <v>ALR_CANALE_5-Allarme canale 5</v>
      </c>
      <c r="D633" t="str">
        <f>VLOOKUP(B633,'EXPORT IRIS PROD 13-11-2024'!A:A,1,0)</f>
        <v>ALR_CANALE_5-Allarme canale 5</v>
      </c>
      <c r="E633" t="str">
        <f>VLOOKUP(H633,'EXPORT IRIS PROD 13-11-2024'!F:F,1,0)</f>
        <v>ALR_CANALE_5</v>
      </c>
      <c r="F633" t="str">
        <f>VLOOKUP(I633,'EXPORT IRIS PROD 13-11-2024'!D:D,1,0)</f>
        <v>Allarme canale 5</v>
      </c>
      <c r="G633" s="37" t="s">
        <v>1108</v>
      </c>
      <c r="H633" s="38" t="s">
        <v>1184</v>
      </c>
      <c r="I633" s="45" t="s">
        <v>1185</v>
      </c>
      <c r="J633" s="46" t="s">
        <v>1186</v>
      </c>
      <c r="K633" s="46" t="s">
        <v>1110</v>
      </c>
      <c r="L633" s="40" t="s">
        <v>21</v>
      </c>
      <c r="M633" s="41" t="s">
        <v>22</v>
      </c>
      <c r="N633" s="42" t="s">
        <v>23</v>
      </c>
      <c r="O633" s="43" t="s">
        <v>24</v>
      </c>
      <c r="P633" s="42" t="s">
        <v>25</v>
      </c>
      <c r="Q633" s="42" t="s">
        <v>21</v>
      </c>
      <c r="R633" s="44"/>
    </row>
    <row r="634" spans="1:18" x14ac:dyDescent="0.25">
      <c r="A634" t="str">
        <f t="shared" si="18"/>
        <v>Impianto Ventilazione_Sensori qualità aria CO/OP/NO/AN_ALR_CAVO_ROTTO-Allarme Cavo Rotto</v>
      </c>
      <c r="B634" t="str">
        <f t="shared" si="19"/>
        <v>ALR_CAVO_ROTTO-Allarme Cavo Rotto</v>
      </c>
      <c r="C634" t="str">
        <f>VLOOKUP(B634,'[2]Classi allarmi RMT-STIG_rev4'!$C:$C,1,0)</f>
        <v>ALR_CAVO_ROTTO-Allarme Cavo Rotto</v>
      </c>
      <c r="D634" t="str">
        <f>VLOOKUP(B634,'EXPORT IRIS PROD 13-11-2024'!A:A,1,0)</f>
        <v>ALR_CAVO_ROTTO-Allarme Cavo Rotto</v>
      </c>
      <c r="E634" t="str">
        <f>VLOOKUP(H634,'EXPORT IRIS PROD 13-11-2024'!F:F,1,0)</f>
        <v>ALR_CAVO_ROTTO</v>
      </c>
      <c r="F634" t="str">
        <f>VLOOKUP(I634,'EXPORT IRIS PROD 13-11-2024'!D:D,1,0)</f>
        <v>Allarme Cavo Rotto</v>
      </c>
      <c r="G634" s="37" t="s">
        <v>85</v>
      </c>
      <c r="H634" s="38" t="s">
        <v>1187</v>
      </c>
      <c r="I634" s="45" t="s">
        <v>1188</v>
      </c>
      <c r="J634" s="46" t="s">
        <v>50</v>
      </c>
      <c r="K634" s="46" t="s">
        <v>1189</v>
      </c>
      <c r="L634" s="40" t="s">
        <v>21</v>
      </c>
      <c r="M634" s="41" t="s">
        <v>22</v>
      </c>
      <c r="N634" s="42" t="s">
        <v>23</v>
      </c>
      <c r="O634" s="43" t="s">
        <v>24</v>
      </c>
      <c r="P634" s="42" t="s">
        <v>25</v>
      </c>
      <c r="Q634" s="42" t="s">
        <v>21</v>
      </c>
      <c r="R634" s="44"/>
    </row>
    <row r="635" spans="1:18" x14ac:dyDescent="0.25">
      <c r="A635" t="str">
        <f t="shared" si="18"/>
        <v>Impianto Rilevazione Incendio_Centralina rilevazione incendio/fibrolaser_ALR_CAVO_ROTTO-Allarme Cavo Rotto</v>
      </c>
      <c r="B635" t="str">
        <f t="shared" si="19"/>
        <v>ALR_CAVO_ROTTO-Allarme Cavo Rotto</v>
      </c>
      <c r="C635" t="str">
        <f>VLOOKUP(B635,'[2]Classi allarmi RMT-STIG_rev4'!$C:$C,1,0)</f>
        <v>ALR_CAVO_ROTTO-Allarme Cavo Rotto</v>
      </c>
      <c r="D635" t="str">
        <f>VLOOKUP(B635,'EXPORT IRIS PROD 13-11-2024'!A:A,1,0)</f>
        <v>ALR_CAVO_ROTTO-Allarme Cavo Rotto</v>
      </c>
      <c r="E635" t="str">
        <f>VLOOKUP(H635,'EXPORT IRIS PROD 13-11-2024'!F:F,1,0)</f>
        <v>ALR_CAVO_ROTTO</v>
      </c>
      <c r="F635" t="str">
        <f>VLOOKUP(I635,'EXPORT IRIS PROD 13-11-2024'!D:D,1,0)</f>
        <v>Allarme Cavo Rotto</v>
      </c>
      <c r="G635" s="37" t="s">
        <v>105</v>
      </c>
      <c r="H635" s="38" t="s">
        <v>1187</v>
      </c>
      <c r="I635" s="45" t="s">
        <v>1188</v>
      </c>
      <c r="J635" s="46" t="s">
        <v>43</v>
      </c>
      <c r="K635" s="46" t="s">
        <v>394</v>
      </c>
      <c r="L635" s="40" t="s">
        <v>21</v>
      </c>
      <c r="M635" s="41" t="s">
        <v>22</v>
      </c>
      <c r="N635" s="42" t="s">
        <v>23</v>
      </c>
      <c r="O635" s="43" t="s">
        <v>24</v>
      </c>
      <c r="P635" s="42" t="s">
        <v>25</v>
      </c>
      <c r="Q635" s="42" t="s">
        <v>21</v>
      </c>
      <c r="R635" s="44"/>
    </row>
    <row r="636" spans="1:18" x14ac:dyDescent="0.25">
      <c r="A636" t="str">
        <f t="shared" si="18"/>
        <v>Impianto Rilevazione Incendio_Centralina rilevazione incendio/fibrolaser_ALR_CAVO_SCOLLEGATO-Allarme cavo scollegato</v>
      </c>
      <c r="B636" t="str">
        <f t="shared" si="19"/>
        <v>ALR_CAVO_SCOLLEGATO-Allarme cavo scollegato</v>
      </c>
      <c r="C636" t="str">
        <f>VLOOKUP(B636,'[2]Classi allarmi RMT-STIG_rev4'!$C:$C,1,0)</f>
        <v>ALR_CAVO_SCOLLEGATO-Allarme cavo scollegato</v>
      </c>
      <c r="D636" t="str">
        <f>VLOOKUP(B636,'EXPORT IRIS PROD 13-11-2024'!A:A,1,0)</f>
        <v>ALR_CAVO_SCOLLEGATO-Allarme cavo scollegato</v>
      </c>
      <c r="E636" t="str">
        <f>VLOOKUP(H636,'EXPORT IRIS PROD 13-11-2024'!F:F,1,0)</f>
        <v>ALR_CAVO_SCOLLEGATO</v>
      </c>
      <c r="F636" t="str">
        <f>VLOOKUP(I636,'EXPORT IRIS PROD 13-11-2024'!D:D,1,0)</f>
        <v>Allarme cavo scollegato</v>
      </c>
      <c r="G636" s="37" t="s">
        <v>105</v>
      </c>
      <c r="H636" s="38" t="s">
        <v>1190</v>
      </c>
      <c r="I636" s="45" t="s">
        <v>1191</v>
      </c>
      <c r="J636" s="46" t="s">
        <v>43</v>
      </c>
      <c r="K636" s="46" t="s">
        <v>394</v>
      </c>
      <c r="L636" s="40" t="s">
        <v>21</v>
      </c>
      <c r="M636" s="41" t="s">
        <v>22</v>
      </c>
      <c r="N636" s="42" t="s">
        <v>23</v>
      </c>
      <c r="O636" s="43" t="s">
        <v>24</v>
      </c>
      <c r="P636" s="42" t="s">
        <v>25</v>
      </c>
      <c r="Q636" s="42" t="s">
        <v>21</v>
      </c>
      <c r="R636" s="44"/>
    </row>
    <row r="637" spans="1:18" x14ac:dyDescent="0.25">
      <c r="A637" t="str">
        <f t="shared" si="18"/>
        <v>Impianto Rilevazione Incendio_Centralina rilevazione incendio/fibrolaser_ALR_CENTRALE_INCENDIO_1_IN_STOP-Allarme centrale incendio 1 in stop</v>
      </c>
      <c r="B637" t="str">
        <f t="shared" si="19"/>
        <v>ALR_CENTRALE_INCENDIO_1_IN_STOP-Allarme centrale incendio 1 in stop</v>
      </c>
      <c r="C637" t="str">
        <f>VLOOKUP(B637,'[2]Classi allarmi RMT-STIG_rev4'!$C:$C,1,0)</f>
        <v>ALR_CENTRALE_INCENDIO_1_IN_STOP-Allarme centrale incendio 1 in stop</v>
      </c>
      <c r="D637" t="str">
        <f>VLOOKUP(B637,'EXPORT IRIS PROD 13-11-2024'!A:A,1,0)</f>
        <v>ALR_CENTRALE_INCENDIO_1_IN_STOP-Allarme centrale incendio 1 in stop</v>
      </c>
      <c r="E637" t="str">
        <f>VLOOKUP(H637,'EXPORT IRIS PROD 13-11-2024'!F:F,1,0)</f>
        <v>ALR_CENTRALE_INCENDIO_1_IN_STOP</v>
      </c>
      <c r="F637" t="str">
        <f>VLOOKUP(I637,'EXPORT IRIS PROD 13-11-2024'!D:D,1,0)</f>
        <v>Allarme centrale incendio 1 in stop</v>
      </c>
      <c r="G637" s="37" t="s">
        <v>105</v>
      </c>
      <c r="H637" s="38" t="s">
        <v>1192</v>
      </c>
      <c r="I637" s="45" t="s">
        <v>1193</v>
      </c>
      <c r="J637" s="46" t="s">
        <v>43</v>
      </c>
      <c r="K637" s="46" t="s">
        <v>394</v>
      </c>
      <c r="L637" s="47" t="s">
        <v>31</v>
      </c>
      <c r="M637" s="48" t="s">
        <v>32</v>
      </c>
      <c r="N637" s="42">
        <v>3</v>
      </c>
      <c r="O637" s="43" t="s">
        <v>33</v>
      </c>
      <c r="P637" s="42" t="s">
        <v>34</v>
      </c>
      <c r="Q637" s="42" t="s">
        <v>31</v>
      </c>
      <c r="R637" s="44"/>
    </row>
    <row r="638" spans="1:18" x14ac:dyDescent="0.25">
      <c r="A638" t="str">
        <f t="shared" si="18"/>
        <v>Impianto SOS_Colonnina SOS_ALR_CHIAMATA_ATTIVATA-Allarme chiamata attivata</v>
      </c>
      <c r="B638" t="str">
        <f t="shared" si="19"/>
        <v>ALR_CHIAMATA_ATTIVATA-Allarme chiamata attivata</v>
      </c>
      <c r="C638" t="str">
        <f>VLOOKUP(B638,'[2]Classi allarmi RMT-STIG_rev4'!$C:$C,1,0)</f>
        <v>ALR_CHIAMATA_ATTIVATA-Allarme chiamata attivata</v>
      </c>
      <c r="D638" t="str">
        <f>VLOOKUP(B638,'EXPORT IRIS PROD 13-11-2024'!A:A,1,0)</f>
        <v>ALR_CHIAMATA_ATTIVATA-Allarme chiamata attivata</v>
      </c>
      <c r="E638" t="str">
        <f>VLOOKUP(H638,'EXPORT IRIS PROD 13-11-2024'!F:F,1,0)</f>
        <v>ALR_CHIAMATA_ATTIVATA</v>
      </c>
      <c r="F638" t="str">
        <f>VLOOKUP(I638,'EXPORT IRIS PROD 13-11-2024'!D:D,1,0)</f>
        <v>Allarme chiamata attivata</v>
      </c>
      <c r="G638" s="37" t="s">
        <v>26</v>
      </c>
      <c r="H638" s="38" t="s">
        <v>1194</v>
      </c>
      <c r="I638" s="45" t="s">
        <v>1195</v>
      </c>
      <c r="J638" s="46" t="s">
        <v>29</v>
      </c>
      <c r="K638" s="46" t="s">
        <v>360</v>
      </c>
      <c r="L638" s="47" t="s">
        <v>31</v>
      </c>
      <c r="M638" s="48" t="s">
        <v>32</v>
      </c>
      <c r="N638" s="43">
        <v>1</v>
      </c>
      <c r="O638" s="43" t="s">
        <v>33</v>
      </c>
      <c r="P638" s="43" t="s">
        <v>34</v>
      </c>
      <c r="Q638" s="43" t="s">
        <v>31</v>
      </c>
      <c r="R638" s="44"/>
    </row>
    <row r="639" spans="1:18" x14ac:dyDescent="0.25">
      <c r="A639" t="str">
        <f t="shared" si="18"/>
        <v>Impianto elettrico_Centralina scambio rete-gruppo_ALR_CHIUSURA_TENSIONE_DC_ALTA-Allarme tensione DC alta</v>
      </c>
      <c r="B639" t="str">
        <f t="shared" si="19"/>
        <v>ALR_CHIUSURA_TENSIONE_DC_ALTA-Allarme tensione DC alta</v>
      </c>
      <c r="C639" t="str">
        <f>VLOOKUP(B639,'[2]Classi allarmi RMT-STIG_rev4'!$C:$C,1,0)</f>
        <v>ALR_CHIUSURA_TENSIONE_DC_ALTA-Allarme tensione DC alta</v>
      </c>
      <c r="D639" t="str">
        <f>VLOOKUP(B639,'EXPORT IRIS PROD 13-11-2024'!A:A,1,0)</f>
        <v>ALR_CHIUSURA_TENSIONE_DC_ALTA-Allarme tensione DC alta</v>
      </c>
      <c r="E639" t="str">
        <f>VLOOKUP(H639,'EXPORT IRIS PROD 13-11-2024'!F:F,1,0)</f>
        <v>ALR_CHIUSURA_TENSIONE_DC_ALTA</v>
      </c>
      <c r="F639" t="str">
        <f>VLOOKUP(I639,'EXPORT IRIS PROD 13-11-2024'!D:D,1,0)</f>
        <v>Allarme tensione DC alta</v>
      </c>
      <c r="G639" s="37" t="s">
        <v>53</v>
      </c>
      <c r="H639" s="38" t="s">
        <v>1196</v>
      </c>
      <c r="I639" s="45" t="s">
        <v>1197</v>
      </c>
      <c r="J639" s="46" t="s">
        <v>1106</v>
      </c>
      <c r="K639" s="46" t="s">
        <v>177</v>
      </c>
      <c r="L639" s="40" t="s">
        <v>21</v>
      </c>
      <c r="M639" s="41" t="s">
        <v>22</v>
      </c>
      <c r="N639" s="42" t="s">
        <v>23</v>
      </c>
      <c r="O639" s="43" t="s">
        <v>24</v>
      </c>
      <c r="P639" s="42" t="s">
        <v>25</v>
      </c>
      <c r="Q639" s="42" t="s">
        <v>21</v>
      </c>
      <c r="R639" s="44"/>
    </row>
    <row r="640" spans="1:18" x14ac:dyDescent="0.25">
      <c r="A640" t="str">
        <f t="shared" si="18"/>
        <v>Impianto Elettrico_Centrale scambio rete-gruppo_ALR_CHIUSURA_TENSIONE_DC_ALTA-Allarme tensione DC alta</v>
      </c>
      <c r="B640" t="str">
        <f t="shared" si="19"/>
        <v>ALR_CHIUSURA_TENSIONE_DC_ALTA-Allarme tensione DC alta</v>
      </c>
      <c r="C640" t="str">
        <f>VLOOKUP(B640,'[2]Classi allarmi RMT-STIG_rev4'!$C:$C,1,0)</f>
        <v>ALR_CHIUSURA_TENSIONE_DC_ALTA-Allarme tensione DC alta</v>
      </c>
      <c r="D640" t="str">
        <f>VLOOKUP(B640,'EXPORT IRIS PROD 13-11-2024'!A:A,1,0)</f>
        <v>ALR_CHIUSURA_TENSIONE_DC_ALTA-Allarme tensione DC alta</v>
      </c>
      <c r="E640" t="str">
        <f>VLOOKUP(H640,'EXPORT IRIS PROD 13-11-2024'!F:F,1,0)</f>
        <v>ALR_CHIUSURA_TENSIONE_DC_ALTA</v>
      </c>
      <c r="F640" t="str">
        <f>VLOOKUP(I640,'EXPORT IRIS PROD 13-11-2024'!D:D,1,0)</f>
        <v>Allarme tensione DC alta</v>
      </c>
      <c r="G640" s="37" t="s">
        <v>53</v>
      </c>
      <c r="H640" s="38" t="s">
        <v>1196</v>
      </c>
      <c r="I640" s="45" t="s">
        <v>1197</v>
      </c>
      <c r="J640" s="46" t="s">
        <v>56</v>
      </c>
      <c r="K640" s="46" t="s">
        <v>1198</v>
      </c>
      <c r="L640" s="40" t="s">
        <v>21</v>
      </c>
      <c r="M640" s="41" t="s">
        <v>22</v>
      </c>
      <c r="N640" s="42" t="s">
        <v>23</v>
      </c>
      <c r="O640" s="43" t="s">
        <v>24</v>
      </c>
      <c r="P640" s="42" t="s">
        <v>25</v>
      </c>
      <c r="Q640" s="42" t="s">
        <v>21</v>
      </c>
      <c r="R640" s="44"/>
    </row>
    <row r="641" spans="1:18" x14ac:dyDescent="0.25">
      <c r="A641" t="str">
        <f t="shared" si="18"/>
        <v>Impianto elettrico_Centralina scambio rete-gruppo_ALR_CHIUSURA_TENSIONE_DC_BASSA-Allarme tensione DC bassa</v>
      </c>
      <c r="B641" t="str">
        <f t="shared" si="19"/>
        <v>ALR_CHIUSURA_TENSIONE_DC_BASSA-Allarme tensione DC bassa</v>
      </c>
      <c r="C641" t="str">
        <f>VLOOKUP(B641,'[2]Classi allarmi RMT-STIG_rev4'!$C:$C,1,0)</f>
        <v>ALR_CHIUSURA_TENSIONE_DC_BASSA-Allarme tensione DC bassa</v>
      </c>
      <c r="D641" t="str">
        <f>VLOOKUP(B641,'EXPORT IRIS PROD 13-11-2024'!A:A,1,0)</f>
        <v>ALR_CHIUSURA_TENSIONE_DC_BASSA-Allarme tensione DC bassa</v>
      </c>
      <c r="E641" t="str">
        <f>VLOOKUP(H641,'EXPORT IRIS PROD 13-11-2024'!F:F,1,0)</f>
        <v>ALR_CHIUSURA_TENSIONE_DC_BASSA</v>
      </c>
      <c r="F641" t="str">
        <f>VLOOKUP(I641,'EXPORT IRIS PROD 13-11-2024'!D:D,1,0)</f>
        <v>Allarme tensione DC bassa</v>
      </c>
      <c r="G641" s="37" t="s">
        <v>53</v>
      </c>
      <c r="H641" s="38" t="s">
        <v>1199</v>
      </c>
      <c r="I641" s="45" t="s">
        <v>1200</v>
      </c>
      <c r="J641" s="46" t="s">
        <v>1106</v>
      </c>
      <c r="K641" s="46" t="s">
        <v>177</v>
      </c>
      <c r="L641" s="40" t="s">
        <v>21</v>
      </c>
      <c r="M641" s="41" t="s">
        <v>22</v>
      </c>
      <c r="N641" s="42" t="s">
        <v>23</v>
      </c>
      <c r="O641" s="43" t="s">
        <v>24</v>
      </c>
      <c r="P641" s="42" t="s">
        <v>25</v>
      </c>
      <c r="Q641" s="42" t="s">
        <v>21</v>
      </c>
      <c r="R641" s="44"/>
    </row>
    <row r="642" spans="1:18" x14ac:dyDescent="0.25">
      <c r="A642" t="str">
        <f t="shared" ref="A642:A705" si="20">CONCATENATE(J642,"_",K642,"_",B642)</f>
        <v>Impianto elettrico_Centralina scambio rete-gruppo_ALR_CHIUSURA_TENSIONE_DC_BASSA-Allarme tensione DC bassa</v>
      </c>
      <c r="B642" t="str">
        <f t="shared" si="19"/>
        <v>ALR_CHIUSURA_TENSIONE_DC_BASSA-Allarme tensione DC bassa</v>
      </c>
      <c r="C642" t="str">
        <f>VLOOKUP(B642,'[2]Classi allarmi RMT-STIG_rev4'!$C:$C,1,0)</f>
        <v>ALR_CHIUSURA_TENSIONE_DC_BASSA-Allarme tensione DC bassa</v>
      </c>
      <c r="D642" t="str">
        <f>VLOOKUP(B642,'EXPORT IRIS PROD 13-11-2024'!A:A,1,0)</f>
        <v>ALR_CHIUSURA_TENSIONE_DC_BASSA-Allarme tensione DC bassa</v>
      </c>
      <c r="E642" t="str">
        <f>VLOOKUP(H642,'EXPORT IRIS PROD 13-11-2024'!F:F,1,0)</f>
        <v>ALR_CHIUSURA_TENSIONE_DC_BASSA</v>
      </c>
      <c r="F642" t="str">
        <f>VLOOKUP(I642,'EXPORT IRIS PROD 13-11-2024'!D:D,1,0)</f>
        <v>Allarme tensione DC bassa</v>
      </c>
      <c r="G642" s="37" t="s">
        <v>53</v>
      </c>
      <c r="H642" s="38" t="s">
        <v>1199</v>
      </c>
      <c r="I642" s="45" t="s">
        <v>1200</v>
      </c>
      <c r="J642" s="46" t="s">
        <v>1106</v>
      </c>
      <c r="K642" s="46" t="s">
        <v>177</v>
      </c>
      <c r="L642" s="40" t="s">
        <v>21</v>
      </c>
      <c r="M642" s="41" t="s">
        <v>22</v>
      </c>
      <c r="N642" s="42" t="s">
        <v>23</v>
      </c>
      <c r="O642" s="43" t="s">
        <v>24</v>
      </c>
      <c r="P642" s="42" t="s">
        <v>25</v>
      </c>
      <c r="Q642" s="42" t="s">
        <v>21</v>
      </c>
      <c r="R642" s="95" t="s">
        <v>2046</v>
      </c>
    </row>
    <row r="643" spans="1:18" x14ac:dyDescent="0.25">
      <c r="A643" t="str">
        <f t="shared" si="20"/>
        <v>Smart Road_Regolatore_ALR_CIRCUITO_APERTO-Allarme circuito aperto</v>
      </c>
      <c r="B643" t="str">
        <f t="shared" ref="B643:B706" si="21">CONCATENATE(H643,"-",I643)</f>
        <v>ALR_CIRCUITO_APERTO-Allarme circuito aperto</v>
      </c>
      <c r="C643" t="str">
        <f>VLOOKUP(B643,'[2]Classi allarmi RMT-STIG_rev4'!$C:$C,1,0)</f>
        <v>ALR_CIRCUITO_APERTO-Allarme circuito aperto</v>
      </c>
      <c r="D643" t="str">
        <f>VLOOKUP(B643,'EXPORT IRIS PROD 13-11-2024'!A:A,1,0)</f>
        <v>ALR_CIRCUITO_APERTO-Allarme circuito aperto</v>
      </c>
      <c r="E643" t="str">
        <f>VLOOKUP(H643,'EXPORT IRIS PROD 13-11-2024'!F:F,1,0)</f>
        <v>ALR_CIRCUITO_APERTO</v>
      </c>
      <c r="F643" t="str">
        <f>VLOOKUP(I643,'EXPORT IRIS PROD 13-11-2024'!D:D,1,0)</f>
        <v>Allarme circuito aperto</v>
      </c>
      <c r="G643" s="37" t="s">
        <v>1201</v>
      </c>
      <c r="H643" s="38" t="s">
        <v>1202</v>
      </c>
      <c r="I643" s="45" t="s">
        <v>1203</v>
      </c>
      <c r="J643" s="46" t="s">
        <v>965</v>
      </c>
      <c r="K643" s="46" t="s">
        <v>1204</v>
      </c>
      <c r="L643" s="40" t="s">
        <v>21</v>
      </c>
      <c r="M643" s="41" t="s">
        <v>22</v>
      </c>
      <c r="N643" s="42" t="s">
        <v>23</v>
      </c>
      <c r="O643" s="43" t="s">
        <v>24</v>
      </c>
      <c r="P643" s="42" t="s">
        <v>25</v>
      </c>
      <c r="Q643" s="42" t="s">
        <v>21</v>
      </c>
      <c r="R643" s="44"/>
    </row>
    <row r="644" spans="1:18" x14ac:dyDescent="0.25">
      <c r="A644" t="str">
        <f t="shared" si="20"/>
        <v>Smart Road_Regolatore_ALR_CIRCUITO_INTERROTTO-Allarme circuito interrotto</v>
      </c>
      <c r="B644" t="str">
        <f t="shared" si="21"/>
        <v>ALR_CIRCUITO_INTERROTTO-Allarme circuito interrotto</v>
      </c>
      <c r="C644" t="str">
        <f>VLOOKUP(B644,'[2]Classi allarmi RMT-STIG_rev4'!$C:$C,1,0)</f>
        <v>ALR_CIRCUITO_INTERROTTO-Allarme circuito interrotto</v>
      </c>
      <c r="D644" t="str">
        <f>VLOOKUP(B644,'EXPORT IRIS PROD 13-11-2024'!A:A,1,0)</f>
        <v>ALR_CIRCUITO_INTERROTTO-Allarme circuito interrotto</v>
      </c>
      <c r="E644" t="str">
        <f>VLOOKUP(H644,'EXPORT IRIS PROD 13-11-2024'!F:F,1,0)</f>
        <v>ALR_CIRCUITO_INTERROTTO</v>
      </c>
      <c r="F644" t="str">
        <f>VLOOKUP(I644,'EXPORT IRIS PROD 13-11-2024'!D:D,1,0)</f>
        <v>Allarme circuito interrotto</v>
      </c>
      <c r="G644" s="37" t="s">
        <v>1201</v>
      </c>
      <c r="H644" s="38" t="s">
        <v>1205</v>
      </c>
      <c r="I644" s="45" t="s">
        <v>1206</v>
      </c>
      <c r="J644" s="46" t="s">
        <v>965</v>
      </c>
      <c r="K644" s="46" t="s">
        <v>1204</v>
      </c>
      <c r="L644" s="40" t="s">
        <v>21</v>
      </c>
      <c r="M644" s="41" t="s">
        <v>22</v>
      </c>
      <c r="N644" s="42" t="s">
        <v>23</v>
      </c>
      <c r="O644" s="43" t="s">
        <v>24</v>
      </c>
      <c r="P644" s="42" t="s">
        <v>25</v>
      </c>
      <c r="Q644" s="42" t="s">
        <v>21</v>
      </c>
      <c r="R644" s="44"/>
    </row>
    <row r="645" spans="1:18" x14ac:dyDescent="0.25">
      <c r="A645" t="str">
        <f t="shared" si="20"/>
        <v>Impianto Elettrico_Gruppo elettrogeno_ALR_COMPRESSORE_ARIA_GE-Allarme compressore aria gruppo elettrogeno</v>
      </c>
      <c r="B645" t="str">
        <f t="shared" si="21"/>
        <v>ALR_COMPRESSORE_ARIA_GE-Allarme compressore aria gruppo elettrogeno</v>
      </c>
      <c r="C645" t="str">
        <f>VLOOKUP(B645,'[2]Classi allarmi RMT-STIG_rev4'!$C:$C,1,0)</f>
        <v>ALR_COMPRESSORE_ARIA_GE-Allarme compressore aria gruppo elettrogeno</v>
      </c>
      <c r="D645" t="str">
        <f>VLOOKUP(B645,'EXPORT IRIS PROD 13-11-2024'!A:A,1,0)</f>
        <v>ALR_COMPRESSORE_ARIA_GE-Allarme compressore aria gruppo elettrogeno</v>
      </c>
      <c r="E645" t="str">
        <f>VLOOKUP(H645,'EXPORT IRIS PROD 13-11-2024'!F:F,1,0)</f>
        <v>ALR_COMPRESSORE_ARIA_GE</v>
      </c>
      <c r="F645" t="str">
        <f>VLOOKUP(I645,'EXPORT IRIS PROD 13-11-2024'!D:D,1,0)</f>
        <v>Allarme compressore aria gruppo elettrogeno</v>
      </c>
      <c r="G645" s="37" t="s">
        <v>53</v>
      </c>
      <c r="H645" s="38" t="s">
        <v>1207</v>
      </c>
      <c r="I645" s="45" t="s">
        <v>1208</v>
      </c>
      <c r="J645" s="46" t="s">
        <v>56</v>
      </c>
      <c r="K645" s="46" t="s">
        <v>57</v>
      </c>
      <c r="L645" s="40" t="s">
        <v>21</v>
      </c>
      <c r="M645" s="41" t="s">
        <v>22</v>
      </c>
      <c r="N645" s="42" t="s">
        <v>23</v>
      </c>
      <c r="O645" s="43" t="s">
        <v>157</v>
      </c>
      <c r="P645" s="42" t="s">
        <v>158</v>
      </c>
      <c r="Q645" s="42" t="s">
        <v>21</v>
      </c>
      <c r="R645" s="44"/>
    </row>
    <row r="646" spans="1:18" x14ac:dyDescent="0.25">
      <c r="A646" t="str">
        <f t="shared" si="20"/>
        <v>Impianto rete dati_PLC di cabina_ALR_COMUNICAZIONE_DIAGNOSTICA-Allarme comunicazione diagnostica</v>
      </c>
      <c r="B646" t="str">
        <f t="shared" si="21"/>
        <v>ALR_COMUNICAZIONE_DIAGNOSTICA-Allarme comunicazione diagnostica</v>
      </c>
      <c r="C646" t="str">
        <f>VLOOKUP(B646,'[2]Classi allarmi RMT-STIG_rev4'!$C:$C,1,0)</f>
        <v>ALR_COMUNICAZIONE_DIAGNOSTICA-Allarme comunicazione diagnostica</v>
      </c>
      <c r="D646" t="str">
        <f>VLOOKUP(B646,'EXPORT IRIS PROD 13-11-2024'!A:A,1,0)</f>
        <v>ALR_COMUNICAZIONE_DIAGNOSTICA-Allarme comunicazione diagnostica</v>
      </c>
      <c r="E646" t="str">
        <f>VLOOKUP(H646,'EXPORT IRIS PROD 13-11-2024'!F:F,1,0)</f>
        <v>ALR_COMUNICAZIONE_DIAGNOSTICA</v>
      </c>
      <c r="F646" t="str">
        <f>VLOOKUP(I646,'EXPORT IRIS PROD 13-11-2024'!D:D,1,0)</f>
        <v>Allarme comunicazione diagnostica</v>
      </c>
      <c r="G646" s="37" t="s">
        <v>16</v>
      </c>
      <c r="H646" s="38" t="s">
        <v>1209</v>
      </c>
      <c r="I646" s="45" t="s">
        <v>1210</v>
      </c>
      <c r="J646" s="46" t="s">
        <v>1156</v>
      </c>
      <c r="K646" s="46" t="s">
        <v>1211</v>
      </c>
      <c r="L646" s="40" t="s">
        <v>21</v>
      </c>
      <c r="M646" s="41" t="s">
        <v>22</v>
      </c>
      <c r="N646" s="42" t="s">
        <v>23</v>
      </c>
      <c r="O646" s="43" t="s">
        <v>24</v>
      </c>
      <c r="P646" s="42" t="s">
        <v>25</v>
      </c>
      <c r="Q646" s="42" t="s">
        <v>21</v>
      </c>
      <c r="R646" s="44"/>
    </row>
    <row r="647" spans="1:18" x14ac:dyDescent="0.25">
      <c r="A647" t="str">
        <f t="shared" si="20"/>
        <v>Impianto rete dati_PLC SOS_ALR_COMUNICAZIONE_DIAGNOSTICA-Allarme comunicazione diagnostica</v>
      </c>
      <c r="B647" t="str">
        <f t="shared" si="21"/>
        <v>ALR_COMUNICAZIONE_DIAGNOSTICA-Allarme comunicazione diagnostica</v>
      </c>
      <c r="C647" t="str">
        <f>VLOOKUP(B647,'[2]Classi allarmi RMT-STIG_rev4'!$C:$C,1,0)</f>
        <v>ALR_COMUNICAZIONE_DIAGNOSTICA-Allarme comunicazione diagnostica</v>
      </c>
      <c r="D647" t="str">
        <f>VLOOKUP(B647,'EXPORT IRIS PROD 13-11-2024'!A:A,1,0)</f>
        <v>ALR_COMUNICAZIONE_DIAGNOSTICA-Allarme comunicazione diagnostica</v>
      </c>
      <c r="E647" t="str">
        <f>VLOOKUP(H647,'EXPORT IRIS PROD 13-11-2024'!F:F,1,0)</f>
        <v>ALR_COMUNICAZIONE_DIAGNOSTICA</v>
      </c>
      <c r="F647" t="str">
        <f>VLOOKUP(I647,'EXPORT IRIS PROD 13-11-2024'!D:D,1,0)</f>
        <v>Allarme comunicazione diagnostica</v>
      </c>
      <c r="G647" s="37" t="s">
        <v>16</v>
      </c>
      <c r="H647" s="38" t="s">
        <v>1209</v>
      </c>
      <c r="I647" s="45" t="s">
        <v>1210</v>
      </c>
      <c r="J647" s="46" t="s">
        <v>1156</v>
      </c>
      <c r="K647" s="46" t="s">
        <v>1212</v>
      </c>
      <c r="L647" s="40" t="s">
        <v>21</v>
      </c>
      <c r="M647" s="41" t="s">
        <v>22</v>
      </c>
      <c r="N647" s="42" t="s">
        <v>23</v>
      </c>
      <c r="O647" s="43" t="s">
        <v>24</v>
      </c>
      <c r="P647" s="42" t="s">
        <v>25</v>
      </c>
      <c r="Q647" s="42" t="s">
        <v>21</v>
      </c>
      <c r="R647" s="44"/>
    </row>
    <row r="648" spans="1:18" x14ac:dyDescent="0.25">
      <c r="A648" t="str">
        <f t="shared" si="20"/>
        <v>Impianto rete dati_Switch_ALR_COMUNICAZIONE_DIAGNOSTICA-Allarme comunicazione diagnostica</v>
      </c>
      <c r="B648" t="str">
        <f t="shared" si="21"/>
        <v>ALR_COMUNICAZIONE_DIAGNOSTICA-Allarme comunicazione diagnostica</v>
      </c>
      <c r="C648" t="str">
        <f>VLOOKUP(B648,'[2]Classi allarmi RMT-STIG_rev4'!$C:$C,1,0)</f>
        <v>ALR_COMUNICAZIONE_DIAGNOSTICA-Allarme comunicazione diagnostica</v>
      </c>
      <c r="D648" t="str">
        <f>VLOOKUP(B648,'EXPORT IRIS PROD 13-11-2024'!A:A,1,0)</f>
        <v>ALR_COMUNICAZIONE_DIAGNOSTICA-Allarme comunicazione diagnostica</v>
      </c>
      <c r="E648" t="str">
        <f>VLOOKUP(H648,'EXPORT IRIS PROD 13-11-2024'!F:F,1,0)</f>
        <v>ALR_COMUNICAZIONE_DIAGNOSTICA</v>
      </c>
      <c r="F648" t="str">
        <f>VLOOKUP(I648,'EXPORT IRIS PROD 13-11-2024'!D:D,1,0)</f>
        <v>Allarme comunicazione diagnostica</v>
      </c>
      <c r="G648" s="37" t="s">
        <v>16</v>
      </c>
      <c r="H648" s="38" t="s">
        <v>1209</v>
      </c>
      <c r="I648" s="45" t="s">
        <v>1210</v>
      </c>
      <c r="J648" s="46" t="s">
        <v>1156</v>
      </c>
      <c r="K648" s="46" t="s">
        <v>1213</v>
      </c>
      <c r="L648" s="40" t="s">
        <v>21</v>
      </c>
      <c r="M648" s="41" t="s">
        <v>22</v>
      </c>
      <c r="N648" s="42" t="s">
        <v>23</v>
      </c>
      <c r="O648" s="43" t="s">
        <v>24</v>
      </c>
      <c r="P648" s="42" t="s">
        <v>25</v>
      </c>
      <c r="Q648" s="42" t="s">
        <v>21</v>
      </c>
      <c r="R648" s="44"/>
    </row>
    <row r="649" spans="1:18" x14ac:dyDescent="0.25">
      <c r="A649" t="str">
        <f t="shared" si="20"/>
        <v>Impianto illuminazione_Illuminazione generale_ALR_COMUNICAZIONE_DIR_NORD-Allarme comunicazione dispositivo dir. nord</v>
      </c>
      <c r="B649" t="str">
        <f t="shared" si="21"/>
        <v>ALR_COMUNICAZIONE_DIR_NORD-Allarme comunicazione dispositivo dir. nord</v>
      </c>
      <c r="C649" t="str">
        <f>VLOOKUP(B649,'[2]Classi allarmi RMT-STIG_rev4'!$C:$C,1,0)</f>
        <v>ALR_COMUNICAZIONE_DIR_NORD-Allarme comunicazione dispositivo dir. nord</v>
      </c>
      <c r="D649" t="str">
        <f>VLOOKUP(B649,'EXPORT IRIS PROD 13-11-2024'!A:A,1,0)</f>
        <v>ALR_COMUNICAZIONE_DIR_NORD-Allarme comunicazione dispositivo dir. nord</v>
      </c>
      <c r="E649" t="str">
        <f>VLOOKUP(H649,'EXPORT IRIS PROD 13-11-2024'!F:F,1,0)</f>
        <v>ALR_COMUNICAZIONE_DIR_NORD</v>
      </c>
      <c r="F649" t="str">
        <f>VLOOKUP(I649,'EXPORT IRIS PROD 13-11-2024'!D:D,1,0)</f>
        <v>Allarme comunicazione dispositivo dir. nord</v>
      </c>
      <c r="G649" s="37" t="s">
        <v>115</v>
      </c>
      <c r="H649" s="38" t="s">
        <v>1214</v>
      </c>
      <c r="I649" s="45" t="s">
        <v>1215</v>
      </c>
      <c r="J649" s="46" t="s">
        <v>1142</v>
      </c>
      <c r="K649" s="46" t="s">
        <v>1216</v>
      </c>
      <c r="L649" s="40" t="s">
        <v>21</v>
      </c>
      <c r="M649" s="41" t="s">
        <v>22</v>
      </c>
      <c r="N649" s="42" t="s">
        <v>23</v>
      </c>
      <c r="O649" s="43" t="s">
        <v>24</v>
      </c>
      <c r="P649" s="42" t="s">
        <v>25</v>
      </c>
      <c r="Q649" s="42" t="s">
        <v>21</v>
      </c>
      <c r="R649" s="44"/>
    </row>
    <row r="650" spans="1:18" x14ac:dyDescent="0.25">
      <c r="A650" t="str">
        <f t="shared" si="20"/>
        <v>Impianto illuminazione_Illuminazione generale_ALR_COMUNICAZIONE_DIR_SUD-Allarme comunicazione dispositivo dir. sud</v>
      </c>
      <c r="B650" t="str">
        <f t="shared" si="21"/>
        <v>ALR_COMUNICAZIONE_DIR_SUD-Allarme comunicazione dispositivo dir. sud</v>
      </c>
      <c r="C650" t="str">
        <f>VLOOKUP(B650,'[2]Classi allarmi RMT-STIG_rev4'!$C:$C,1,0)</f>
        <v>ALR_COMUNICAZIONE_DIR_SUD-Allarme comunicazione dispositivo dir. sud</v>
      </c>
      <c r="D650" t="str">
        <f>VLOOKUP(B650,'EXPORT IRIS PROD 13-11-2024'!A:A,1,0)</f>
        <v>ALR_COMUNICAZIONE_DIR_SUD-Allarme comunicazione dispositivo dir. sud</v>
      </c>
      <c r="E650" t="str">
        <f>VLOOKUP(H650,'EXPORT IRIS PROD 13-11-2024'!F:F,1,0)</f>
        <v>ALR_COMUNICAZIONE_DIR_SUD</v>
      </c>
      <c r="F650" t="str">
        <f>VLOOKUP(I650,'EXPORT IRIS PROD 13-11-2024'!D:D,1,0)</f>
        <v>Allarme comunicazione dispositivo dir. sud</v>
      </c>
      <c r="G650" s="37" t="s">
        <v>115</v>
      </c>
      <c r="H650" s="38" t="s">
        <v>1217</v>
      </c>
      <c r="I650" s="45" t="s">
        <v>1218</v>
      </c>
      <c r="J650" s="46" t="s">
        <v>1142</v>
      </c>
      <c r="K650" s="46" t="s">
        <v>1216</v>
      </c>
      <c r="L650" s="40" t="s">
        <v>21</v>
      </c>
      <c r="M650" s="41" t="s">
        <v>22</v>
      </c>
      <c r="N650" s="42" t="s">
        <v>23</v>
      </c>
      <c r="O650" s="43" t="s">
        <v>24</v>
      </c>
      <c r="P650" s="42" t="s">
        <v>25</v>
      </c>
      <c r="Q650" s="42" t="s">
        <v>21</v>
      </c>
      <c r="R650" s="44"/>
    </row>
    <row r="651" spans="1:18" x14ac:dyDescent="0.25">
      <c r="A651" t="str">
        <f t="shared" si="20"/>
        <v>impianto Radio_Rack radio_ALR_COMUNICAZIONE_DOPPIA-Allarme comunicazione doppia</v>
      </c>
      <c r="B651" t="str">
        <f t="shared" si="21"/>
        <v>ALR_COMUNICAZIONE_DOPPIA-Allarme comunicazione doppia</v>
      </c>
      <c r="C651" t="str">
        <f>VLOOKUP(B651,'[2]Classi allarmi RMT-STIG_rev4'!$C:$C,1,0)</f>
        <v>ALR_COMUNICAZIONE_DOPPIA-Allarme comunicazione doppia</v>
      </c>
      <c r="D651" t="str">
        <f>VLOOKUP(B651,'EXPORT IRIS PROD 13-11-2024'!A:A,1,0)</f>
        <v>ALR_COMUNICAZIONE_DOPPIA-Allarme comunicazione doppia</v>
      </c>
      <c r="E651" t="str">
        <f>VLOOKUP(H651,'EXPORT IRIS PROD 13-11-2024'!F:F,1,0)</f>
        <v>ALR_COMUNICAZIONE_DOPPIA</v>
      </c>
      <c r="F651" t="str">
        <f>VLOOKUP(I651,'EXPORT IRIS PROD 13-11-2024'!D:D,1,0)</f>
        <v>Allarme comunicazione doppia</v>
      </c>
      <c r="G651" s="37" t="s">
        <v>1108</v>
      </c>
      <c r="H651" s="38" t="s">
        <v>1219</v>
      </c>
      <c r="I651" s="45" t="s">
        <v>1220</v>
      </c>
      <c r="J651" s="46" t="s">
        <v>1175</v>
      </c>
      <c r="K651" s="46" t="s">
        <v>20</v>
      </c>
      <c r="L651" s="40" t="s">
        <v>21</v>
      </c>
      <c r="M651" s="41" t="s">
        <v>22</v>
      </c>
      <c r="N651" s="42" t="s">
        <v>23</v>
      </c>
      <c r="O651" s="43" t="s">
        <v>24</v>
      </c>
      <c r="P651" s="42" t="s">
        <v>25</v>
      </c>
      <c r="Q651" s="42" t="s">
        <v>21</v>
      </c>
      <c r="R651" s="44"/>
    </row>
    <row r="652" spans="1:18" x14ac:dyDescent="0.25">
      <c r="A652" t="str">
        <f t="shared" si="20"/>
        <v>Impianto rete dati_PLC SOS_ALR_COMUNICAZIONE_I_O-Allarme comunicazione I/O</v>
      </c>
      <c r="B652" t="str">
        <f t="shared" si="21"/>
        <v>ALR_COMUNICAZIONE_I_O-Allarme comunicazione I/O</v>
      </c>
      <c r="C652" t="str">
        <f>VLOOKUP(B652,'[2]Classi allarmi RMT-STIG_rev4'!$C:$C,1,0)</f>
        <v>ALR_COMUNICAZIONE_I_O-Allarme comunicazione I/O</v>
      </c>
      <c r="D652" t="str">
        <f>VLOOKUP(B652,'EXPORT IRIS PROD 13-11-2024'!A:A,1,0)</f>
        <v>ALR_COMUNICAZIONE_I_O-Allarme comunicazione I/O</v>
      </c>
      <c r="E652" t="str">
        <f>VLOOKUP(H652,'EXPORT IRIS PROD 13-11-2024'!F:F,1,0)</f>
        <v>ALR_COMUNICAZIONE_I_O</v>
      </c>
      <c r="F652" t="str">
        <f>VLOOKUP(I652,'EXPORT IRIS PROD 13-11-2024'!D:D,1,0)</f>
        <v>Allarme comunicazione I/O</v>
      </c>
      <c r="G652" s="37" t="s">
        <v>16</v>
      </c>
      <c r="H652" s="38" t="s">
        <v>1221</v>
      </c>
      <c r="I652" s="45" t="s">
        <v>1222</v>
      </c>
      <c r="J652" s="46" t="s">
        <v>1156</v>
      </c>
      <c r="K652" s="46" t="s">
        <v>1212</v>
      </c>
      <c r="L652" s="40" t="s">
        <v>21</v>
      </c>
      <c r="M652" s="41" t="s">
        <v>22</v>
      </c>
      <c r="N652" s="42" t="s">
        <v>23</v>
      </c>
      <c r="O652" s="43" t="s">
        <v>24</v>
      </c>
      <c r="P652" s="42" t="s">
        <v>25</v>
      </c>
      <c r="Q652" s="42" t="s">
        <v>21</v>
      </c>
      <c r="R652" s="44"/>
    </row>
    <row r="653" spans="1:18" x14ac:dyDescent="0.25">
      <c r="A653" t="str">
        <f t="shared" si="20"/>
        <v>Impianto Rilevazione Incendio_Centralina rilevazione incendio/fibrolaser_ALR_COMUNICAZIONE_INCENDIO_1-Allarme comunicazione incendio 1</v>
      </c>
      <c r="B653" t="str">
        <f t="shared" si="21"/>
        <v>ALR_COMUNICAZIONE_INCENDIO_1-Allarme comunicazione incendio 1</v>
      </c>
      <c r="C653" t="str">
        <f>VLOOKUP(B653,'[2]Classi allarmi RMT-STIG_rev4'!$C:$C,1,0)</f>
        <v>ALR_COMUNICAZIONE_INCENDIO_1-Allarme comunicazione incendio 1</v>
      </c>
      <c r="D653" t="str">
        <f>VLOOKUP(B653,'EXPORT IRIS PROD 13-11-2024'!A:A,1,0)</f>
        <v>ALR_COMUNICAZIONE_INCENDIO_1-Allarme comunicazione incendio 1</v>
      </c>
      <c r="E653" t="str">
        <f>VLOOKUP(H653,'EXPORT IRIS PROD 13-11-2024'!F:F,1,0)</f>
        <v>ALR_COMUNICAZIONE_INCENDIO_1</v>
      </c>
      <c r="F653" t="str">
        <f>VLOOKUP(I653,'EXPORT IRIS PROD 13-11-2024'!D:D,1,0)</f>
        <v>Allarme comunicazione incendio 1</v>
      </c>
      <c r="G653" s="37" t="s">
        <v>105</v>
      </c>
      <c r="H653" s="38" t="s">
        <v>1223</v>
      </c>
      <c r="I653" s="45" t="s">
        <v>1224</v>
      </c>
      <c r="J653" s="46" t="s">
        <v>43</v>
      </c>
      <c r="K653" s="46" t="s">
        <v>394</v>
      </c>
      <c r="L653" s="40" t="s">
        <v>21</v>
      </c>
      <c r="M653" s="41" t="s">
        <v>22</v>
      </c>
      <c r="N653" s="42" t="s">
        <v>23</v>
      </c>
      <c r="O653" s="43" t="s">
        <v>24</v>
      </c>
      <c r="P653" s="42" t="s">
        <v>25</v>
      </c>
      <c r="Q653" s="42" t="s">
        <v>21</v>
      </c>
      <c r="R653" s="44"/>
    </row>
    <row r="654" spans="1:18" x14ac:dyDescent="0.25">
      <c r="A654" t="str">
        <f t="shared" si="20"/>
        <v>Impianto Rilevazione Incendio_Centralina rilevazione incendio/fibrolaser_ALR_COMUNICAZIONE_INCENDIO_2-Allarme comunicazione incendio 2</v>
      </c>
      <c r="B654" t="str">
        <f t="shared" si="21"/>
        <v>ALR_COMUNICAZIONE_INCENDIO_2-Allarme comunicazione incendio 2</v>
      </c>
      <c r="C654" t="str">
        <f>VLOOKUP(B654,'[2]Classi allarmi RMT-STIG_rev4'!$C:$C,1,0)</f>
        <v>ALR_COMUNICAZIONE_INCENDIO_2-Allarme comunicazione incendio 2</v>
      </c>
      <c r="D654" t="str">
        <f>VLOOKUP(B654,'EXPORT IRIS PROD 13-11-2024'!A:A,1,0)</f>
        <v>ALR_COMUNICAZIONE_INCENDIO_2-Allarme comunicazione incendio 2</v>
      </c>
      <c r="E654" t="str">
        <f>VLOOKUP(H654,'EXPORT IRIS PROD 13-11-2024'!F:F,1,0)</f>
        <v>ALR_COMUNICAZIONE_INCENDIO_2</v>
      </c>
      <c r="F654" t="str">
        <f>VLOOKUP(I654,'EXPORT IRIS PROD 13-11-2024'!D:D,1,0)</f>
        <v>Allarme comunicazione incendio 2</v>
      </c>
      <c r="G654" s="37" t="s">
        <v>105</v>
      </c>
      <c r="H654" s="38" t="s">
        <v>1225</v>
      </c>
      <c r="I654" s="45" t="s">
        <v>1226</v>
      </c>
      <c r="J654" s="46" t="s">
        <v>43</v>
      </c>
      <c r="K654" s="46" t="s">
        <v>394</v>
      </c>
      <c r="L654" s="40" t="s">
        <v>21</v>
      </c>
      <c r="M654" s="41" t="s">
        <v>22</v>
      </c>
      <c r="N654" s="42" t="s">
        <v>23</v>
      </c>
      <c r="O654" s="43" t="s">
        <v>24</v>
      </c>
      <c r="P654" s="42" t="s">
        <v>25</v>
      </c>
      <c r="Q654" s="42" t="s">
        <v>21</v>
      </c>
      <c r="R654" s="44"/>
    </row>
    <row r="655" spans="1:18" x14ac:dyDescent="0.25">
      <c r="A655" t="str">
        <f t="shared" si="20"/>
        <v>impianto Radio_Rack radio_ALR_COMUNICAZIONE_SEMPLICE-Allarme comunicazione semplice</v>
      </c>
      <c r="B655" t="str">
        <f t="shared" si="21"/>
        <v>ALR_COMUNICAZIONE_SEMPLICE-Allarme comunicazione semplice</v>
      </c>
      <c r="C655" t="str">
        <f>VLOOKUP(B655,'[2]Classi allarmi RMT-STIG_rev4'!$C:$C,1,0)</f>
        <v>ALR_COMUNICAZIONE_SEMPLICE-Allarme comunicazione semplice</v>
      </c>
      <c r="D655" t="str">
        <f>VLOOKUP(B655,'EXPORT IRIS PROD 13-11-2024'!A:A,1,0)</f>
        <v>ALR_COMUNICAZIONE_SEMPLICE-Allarme comunicazione semplice</v>
      </c>
      <c r="E655" t="str">
        <f>VLOOKUP(H655,'EXPORT IRIS PROD 13-11-2024'!F:F,1,0)</f>
        <v>ALR_COMUNICAZIONE_SEMPLICE</v>
      </c>
      <c r="F655" t="str">
        <f>VLOOKUP(I655,'EXPORT IRIS PROD 13-11-2024'!D:D,1,0)</f>
        <v>Allarme comunicazione semplice</v>
      </c>
      <c r="G655" s="37" t="s">
        <v>1108</v>
      </c>
      <c r="H655" s="38" t="s">
        <v>1227</v>
      </c>
      <c r="I655" s="45" t="s">
        <v>1228</v>
      </c>
      <c r="J655" s="46" t="s">
        <v>1175</v>
      </c>
      <c r="K655" s="46" t="s">
        <v>20</v>
      </c>
      <c r="L655" s="40" t="s">
        <v>21</v>
      </c>
      <c r="M655" s="41" t="s">
        <v>22</v>
      </c>
      <c r="N655" s="42" t="s">
        <v>23</v>
      </c>
      <c r="O655" s="43" t="s">
        <v>24</v>
      </c>
      <c r="P655" s="42" t="s">
        <v>25</v>
      </c>
      <c r="Q655" s="42" t="s">
        <v>21</v>
      </c>
      <c r="R655" s="44"/>
    </row>
    <row r="656" spans="1:18" x14ac:dyDescent="0.25">
      <c r="A656" t="str">
        <f t="shared" si="20"/>
        <v>Impianto rete dati_PLC SOS_ALR_COMUNICAZIONE_SISTEMA-Allarme comunicazione sistema</v>
      </c>
      <c r="B656" t="str">
        <f t="shared" si="21"/>
        <v>ALR_COMUNICAZIONE_SISTEMA-Allarme comunicazione sistema</v>
      </c>
      <c r="C656" t="str">
        <f>VLOOKUP(B656,'[2]Classi allarmi RMT-STIG_rev4'!$C:$C,1,0)</f>
        <v>ALR_COMUNICAZIONE_SISTEMA-Allarme comunicazione sistema</v>
      </c>
      <c r="D656" t="str">
        <f>VLOOKUP(B656,'EXPORT IRIS PROD 13-11-2024'!A:A,1,0)</f>
        <v>ALR_COMUNICAZIONE_SISTEMA-Allarme comunicazione sistema</v>
      </c>
      <c r="E656" t="str">
        <f>VLOOKUP(H656,'EXPORT IRIS PROD 13-11-2024'!F:F,1,0)</f>
        <v>ALR_COMUNICAZIONE_SISTEMA</v>
      </c>
      <c r="F656" t="str">
        <f>VLOOKUP(I656,'EXPORT IRIS PROD 13-11-2024'!D:D,1,0)</f>
        <v>Allarme comunicazione sistema</v>
      </c>
      <c r="G656" s="37" t="s">
        <v>16</v>
      </c>
      <c r="H656" s="38" t="s">
        <v>1229</v>
      </c>
      <c r="I656" s="45" t="s">
        <v>1230</v>
      </c>
      <c r="J656" s="46" t="s">
        <v>1156</v>
      </c>
      <c r="K656" s="46" t="s">
        <v>1212</v>
      </c>
      <c r="L656" s="40" t="s">
        <v>21</v>
      </c>
      <c r="M656" s="41" t="s">
        <v>22</v>
      </c>
      <c r="N656" s="42" t="s">
        <v>23</v>
      </c>
      <c r="O656" s="43" t="s">
        <v>24</v>
      </c>
      <c r="P656" s="42" t="s">
        <v>25</v>
      </c>
      <c r="Q656" s="42" t="s">
        <v>21</v>
      </c>
      <c r="R656" s="44"/>
    </row>
    <row r="657" spans="1:18" x14ac:dyDescent="0.25">
      <c r="A657" t="str">
        <f t="shared" si="20"/>
        <v>Impianto Rilevazione Incendio_Rilevatore incendio (presente in galleria - zone)_ALR_COMUNICAZIONE_SISTEMA-Allarme comunicazione sistema</v>
      </c>
      <c r="B657" t="str">
        <f t="shared" si="21"/>
        <v>ALR_COMUNICAZIONE_SISTEMA-Allarme comunicazione sistema</v>
      </c>
      <c r="C657" t="str">
        <f>VLOOKUP(B657,'[2]Classi allarmi RMT-STIG_rev4'!$C:$C,1,0)</f>
        <v>ALR_COMUNICAZIONE_SISTEMA-Allarme comunicazione sistema</v>
      </c>
      <c r="D657" t="str">
        <f>VLOOKUP(B657,'EXPORT IRIS PROD 13-11-2024'!A:A,1,0)</f>
        <v>ALR_COMUNICAZIONE_SISTEMA-Allarme comunicazione sistema</v>
      </c>
      <c r="E657" t="str">
        <f>VLOOKUP(H657,'EXPORT IRIS PROD 13-11-2024'!F:F,1,0)</f>
        <v>ALR_COMUNICAZIONE_SISTEMA</v>
      </c>
      <c r="F657" t="str">
        <f>VLOOKUP(I657,'EXPORT IRIS PROD 13-11-2024'!D:D,1,0)</f>
        <v>Allarme comunicazione sistema</v>
      </c>
      <c r="G657" s="37" t="s">
        <v>105</v>
      </c>
      <c r="H657" s="38" t="s">
        <v>1229</v>
      </c>
      <c r="I657" s="45" t="s">
        <v>1230</v>
      </c>
      <c r="J657" s="46" t="s">
        <v>43</v>
      </c>
      <c r="K657" s="46" t="s">
        <v>856</v>
      </c>
      <c r="L657" s="40" t="s">
        <v>21</v>
      </c>
      <c r="M657" s="41" t="s">
        <v>22</v>
      </c>
      <c r="N657" s="42" t="s">
        <v>23</v>
      </c>
      <c r="O657" s="43" t="s">
        <v>24</v>
      </c>
      <c r="P657" s="42" t="s">
        <v>25</v>
      </c>
      <c r="Q657" s="42" t="s">
        <v>21</v>
      </c>
      <c r="R657" s="44"/>
    </row>
    <row r="658" spans="1:18" x14ac:dyDescent="0.25">
      <c r="A658" t="str">
        <f t="shared" si="20"/>
        <v>Impianto Bypass_PLC bypass_ALR_COMUNICAZIONE_VERSO_CE_NORD-Allarme comunicazione dispositivo verso cabina nord</v>
      </c>
      <c r="B658" t="str">
        <f t="shared" si="21"/>
        <v>ALR_COMUNICAZIONE_VERSO_CE_NORD-Allarme comunicazione dispositivo verso cabina nord</v>
      </c>
      <c r="C658" t="str">
        <f>VLOOKUP(B658,'[2]Classi allarmi RMT-STIG_rev4'!$C:$C,1,0)</f>
        <v>ALR_COMUNICAZIONE_VERSO_CE_NORD-Allarme comunicazione dispositivo verso cabina nord</v>
      </c>
      <c r="D658" t="str">
        <f>VLOOKUP(B658,'EXPORT IRIS PROD 13-11-2024'!A:A,1,0)</f>
        <v>ALR_COMUNICAZIONE_VERSO_CE_NORD-Allarme comunicazione dispositivo verso cabina nord</v>
      </c>
      <c r="E658" t="str">
        <f>VLOOKUP(H658,'EXPORT IRIS PROD 13-11-2024'!F:F,1,0)</f>
        <v>ALR_COMUNICAZIONE_VERSO_CE_NORD</v>
      </c>
      <c r="F658" t="str">
        <f>VLOOKUP(I658,'EXPORT IRIS PROD 13-11-2024'!D:D,1,0)</f>
        <v>Allarme comunicazione dispositivo verso cabina nord</v>
      </c>
      <c r="G658" s="37" t="s">
        <v>863</v>
      </c>
      <c r="H658" s="38" t="s">
        <v>1231</v>
      </c>
      <c r="I658" s="45" t="s">
        <v>1232</v>
      </c>
      <c r="J658" s="46" t="s">
        <v>274</v>
      </c>
      <c r="K658" s="46" t="s">
        <v>1147</v>
      </c>
      <c r="L658" s="40" t="s">
        <v>21</v>
      </c>
      <c r="M658" s="41" t="s">
        <v>22</v>
      </c>
      <c r="N658" s="42" t="s">
        <v>23</v>
      </c>
      <c r="O658" s="43" t="s">
        <v>24</v>
      </c>
      <c r="P658" s="42" t="s">
        <v>25</v>
      </c>
      <c r="Q658" s="42" t="s">
        <v>21</v>
      </c>
      <c r="R658" s="44"/>
    </row>
    <row r="659" spans="1:18" x14ac:dyDescent="0.25">
      <c r="A659" t="str">
        <f t="shared" si="20"/>
        <v>Impianto rete dati_Switch_ALR_COMUNICAZIONE_VERSO_CE_SUD-Allarme comunicazione dispositivo verso cabina sud</v>
      </c>
      <c r="B659" t="str">
        <f t="shared" si="21"/>
        <v>ALR_COMUNICAZIONE_VERSO_CE_SUD-Allarme comunicazione dispositivo verso cabina sud</v>
      </c>
      <c r="C659" t="str">
        <f>VLOOKUP(B659,'[2]Classi allarmi RMT-STIG_rev4'!$C:$C,1,0)</f>
        <v>ALR_COMUNICAZIONE_VERSO_CE_SUD-Allarme comunicazione dispositivo verso cabina sud</v>
      </c>
      <c r="D659" t="str">
        <f>VLOOKUP(B659,'EXPORT IRIS PROD 13-11-2024'!A:A,1,0)</f>
        <v>ALR_COMUNICAZIONE_VERSO_CE_SUD-Allarme comunicazione dispositivo verso cabina sud</v>
      </c>
      <c r="E659" t="str">
        <f>VLOOKUP(H659,'EXPORT IRIS PROD 13-11-2024'!F:F,1,0)</f>
        <v>ALR_COMUNICAZIONE_VERSO_CE_SUD</v>
      </c>
      <c r="F659" t="str">
        <f>VLOOKUP(I659,'EXPORT IRIS PROD 13-11-2024'!D:D,1,0)</f>
        <v>Allarme comunicazione dispositivo verso cabina sud</v>
      </c>
      <c r="G659" s="37" t="s">
        <v>16</v>
      </c>
      <c r="H659" s="38" t="s">
        <v>1233</v>
      </c>
      <c r="I659" s="45" t="s">
        <v>1234</v>
      </c>
      <c r="J659" s="46" t="s">
        <v>1156</v>
      </c>
      <c r="K659" s="46" t="s">
        <v>1213</v>
      </c>
      <c r="L659" s="40" t="s">
        <v>21</v>
      </c>
      <c r="M659" s="41" t="s">
        <v>22</v>
      </c>
      <c r="N659" s="42" t="s">
        <v>23</v>
      </c>
      <c r="O659" s="43" t="s">
        <v>24</v>
      </c>
      <c r="P659" s="42" t="s">
        <v>25</v>
      </c>
      <c r="Q659" s="42" t="s">
        <v>21</v>
      </c>
      <c r="R659" s="44"/>
    </row>
    <row r="660" spans="1:18" x14ac:dyDescent="0.25">
      <c r="A660" t="str">
        <f t="shared" si="20"/>
        <v>Impianto Elettrico_Contattore_ALR_CONFLITTO_IP-Allarme allarme conflitto IP</v>
      </c>
      <c r="B660" t="str">
        <f t="shared" si="21"/>
        <v>ALR_CONFLITTO_IP-Allarme allarme conflitto IP</v>
      </c>
      <c r="C660" t="str">
        <f>VLOOKUP(B660,'[2]Classi allarmi RMT-STIG_rev4'!$C:$C,1,0)</f>
        <v>ALR_CONFLITTO_IP-Allarme allarme conflitto IP</v>
      </c>
      <c r="D660" t="str">
        <f>VLOOKUP(B660,'EXPORT IRIS PROD 13-11-2024'!A:A,1,0)</f>
        <v>ALR_CONFLITTO_IP-Allarme allarme conflitto IP</v>
      </c>
      <c r="E660" t="str">
        <f>VLOOKUP(H660,'EXPORT IRIS PROD 13-11-2024'!F:F,1,0)</f>
        <v>ALR_CONFLITTO_IP</v>
      </c>
      <c r="F660" t="str">
        <f>VLOOKUP(I660,'EXPORT IRIS PROD 13-11-2024'!D:D,1,0)</f>
        <v>Allarme allarme conflitto IP</v>
      </c>
      <c r="G660" s="37" t="s">
        <v>53</v>
      </c>
      <c r="H660" s="38" t="s">
        <v>1235</v>
      </c>
      <c r="I660" s="45" t="s">
        <v>1236</v>
      </c>
      <c r="J660" s="46" t="s">
        <v>56</v>
      </c>
      <c r="K660" s="46" t="s">
        <v>1237</v>
      </c>
      <c r="L660" s="40" t="s">
        <v>21</v>
      </c>
      <c r="M660" s="41" t="s">
        <v>22</v>
      </c>
      <c r="N660" s="42" t="s">
        <v>23</v>
      </c>
      <c r="O660" s="43" t="s">
        <v>24</v>
      </c>
      <c r="P660" s="42" t="s">
        <v>25</v>
      </c>
      <c r="Q660" s="42" t="s">
        <v>21</v>
      </c>
      <c r="R660" s="44"/>
    </row>
    <row r="661" spans="1:18" x14ac:dyDescent="0.25">
      <c r="A661" t="str">
        <f t="shared" si="20"/>
        <v>Smart road_Regolatore_ALR_CUMULATIVO_CONTATTORE-Allarme cumulativo contattore</v>
      </c>
      <c r="B661" t="str">
        <f t="shared" si="21"/>
        <v>ALR_CUMULATIVO_CONTATTORE-Allarme cumulativo contattore</v>
      </c>
      <c r="C661" t="str">
        <f>VLOOKUP(B661,'[2]Classi allarmi RMT-STIG_rev4'!$C:$C,1,0)</f>
        <v>ALR_CUMULATIVO_CONTATTORE-Allarme cumulativo contattore</v>
      </c>
      <c r="D661" t="str">
        <f>VLOOKUP(B661,'EXPORT IRIS PROD 13-11-2024'!A:A,1,0)</f>
        <v>ALR_CUMULATIVO_CONTATTORE-Allarme cumulativo contattore</v>
      </c>
      <c r="E661" t="str">
        <f>VLOOKUP(H661,'EXPORT IRIS PROD 13-11-2024'!F:F,1,0)</f>
        <v>ALR_CUMULATIVO_CONTATTORE</v>
      </c>
      <c r="F661" t="str">
        <f>VLOOKUP(I661,'EXPORT IRIS PROD 13-11-2024'!D:D,1,0)</f>
        <v>Allarme cumulativo contattore</v>
      </c>
      <c r="G661" s="37" t="s">
        <v>1201</v>
      </c>
      <c r="H661" s="38" t="s">
        <v>1238</v>
      </c>
      <c r="I661" s="45" t="s">
        <v>1239</v>
      </c>
      <c r="J661" s="46" t="s">
        <v>1113</v>
      </c>
      <c r="K661" s="46" t="s">
        <v>1204</v>
      </c>
      <c r="L661" s="40" t="s">
        <v>21</v>
      </c>
      <c r="M661" s="41" t="s">
        <v>22</v>
      </c>
      <c r="N661" s="42" t="s">
        <v>23</v>
      </c>
      <c r="O661" s="43" t="s">
        <v>24</v>
      </c>
      <c r="P661" s="42" t="s">
        <v>25</v>
      </c>
      <c r="Q661" s="42" t="s">
        <v>21</v>
      </c>
      <c r="R661" s="44"/>
    </row>
    <row r="662" spans="1:18" x14ac:dyDescent="0.25">
      <c r="A662" t="str">
        <f t="shared" si="20"/>
        <v>Impianto Antincendio_Valvola antincendio_ALR_CUMULATIVO_ELETTROVALVOLA-Allarme cumulativo elettrovalvola</v>
      </c>
      <c r="B662" t="str">
        <f t="shared" si="21"/>
        <v>ALR_CUMULATIVO_ELETTROVALVOLA-Allarme cumulativo elettrovalvola</v>
      </c>
      <c r="C662" t="str">
        <f>VLOOKUP(B662,'[2]Classi allarmi RMT-STIG_rev4'!$C:$C,1,0)</f>
        <v>ALR_CUMULATIVO_ELETTROVALVOLA-Allarme cumulativo elettrovalvola</v>
      </c>
      <c r="D662" t="str">
        <f>VLOOKUP(B662,'EXPORT IRIS PROD 13-11-2024'!A:A,1,0)</f>
        <v>ALR_CUMULATIVO_ELETTROVALVOLA-Allarme cumulativo elettrovalvola</v>
      </c>
      <c r="E662" t="str">
        <f>VLOOKUP(H662,'EXPORT IRIS PROD 13-11-2024'!F:F,1,0)</f>
        <v>ALR_CUMULATIVO_ELETTROVALVOLA</v>
      </c>
      <c r="F662" t="str">
        <f>VLOOKUP(I662,'EXPORT IRIS PROD 13-11-2024'!D:D,1,0)</f>
        <v>Allarme cumulativo elettrovalvola</v>
      </c>
      <c r="G662" s="37" t="s">
        <v>35</v>
      </c>
      <c r="H662" s="38" t="s">
        <v>1240</v>
      </c>
      <c r="I662" s="45" t="s">
        <v>1241</v>
      </c>
      <c r="J662" s="46" t="s">
        <v>38</v>
      </c>
      <c r="K662" s="46" t="s">
        <v>1242</v>
      </c>
      <c r="L662" s="40" t="s">
        <v>21</v>
      </c>
      <c r="M662" s="41" t="s">
        <v>22</v>
      </c>
      <c r="N662" s="42" t="s">
        <v>23</v>
      </c>
      <c r="O662" s="43" t="s">
        <v>24</v>
      </c>
      <c r="P662" s="42" t="s">
        <v>25</v>
      </c>
      <c r="Q662" s="42" t="s">
        <v>21</v>
      </c>
      <c r="R662" s="44"/>
    </row>
    <row r="663" spans="1:18" x14ac:dyDescent="0.25">
      <c r="A663" t="str">
        <f t="shared" si="20"/>
        <v>Impianto Bypass_Bypass generale/quadro elettrico_ALR_CUMULATIVO_EMERGENZA_DIR_NORD_1-Allarme emergenza bypass 1 dir. nord</v>
      </c>
      <c r="B663" t="str">
        <f t="shared" si="21"/>
        <v>ALR_CUMULATIVO_EMERGENZA_DIR_NORD_1-Allarme emergenza bypass 1 dir. nord</v>
      </c>
      <c r="C663" t="str">
        <f>VLOOKUP(B663,'[2]Classi allarmi RMT-STIG_rev4'!$C:$C,1,0)</f>
        <v>ALR_CUMULATIVO_EMERGENZA_DIR_NORD_1-Allarme emergenza bypass 1 dir. nord</v>
      </c>
      <c r="D663" t="str">
        <f>VLOOKUP(B663,'EXPORT IRIS PROD 13-11-2024'!A:A,1,0)</f>
        <v>ALR_CUMULATIVO_EMERGENZA_DIR_NORD_1-Allarme emergenza bypass 1 dir. nord</v>
      </c>
      <c r="E663" t="str">
        <f>VLOOKUP(H663,'EXPORT IRIS PROD 13-11-2024'!F:F,1,0)</f>
        <v>ALR_CUMULATIVO_EMERGENZA_DIR_NORD_1</v>
      </c>
      <c r="F663" t="str">
        <f>VLOOKUP(I663,'EXPORT IRIS PROD 13-11-2024'!D:D,1,0)</f>
        <v>Allarme emergenza bypass 1 dir. nord</v>
      </c>
      <c r="G663" s="37" t="s">
        <v>271</v>
      </c>
      <c r="H663" s="38" t="s">
        <v>1243</v>
      </c>
      <c r="I663" s="45" t="s">
        <v>1244</v>
      </c>
      <c r="J663" s="46" t="s">
        <v>274</v>
      </c>
      <c r="K663" s="46" t="s">
        <v>1160</v>
      </c>
      <c r="L663" s="40" t="s">
        <v>21</v>
      </c>
      <c r="M663" s="41" t="s">
        <v>22</v>
      </c>
      <c r="N663" s="42" t="s">
        <v>23</v>
      </c>
      <c r="O663" s="43" t="s">
        <v>24</v>
      </c>
      <c r="P663" s="42" t="s">
        <v>25</v>
      </c>
      <c r="Q663" s="42" t="s">
        <v>21</v>
      </c>
      <c r="R663" s="44"/>
    </row>
    <row r="664" spans="1:18" x14ac:dyDescent="0.25">
      <c r="A664" t="str">
        <f t="shared" si="20"/>
        <v>Impianto Bypass_Lampeggiante_ALR_CUMULATIVO_EMERGENZA_DIR_NORD_1-Allarme emergenza bypass 1 dir. nord</v>
      </c>
      <c r="B664" t="str">
        <f t="shared" si="21"/>
        <v>ALR_CUMULATIVO_EMERGENZA_DIR_NORD_1-Allarme emergenza bypass 1 dir. nord</v>
      </c>
      <c r="C664" t="str">
        <f>VLOOKUP(B664,'[2]Classi allarmi RMT-STIG_rev4'!$C:$C,1,0)</f>
        <v>ALR_CUMULATIVO_EMERGENZA_DIR_NORD_1-Allarme emergenza bypass 1 dir. nord</v>
      </c>
      <c r="D664" t="str">
        <f>VLOOKUP(B664,'EXPORT IRIS PROD 13-11-2024'!A:A,1,0)</f>
        <v>ALR_CUMULATIVO_EMERGENZA_DIR_NORD_1-Allarme emergenza bypass 1 dir. nord</v>
      </c>
      <c r="E664" t="str">
        <f>VLOOKUP(H664,'EXPORT IRIS PROD 13-11-2024'!F:F,1,0)</f>
        <v>ALR_CUMULATIVO_EMERGENZA_DIR_NORD_1</v>
      </c>
      <c r="F664" t="str">
        <f>VLOOKUP(I664,'EXPORT IRIS PROD 13-11-2024'!D:D,1,0)</f>
        <v>Allarme emergenza bypass 1 dir. nord</v>
      </c>
      <c r="G664" s="37" t="s">
        <v>271</v>
      </c>
      <c r="H664" s="38" t="s">
        <v>1243</v>
      </c>
      <c r="I664" s="45" t="s">
        <v>1244</v>
      </c>
      <c r="J664" s="46" t="s">
        <v>274</v>
      </c>
      <c r="K664" s="46" t="s">
        <v>1245</v>
      </c>
      <c r="L664" s="40" t="s">
        <v>21</v>
      </c>
      <c r="M664" s="41" t="s">
        <v>22</v>
      </c>
      <c r="N664" s="42" t="s">
        <v>23</v>
      </c>
      <c r="O664" s="43" t="s">
        <v>24</v>
      </c>
      <c r="P664" s="42" t="s">
        <v>25</v>
      </c>
      <c r="Q664" s="42" t="s">
        <v>21</v>
      </c>
      <c r="R664" s="44"/>
    </row>
    <row r="665" spans="1:18" x14ac:dyDescent="0.25">
      <c r="A665" t="str">
        <f t="shared" si="20"/>
        <v>Impianto Bypass_Bypass generale/quadro elettrico_ALR_CUMULATIVO_EMERGENZA_DIR_NORD_2-Allarme emergenza bypass 2 dir. nord</v>
      </c>
      <c r="B665" t="str">
        <f t="shared" si="21"/>
        <v>ALR_CUMULATIVO_EMERGENZA_DIR_NORD_2-Allarme emergenza bypass 2 dir. nord</v>
      </c>
      <c r="C665" t="str">
        <f>VLOOKUP(B665,'[2]Classi allarmi RMT-STIG_rev4'!$C:$C,1,0)</f>
        <v>ALR_CUMULATIVO_EMERGENZA_DIR_NORD_2-Allarme emergenza bypass 2 dir. nord</v>
      </c>
      <c r="D665" t="str">
        <f>VLOOKUP(B665,'EXPORT IRIS PROD 13-11-2024'!A:A,1,0)</f>
        <v>ALR_CUMULATIVO_EMERGENZA_DIR_NORD_2-Allarme emergenza bypass 2 dir. nord</v>
      </c>
      <c r="E665" t="str">
        <f>VLOOKUP(H665,'EXPORT IRIS PROD 13-11-2024'!F:F,1,0)</f>
        <v>ALR_CUMULATIVO_EMERGENZA_DIR_NORD_2</v>
      </c>
      <c r="F665" t="str">
        <f>VLOOKUP(I665,'EXPORT IRIS PROD 13-11-2024'!D:D,1,0)</f>
        <v>Allarme emergenza bypass 2 dir. nord</v>
      </c>
      <c r="G665" s="37" t="s">
        <v>271</v>
      </c>
      <c r="H665" s="38" t="s">
        <v>1246</v>
      </c>
      <c r="I665" s="45" t="s">
        <v>1247</v>
      </c>
      <c r="J665" s="46" t="s">
        <v>274</v>
      </c>
      <c r="K665" s="46" t="s">
        <v>1160</v>
      </c>
      <c r="L665" s="40" t="s">
        <v>21</v>
      </c>
      <c r="M665" s="41" t="s">
        <v>22</v>
      </c>
      <c r="N665" s="42" t="s">
        <v>23</v>
      </c>
      <c r="O665" s="43" t="s">
        <v>24</v>
      </c>
      <c r="P665" s="42" t="s">
        <v>25</v>
      </c>
      <c r="Q665" s="42" t="s">
        <v>21</v>
      </c>
      <c r="R665" s="44"/>
    </row>
    <row r="666" spans="1:18" x14ac:dyDescent="0.25">
      <c r="A666" t="str">
        <f t="shared" si="20"/>
        <v>Impianto Bypass_Lampeggiante_ALR_CUMULATIVO_EMERGENZA_DIR_NORD_2-Allarme emergenza bypass 2 dir. nord</v>
      </c>
      <c r="B666" t="str">
        <f t="shared" si="21"/>
        <v>ALR_CUMULATIVO_EMERGENZA_DIR_NORD_2-Allarme emergenza bypass 2 dir. nord</v>
      </c>
      <c r="C666" t="str">
        <f>VLOOKUP(B666,'[2]Classi allarmi RMT-STIG_rev4'!$C:$C,1,0)</f>
        <v>ALR_CUMULATIVO_EMERGENZA_DIR_NORD_2-Allarme emergenza bypass 2 dir. nord</v>
      </c>
      <c r="D666" t="str">
        <f>VLOOKUP(B666,'EXPORT IRIS PROD 13-11-2024'!A:A,1,0)</f>
        <v>ALR_CUMULATIVO_EMERGENZA_DIR_NORD_2-Allarme emergenza bypass 2 dir. nord</v>
      </c>
      <c r="E666" t="str">
        <f>VLOOKUP(H666,'EXPORT IRIS PROD 13-11-2024'!F:F,1,0)</f>
        <v>ALR_CUMULATIVO_EMERGENZA_DIR_NORD_2</v>
      </c>
      <c r="F666" t="str">
        <f>VLOOKUP(I666,'EXPORT IRIS PROD 13-11-2024'!D:D,1,0)</f>
        <v>Allarme emergenza bypass 2 dir. nord</v>
      </c>
      <c r="G666" s="37" t="s">
        <v>271</v>
      </c>
      <c r="H666" s="38" t="s">
        <v>1246</v>
      </c>
      <c r="I666" s="45" t="s">
        <v>1247</v>
      </c>
      <c r="J666" s="46" t="s">
        <v>274</v>
      </c>
      <c r="K666" s="46" t="s">
        <v>1245</v>
      </c>
      <c r="L666" s="40" t="s">
        <v>21</v>
      </c>
      <c r="M666" s="41" t="s">
        <v>22</v>
      </c>
      <c r="N666" s="42" t="s">
        <v>23</v>
      </c>
      <c r="O666" s="43" t="s">
        <v>24</v>
      </c>
      <c r="P666" s="42" t="s">
        <v>25</v>
      </c>
      <c r="Q666" s="42" t="s">
        <v>21</v>
      </c>
      <c r="R666" s="44"/>
    </row>
    <row r="667" spans="1:18" x14ac:dyDescent="0.25">
      <c r="A667" t="str">
        <f t="shared" si="20"/>
        <v>Impianto Bypass_Bypass generale/quadro elettrico_ALR_CUMULATIVO_EMERGENZA_DIR_NORD_3-Allarme emergenza bypass 3 dir. nord</v>
      </c>
      <c r="B667" t="str">
        <f t="shared" si="21"/>
        <v>ALR_CUMULATIVO_EMERGENZA_DIR_NORD_3-Allarme emergenza bypass 3 dir. nord</v>
      </c>
      <c r="C667" t="str">
        <f>VLOOKUP(B667,'[2]Classi allarmi RMT-STIG_rev4'!$C:$C,1,0)</f>
        <v>ALR_CUMULATIVO_EMERGENZA_DIR_NORD_3-Allarme emergenza bypass 3 dir. nord</v>
      </c>
      <c r="D667" t="str">
        <f>VLOOKUP(B667,'EXPORT IRIS PROD 13-11-2024'!A:A,1,0)</f>
        <v>ALR_CUMULATIVO_EMERGENZA_DIR_NORD_3-Allarme emergenza bypass 3 dir. nord</v>
      </c>
      <c r="E667" t="str">
        <f>VLOOKUP(H667,'EXPORT IRIS PROD 13-11-2024'!F:F,1,0)</f>
        <v>ALR_CUMULATIVO_EMERGENZA_DIR_NORD_3</v>
      </c>
      <c r="F667" t="str">
        <f>VLOOKUP(I667,'EXPORT IRIS PROD 13-11-2024'!D:D,1,0)</f>
        <v>Allarme emergenza bypass 3 dir. nord</v>
      </c>
      <c r="G667" s="37" t="s">
        <v>271</v>
      </c>
      <c r="H667" s="38" t="s">
        <v>1248</v>
      </c>
      <c r="I667" s="45" t="s">
        <v>1249</v>
      </c>
      <c r="J667" s="46" t="s">
        <v>274</v>
      </c>
      <c r="K667" s="46" t="s">
        <v>1160</v>
      </c>
      <c r="L667" s="40" t="s">
        <v>21</v>
      </c>
      <c r="M667" s="41" t="s">
        <v>22</v>
      </c>
      <c r="N667" s="42" t="s">
        <v>23</v>
      </c>
      <c r="O667" s="43" t="s">
        <v>24</v>
      </c>
      <c r="P667" s="42" t="s">
        <v>25</v>
      </c>
      <c r="Q667" s="42" t="s">
        <v>21</v>
      </c>
      <c r="R667" s="44"/>
    </row>
    <row r="668" spans="1:18" x14ac:dyDescent="0.25">
      <c r="A668" t="str">
        <f t="shared" si="20"/>
        <v>Impianto Bypass_Bypass generale/quadro elettrico_ALR_CUMULATIVO_EMERGENZA_DIR_SUD_1-Allarme emergenza bypass 1 dir. sud</v>
      </c>
      <c r="B668" t="str">
        <f t="shared" si="21"/>
        <v>ALR_CUMULATIVO_EMERGENZA_DIR_SUD_1-Allarme emergenza bypass 1 dir. sud</v>
      </c>
      <c r="C668" t="str">
        <f>VLOOKUP(B668,'[2]Classi allarmi RMT-STIG_rev4'!$C:$C,1,0)</f>
        <v>ALR_CUMULATIVO_EMERGENZA_DIR_SUD_1-Allarme emergenza bypass 1 dir. sud</v>
      </c>
      <c r="D668" t="str">
        <f>VLOOKUP(B668,'EXPORT IRIS PROD 13-11-2024'!A:A,1,0)</f>
        <v>ALR_CUMULATIVO_EMERGENZA_DIR_SUD_1-Allarme emergenza bypass 1 dir. sud</v>
      </c>
      <c r="E668" t="str">
        <f>VLOOKUP(H668,'EXPORT IRIS PROD 13-11-2024'!F:F,1,0)</f>
        <v>ALR_CUMULATIVO_EMERGENZA_DIR_SUD_1</v>
      </c>
      <c r="F668" t="str">
        <f>VLOOKUP(I668,'EXPORT IRIS PROD 13-11-2024'!D:D,1,0)</f>
        <v>Allarme emergenza bypass 1 dir. sud</v>
      </c>
      <c r="G668" s="37" t="s">
        <v>271</v>
      </c>
      <c r="H668" s="38" t="s">
        <v>1250</v>
      </c>
      <c r="I668" s="45" t="s">
        <v>1251</v>
      </c>
      <c r="J668" s="46" t="s">
        <v>274</v>
      </c>
      <c r="K668" s="46" t="s">
        <v>1160</v>
      </c>
      <c r="L668" s="40" t="s">
        <v>21</v>
      </c>
      <c r="M668" s="41" t="s">
        <v>22</v>
      </c>
      <c r="N668" s="42" t="s">
        <v>23</v>
      </c>
      <c r="O668" s="43" t="s">
        <v>24</v>
      </c>
      <c r="P668" s="42" t="s">
        <v>25</v>
      </c>
      <c r="Q668" s="42" t="s">
        <v>21</v>
      </c>
      <c r="R668" s="44"/>
    </row>
    <row r="669" spans="1:18" x14ac:dyDescent="0.25">
      <c r="A669" t="str">
        <f t="shared" si="20"/>
        <v>Impianto Bypass_Lampeggiante_ALR_CUMULATIVO_EMERGENZA_DIR_SUD_1-Allarme emergenza bypass 1 dir. sud</v>
      </c>
      <c r="B669" t="str">
        <f t="shared" si="21"/>
        <v>ALR_CUMULATIVO_EMERGENZA_DIR_SUD_1-Allarme emergenza bypass 1 dir. sud</v>
      </c>
      <c r="C669" t="str">
        <f>VLOOKUP(B669,'[2]Classi allarmi RMT-STIG_rev4'!$C:$C,1,0)</f>
        <v>ALR_CUMULATIVO_EMERGENZA_DIR_SUD_1-Allarme emergenza bypass 1 dir. sud</v>
      </c>
      <c r="D669" t="str">
        <f>VLOOKUP(B669,'EXPORT IRIS PROD 13-11-2024'!A:A,1,0)</f>
        <v>ALR_CUMULATIVO_EMERGENZA_DIR_SUD_1-Allarme emergenza bypass 1 dir. sud</v>
      </c>
      <c r="E669" t="str">
        <f>VLOOKUP(H669,'EXPORT IRIS PROD 13-11-2024'!F:F,1,0)</f>
        <v>ALR_CUMULATIVO_EMERGENZA_DIR_SUD_1</v>
      </c>
      <c r="F669" t="str">
        <f>VLOOKUP(I669,'EXPORT IRIS PROD 13-11-2024'!D:D,1,0)</f>
        <v>Allarme emergenza bypass 1 dir. sud</v>
      </c>
      <c r="G669" s="37" t="s">
        <v>271</v>
      </c>
      <c r="H669" s="38" t="s">
        <v>1250</v>
      </c>
      <c r="I669" s="45" t="s">
        <v>1251</v>
      </c>
      <c r="J669" s="46" t="s">
        <v>274</v>
      </c>
      <c r="K669" s="46" t="s">
        <v>1245</v>
      </c>
      <c r="L669" s="40" t="s">
        <v>21</v>
      </c>
      <c r="M669" s="41" t="s">
        <v>22</v>
      </c>
      <c r="N669" s="42" t="s">
        <v>23</v>
      </c>
      <c r="O669" s="43" t="s">
        <v>24</v>
      </c>
      <c r="P669" s="42" t="s">
        <v>25</v>
      </c>
      <c r="Q669" s="42" t="s">
        <v>21</v>
      </c>
      <c r="R669" s="44"/>
    </row>
    <row r="670" spans="1:18" x14ac:dyDescent="0.25">
      <c r="A670" t="str">
        <f t="shared" si="20"/>
        <v>Impianto Bypass_Bypass generale/quadro elettrico_ALR_CUMULATIVO_EMERGENZA_DIR_SUD_2-Allarme emergenza bypass 2 dir. sud</v>
      </c>
      <c r="B670" t="str">
        <f t="shared" si="21"/>
        <v>ALR_CUMULATIVO_EMERGENZA_DIR_SUD_2-Allarme emergenza bypass 2 dir. sud</v>
      </c>
      <c r="C670" t="str">
        <f>VLOOKUP(B670,'[2]Classi allarmi RMT-STIG_rev4'!$C:$C,1,0)</f>
        <v>ALR_CUMULATIVO_EMERGENZA_DIR_SUD_2-Allarme emergenza bypass 2 dir. sud</v>
      </c>
      <c r="D670" t="str">
        <f>VLOOKUP(B670,'EXPORT IRIS PROD 13-11-2024'!A:A,1,0)</f>
        <v>ALR_CUMULATIVO_EMERGENZA_DIR_SUD_2-Allarme emergenza bypass 2 dir. sud</v>
      </c>
      <c r="E670" t="str">
        <f>VLOOKUP(H670,'EXPORT IRIS PROD 13-11-2024'!F:F,1,0)</f>
        <v>ALR_CUMULATIVO_EMERGENZA_DIR_SUD_2</v>
      </c>
      <c r="F670" t="str">
        <f>VLOOKUP(I670,'EXPORT IRIS PROD 13-11-2024'!D:D,1,0)</f>
        <v>Allarme emergenza bypass 2 dir. sud</v>
      </c>
      <c r="G670" s="37" t="s">
        <v>271</v>
      </c>
      <c r="H670" s="38" t="s">
        <v>1252</v>
      </c>
      <c r="I670" s="45" t="s">
        <v>1253</v>
      </c>
      <c r="J670" s="46" t="s">
        <v>274</v>
      </c>
      <c r="K670" s="46" t="s">
        <v>1160</v>
      </c>
      <c r="L670" s="40" t="s">
        <v>21</v>
      </c>
      <c r="M670" s="41" t="s">
        <v>22</v>
      </c>
      <c r="N670" s="42" t="s">
        <v>23</v>
      </c>
      <c r="O670" s="43" t="s">
        <v>24</v>
      </c>
      <c r="P670" s="42" t="s">
        <v>25</v>
      </c>
      <c r="Q670" s="42" t="s">
        <v>21</v>
      </c>
      <c r="R670" s="44"/>
    </row>
    <row r="671" spans="1:18" x14ac:dyDescent="0.25">
      <c r="A671" t="str">
        <f t="shared" si="20"/>
        <v>Impianto Bypass_Lampeggiante_ALR_CUMULATIVO_EMERGENZA_DIR_SUD_2-Allarme emergenza bypass 2 dir. sud</v>
      </c>
      <c r="B671" t="str">
        <f t="shared" si="21"/>
        <v>ALR_CUMULATIVO_EMERGENZA_DIR_SUD_2-Allarme emergenza bypass 2 dir. sud</v>
      </c>
      <c r="C671" t="str">
        <f>VLOOKUP(B671,'[2]Classi allarmi RMT-STIG_rev4'!$C:$C,1,0)</f>
        <v>ALR_CUMULATIVO_EMERGENZA_DIR_SUD_2-Allarme emergenza bypass 2 dir. sud</v>
      </c>
      <c r="D671" t="str">
        <f>VLOOKUP(B671,'EXPORT IRIS PROD 13-11-2024'!A:A,1,0)</f>
        <v>ALR_CUMULATIVO_EMERGENZA_DIR_SUD_2-Allarme emergenza bypass 2 dir. sud</v>
      </c>
      <c r="E671" t="str">
        <f>VLOOKUP(H671,'EXPORT IRIS PROD 13-11-2024'!F:F,1,0)</f>
        <v>ALR_CUMULATIVO_EMERGENZA_DIR_SUD_2</v>
      </c>
      <c r="F671" t="str">
        <f>VLOOKUP(I671,'EXPORT IRIS PROD 13-11-2024'!D:D,1,0)</f>
        <v>Allarme emergenza bypass 2 dir. sud</v>
      </c>
      <c r="G671" s="37" t="s">
        <v>271</v>
      </c>
      <c r="H671" s="38" t="s">
        <v>1252</v>
      </c>
      <c r="I671" s="45" t="s">
        <v>1253</v>
      </c>
      <c r="J671" s="46" t="s">
        <v>274</v>
      </c>
      <c r="K671" s="46" t="s">
        <v>1245</v>
      </c>
      <c r="L671" s="40" t="s">
        <v>21</v>
      </c>
      <c r="M671" s="41" t="s">
        <v>22</v>
      </c>
      <c r="N671" s="42" t="s">
        <v>23</v>
      </c>
      <c r="O671" s="43" t="s">
        <v>24</v>
      </c>
      <c r="P671" s="42" t="s">
        <v>25</v>
      </c>
      <c r="Q671" s="42" t="s">
        <v>21</v>
      </c>
      <c r="R671" s="44"/>
    </row>
    <row r="672" spans="1:18" x14ac:dyDescent="0.25">
      <c r="A672" t="str">
        <f t="shared" si="20"/>
        <v>Impianto Bypass_Bypass generale/quadro elettrico_ALR_CUMULATIVO_EMERGENZA_DIR_SUD_3-Allarme emergenza bypass 3 dir. sud</v>
      </c>
      <c r="B672" t="str">
        <f t="shared" si="21"/>
        <v>ALR_CUMULATIVO_EMERGENZA_DIR_SUD_3-Allarme emergenza bypass 3 dir. sud</v>
      </c>
      <c r="C672" t="str">
        <f>VLOOKUP(B672,'[2]Classi allarmi RMT-STIG_rev4'!$C:$C,1,0)</f>
        <v>ALR_CUMULATIVO_EMERGENZA_DIR_SUD_3-Allarme emergenza bypass 3 dir. sud</v>
      </c>
      <c r="D672" t="str">
        <f>VLOOKUP(B672,'EXPORT IRIS PROD 13-11-2024'!A:A,1,0)</f>
        <v>ALR_CUMULATIVO_EMERGENZA_DIR_SUD_3-Allarme emergenza bypass 3 dir. sud</v>
      </c>
      <c r="E672" t="str">
        <f>VLOOKUP(H672,'EXPORT IRIS PROD 13-11-2024'!F:F,1,0)</f>
        <v>ALR_CUMULATIVO_EMERGENZA_DIR_SUD_3</v>
      </c>
      <c r="F672" t="str">
        <f>VLOOKUP(I672,'EXPORT IRIS PROD 13-11-2024'!D:D,1,0)</f>
        <v>Allarme emergenza bypass 3 dir. sud</v>
      </c>
      <c r="G672" s="37" t="s">
        <v>271</v>
      </c>
      <c r="H672" s="38" t="s">
        <v>1254</v>
      </c>
      <c r="I672" s="45" t="s">
        <v>1255</v>
      </c>
      <c r="J672" s="46" t="s">
        <v>274</v>
      </c>
      <c r="K672" s="46" t="s">
        <v>1160</v>
      </c>
      <c r="L672" s="40" t="s">
        <v>21</v>
      </c>
      <c r="M672" s="41" t="s">
        <v>22</v>
      </c>
      <c r="N672" s="42" t="s">
        <v>23</v>
      </c>
      <c r="O672" s="43" t="s">
        <v>24</v>
      </c>
      <c r="P672" s="42" t="s">
        <v>25</v>
      </c>
      <c r="Q672" s="42" t="s">
        <v>21</v>
      </c>
      <c r="R672" s="44"/>
    </row>
    <row r="673" spans="1:18" x14ac:dyDescent="0.25">
      <c r="A673" t="str">
        <f t="shared" si="20"/>
        <v>Impianto Bypass_Centralina ril. Incendio bypass_ALR_CUMULATIVO_INCENDIO-Allarme cumulativo incendio</v>
      </c>
      <c r="B673" t="str">
        <f t="shared" si="21"/>
        <v>ALR_CUMULATIVO_INCENDIO-Allarme cumulativo incendio</v>
      </c>
      <c r="C673" t="str">
        <f>VLOOKUP(B673,'[2]Classi allarmi RMT-STIG_rev4'!$C:$C,1,0)</f>
        <v>ALR_CUMULATIVO_INCENDIO-Allarme cumulativo incendio</v>
      </c>
      <c r="D673" t="str">
        <f>VLOOKUP(B673,'EXPORT IRIS PROD 13-11-2024'!A:A,1,0)</f>
        <v>ALR_CUMULATIVO_INCENDIO-Allarme cumulativo incendio</v>
      </c>
      <c r="E673" t="str">
        <f>VLOOKUP(H673,'EXPORT IRIS PROD 13-11-2024'!F:F,1,0)</f>
        <v>ALR_CUMULATIVO_INCENDIO</v>
      </c>
      <c r="F673" t="str">
        <f>VLOOKUP(I673,'EXPORT IRIS PROD 13-11-2024'!D:D,1,0)</f>
        <v>Allarme cumulativo incendio</v>
      </c>
      <c r="G673" s="37" t="s">
        <v>40</v>
      </c>
      <c r="H673" s="38" t="s">
        <v>1256</v>
      </c>
      <c r="I673" s="45" t="s">
        <v>1257</v>
      </c>
      <c r="J673" s="46" t="s">
        <v>274</v>
      </c>
      <c r="K673" s="46" t="s">
        <v>1258</v>
      </c>
      <c r="L673" s="47" t="s">
        <v>31</v>
      </c>
      <c r="M673" s="48" t="s">
        <v>32</v>
      </c>
      <c r="N673" s="43">
        <v>2</v>
      </c>
      <c r="O673" s="43" t="s">
        <v>45</v>
      </c>
      <c r="P673" s="43" t="s">
        <v>46</v>
      </c>
      <c r="Q673" s="43" t="s">
        <v>31</v>
      </c>
      <c r="R673" s="49"/>
    </row>
    <row r="674" spans="1:18" x14ac:dyDescent="0.25">
      <c r="A674" t="str">
        <f t="shared" si="20"/>
        <v>Impianto Rilevazione Incendio_Rilevatore incendio (presente in galleria - zone)_ALR_CUMULATIVO_INCENDIO-Allarme cumulativo incendio</v>
      </c>
      <c r="B674" t="str">
        <f t="shared" si="21"/>
        <v>ALR_CUMULATIVO_INCENDIO-Allarme cumulativo incendio</v>
      </c>
      <c r="C674" t="str">
        <f>VLOOKUP(B674,'[2]Classi allarmi RMT-STIG_rev4'!$C:$C,1,0)</f>
        <v>ALR_CUMULATIVO_INCENDIO-Allarme cumulativo incendio</v>
      </c>
      <c r="D674" t="str">
        <f>VLOOKUP(B674,'EXPORT IRIS PROD 13-11-2024'!A:A,1,0)</f>
        <v>ALR_CUMULATIVO_INCENDIO-Allarme cumulativo incendio</v>
      </c>
      <c r="E674" t="str">
        <f>VLOOKUP(H674,'EXPORT IRIS PROD 13-11-2024'!F:F,1,0)</f>
        <v>ALR_CUMULATIVO_INCENDIO</v>
      </c>
      <c r="F674" t="str">
        <f>VLOOKUP(I674,'EXPORT IRIS PROD 13-11-2024'!D:D,1,0)</f>
        <v>Allarme cumulativo incendio</v>
      </c>
      <c r="G674" s="37" t="s">
        <v>40</v>
      </c>
      <c r="H674" s="38" t="s">
        <v>1256</v>
      </c>
      <c r="I674" s="45" t="s">
        <v>1257</v>
      </c>
      <c r="J674" s="46" t="s">
        <v>43</v>
      </c>
      <c r="K674" s="46" t="s">
        <v>856</v>
      </c>
      <c r="L674" s="47" t="s">
        <v>31</v>
      </c>
      <c r="M674" s="48" t="s">
        <v>32</v>
      </c>
      <c r="N674" s="43">
        <v>2</v>
      </c>
      <c r="O674" s="43" t="s">
        <v>45</v>
      </c>
      <c r="P674" s="43" t="s">
        <v>46</v>
      </c>
      <c r="Q674" s="43" t="s">
        <v>31</v>
      </c>
      <c r="R674" s="49"/>
    </row>
    <row r="675" spans="1:18" x14ac:dyDescent="0.25">
      <c r="A675" t="str">
        <f t="shared" si="20"/>
        <v>Impianto Rilevazione Incendio_Centralina rilevazione incendio/fibrolaser_ALR_CUMULATIVO_INCENDIO_CABINA_CANNA_NORD-Allarme cumulativo incendio cabina canna nord</v>
      </c>
      <c r="B675" t="str">
        <f t="shared" si="21"/>
        <v>ALR_CUMULATIVO_INCENDIO_CABINA_CANNA_NORD-Allarme cumulativo incendio cabina canna nord</v>
      </c>
      <c r="C675" t="str">
        <f>VLOOKUP(B675,'[2]Classi allarmi RMT-STIG_rev4'!$C:$C,1,0)</f>
        <v>ALR_CUMULATIVO_INCENDIO_CABINA_CANNA_NORD-Allarme cumulativo incendio cabina canna nord</v>
      </c>
      <c r="D675" t="str">
        <f>VLOOKUP(B675,'EXPORT IRIS PROD 13-11-2024'!A:A,1,0)</f>
        <v>ALR_CUMULATIVO_INCENDIO_CABINA_CANNA_NORD-Allarme cumulativo incendio cabina canna nord</v>
      </c>
      <c r="E675" t="str">
        <f>VLOOKUP(H675,'EXPORT IRIS PROD 13-11-2024'!F:F,1,0)</f>
        <v>ALR_CUMULATIVO_INCENDIO_CABINA_CANNA_NORD</v>
      </c>
      <c r="F675" t="str">
        <f>VLOOKUP(I675,'EXPORT IRIS PROD 13-11-2024'!D:D,1,0)</f>
        <v>Allarme cumulativo incendio cabina canna nord</v>
      </c>
      <c r="G675" s="37" t="s">
        <v>40</v>
      </c>
      <c r="H675" s="38" t="s">
        <v>1259</v>
      </c>
      <c r="I675" s="45" t="s">
        <v>1260</v>
      </c>
      <c r="J675" s="46" t="s">
        <v>43</v>
      </c>
      <c r="K675" s="46" t="s">
        <v>394</v>
      </c>
      <c r="L675" s="47" t="s">
        <v>31</v>
      </c>
      <c r="M675" s="48" t="s">
        <v>32</v>
      </c>
      <c r="N675" s="43">
        <v>2</v>
      </c>
      <c r="O675" s="43" t="s">
        <v>45</v>
      </c>
      <c r="P675" s="43" t="s">
        <v>46</v>
      </c>
      <c r="Q675" s="43" t="s">
        <v>31</v>
      </c>
      <c r="R675" s="49"/>
    </row>
    <row r="676" spans="1:18" x14ac:dyDescent="0.25">
      <c r="A676" t="str">
        <f t="shared" si="20"/>
        <v>Impianto Bypass_Centralina rilevazione incendio/fibrolaser_ALR_CUMULATIVO_INCENDIO_CABINA_CANNA_NORD-Allarme cumulativo incendio cabina canna nord</v>
      </c>
      <c r="B676" t="str">
        <f t="shared" si="21"/>
        <v>ALR_CUMULATIVO_INCENDIO_CABINA_CANNA_NORD-Allarme cumulativo incendio cabina canna nord</v>
      </c>
      <c r="C676" t="str">
        <f>VLOOKUP(B676,'[2]Classi allarmi RMT-STIG_rev4'!$C:$C,1,0)</f>
        <v>ALR_CUMULATIVO_INCENDIO_CABINA_CANNA_NORD-Allarme cumulativo incendio cabina canna nord</v>
      </c>
      <c r="D676" t="str">
        <f>VLOOKUP(B676,'EXPORT IRIS PROD 13-11-2024'!A:A,1,0)</f>
        <v>ALR_CUMULATIVO_INCENDIO_CABINA_CANNA_NORD-Allarme cumulativo incendio cabina canna nord</v>
      </c>
      <c r="E676" t="str">
        <f>VLOOKUP(H676,'EXPORT IRIS PROD 13-11-2024'!F:F,1,0)</f>
        <v>ALR_CUMULATIVO_INCENDIO_CABINA_CANNA_NORD</v>
      </c>
      <c r="F676" t="str">
        <f>VLOOKUP(I676,'EXPORT IRIS PROD 13-11-2024'!D:D,1,0)</f>
        <v>Allarme cumulativo incendio cabina canna nord</v>
      </c>
      <c r="G676" s="37" t="s">
        <v>40</v>
      </c>
      <c r="H676" s="38" t="s">
        <v>1259</v>
      </c>
      <c r="I676" s="45" t="s">
        <v>1260</v>
      </c>
      <c r="J676" s="46" t="s">
        <v>274</v>
      </c>
      <c r="K676" s="46" t="s">
        <v>394</v>
      </c>
      <c r="L676" s="47" t="s">
        <v>31</v>
      </c>
      <c r="M676" s="48" t="s">
        <v>32</v>
      </c>
      <c r="N676" s="43">
        <v>2</v>
      </c>
      <c r="O676" s="43" t="s">
        <v>45</v>
      </c>
      <c r="P676" s="43" t="s">
        <v>46</v>
      </c>
      <c r="Q676" s="43" t="s">
        <v>31</v>
      </c>
      <c r="R676" s="49"/>
    </row>
    <row r="677" spans="1:18" x14ac:dyDescent="0.25">
      <c r="A677" t="str">
        <f t="shared" si="20"/>
        <v>Impianto Rilevazione Incendio_Centralina rilevazione incendio/fibrolaser_ALR_CUMULATIVO_INCENDIO_CABINA_CANNA_SUD-Allarme cumulativo incendio cabina canna sud</v>
      </c>
      <c r="B677" t="str">
        <f t="shared" si="21"/>
        <v>ALR_CUMULATIVO_INCENDIO_CABINA_CANNA_SUD-Allarme cumulativo incendio cabina canna sud</v>
      </c>
      <c r="C677" t="str">
        <f>VLOOKUP(B677,'[2]Classi allarmi RMT-STIG_rev4'!$C:$C,1,0)</f>
        <v>ALR_CUMULATIVO_INCENDIO_CABINA_CANNA_SUD-Allarme cumulativo incendio cabina canna sud</v>
      </c>
      <c r="D677" t="str">
        <f>VLOOKUP(B677,'EXPORT IRIS PROD 13-11-2024'!A:A,1,0)</f>
        <v>ALR_CUMULATIVO_INCENDIO_CABINA_CANNA_SUD-Allarme cumulativo incendio cabina canna sud</v>
      </c>
      <c r="E677" t="str">
        <f>VLOOKUP(H677,'EXPORT IRIS PROD 13-11-2024'!F:F,1,0)</f>
        <v>ALR_CUMULATIVO_INCENDIO_CABINA_CANNA_SUD</v>
      </c>
      <c r="F677" t="str">
        <f>VLOOKUP(I677,'EXPORT IRIS PROD 13-11-2024'!D:D,1,0)</f>
        <v>Allarme cumulativo incendio cabina canna sud</v>
      </c>
      <c r="G677" s="37" t="s">
        <v>40</v>
      </c>
      <c r="H677" s="38" t="s">
        <v>1261</v>
      </c>
      <c r="I677" s="45" t="s">
        <v>1262</v>
      </c>
      <c r="J677" s="46" t="s">
        <v>43</v>
      </c>
      <c r="K677" s="46" t="s">
        <v>394</v>
      </c>
      <c r="L677" s="47" t="s">
        <v>31</v>
      </c>
      <c r="M677" s="48" t="s">
        <v>32</v>
      </c>
      <c r="N677" s="43">
        <v>2</v>
      </c>
      <c r="O677" s="43" t="s">
        <v>45</v>
      </c>
      <c r="P677" s="43" t="s">
        <v>46</v>
      </c>
      <c r="Q677" s="43" t="s">
        <v>31</v>
      </c>
      <c r="R677" s="49"/>
    </row>
    <row r="678" spans="1:18" x14ac:dyDescent="0.25">
      <c r="A678" t="str">
        <f t="shared" si="20"/>
        <v>Impianto Bypass_Centralina rilevazione incendio/fibrolaser_ALR_CUMULATIVO_INCENDIO_CABINA_CANNA_SUD-Allarme cumulativo incendio cabina canna sud</v>
      </c>
      <c r="B678" t="str">
        <f t="shared" si="21"/>
        <v>ALR_CUMULATIVO_INCENDIO_CABINA_CANNA_SUD-Allarme cumulativo incendio cabina canna sud</v>
      </c>
      <c r="C678" t="str">
        <f>VLOOKUP(B678,'[2]Classi allarmi RMT-STIG_rev4'!$C:$C,1,0)</f>
        <v>ALR_CUMULATIVO_INCENDIO_CABINA_CANNA_SUD-Allarme cumulativo incendio cabina canna sud</v>
      </c>
      <c r="D678" t="str">
        <f>VLOOKUP(B678,'EXPORT IRIS PROD 13-11-2024'!A:A,1,0)</f>
        <v>ALR_CUMULATIVO_INCENDIO_CABINA_CANNA_SUD-Allarme cumulativo incendio cabina canna sud</v>
      </c>
      <c r="E678" t="str">
        <f>VLOOKUP(H678,'EXPORT IRIS PROD 13-11-2024'!F:F,1,0)</f>
        <v>ALR_CUMULATIVO_INCENDIO_CABINA_CANNA_SUD</v>
      </c>
      <c r="F678" t="str">
        <f>VLOOKUP(I678,'EXPORT IRIS PROD 13-11-2024'!D:D,1,0)</f>
        <v>Allarme cumulativo incendio cabina canna sud</v>
      </c>
      <c r="G678" s="37" t="s">
        <v>40</v>
      </c>
      <c r="H678" s="38" t="s">
        <v>1261</v>
      </c>
      <c r="I678" s="45" t="s">
        <v>1262</v>
      </c>
      <c r="J678" s="46" t="s">
        <v>274</v>
      </c>
      <c r="K678" s="46" t="s">
        <v>394</v>
      </c>
      <c r="L678" s="47" t="s">
        <v>31</v>
      </c>
      <c r="M678" s="48" t="s">
        <v>32</v>
      </c>
      <c r="N678" s="43">
        <v>2</v>
      </c>
      <c r="O678" s="43" t="s">
        <v>45</v>
      </c>
      <c r="P678" s="43" t="s">
        <v>46</v>
      </c>
      <c r="Q678" s="43" t="s">
        <v>31</v>
      </c>
      <c r="R678" s="49"/>
    </row>
    <row r="679" spans="1:18" x14ac:dyDescent="0.25">
      <c r="A679" t="str">
        <f t="shared" si="20"/>
        <v>Impianto Bypass_Centralina ril. Incendio bypass_ALR_CUMULATIVO_INCENDIO_CANNA_NORD-Allarme cumulativo incendio canna nord</v>
      </c>
      <c r="B679" t="str">
        <f t="shared" si="21"/>
        <v>ALR_CUMULATIVO_INCENDIO_CANNA_NORD-Allarme cumulativo incendio canna nord</v>
      </c>
      <c r="C679" t="str">
        <f>VLOOKUP(B679,'[2]Classi allarmi RMT-STIG_rev4'!$C:$C,1,0)</f>
        <v>ALR_CUMULATIVO_INCENDIO_CANNA_NORD-Allarme cumulativo incendio canna nord</v>
      </c>
      <c r="D679" t="str">
        <f>VLOOKUP(B679,'EXPORT IRIS PROD 13-11-2024'!A:A,1,0)</f>
        <v>ALR_CUMULATIVO_INCENDIO_CANNA_NORD-Allarme cumulativo incendio canna nord</v>
      </c>
      <c r="E679" t="str">
        <f>VLOOKUP(H679,'EXPORT IRIS PROD 13-11-2024'!F:F,1,0)</f>
        <v>ALR_CUMULATIVO_INCENDIO_CANNA_NORD</v>
      </c>
      <c r="F679" t="str">
        <f>VLOOKUP(I679,'EXPORT IRIS PROD 13-11-2024'!D:D,1,0)</f>
        <v>Allarme cumulativo incendio canna nord</v>
      </c>
      <c r="G679" s="37" t="s">
        <v>40</v>
      </c>
      <c r="H679" s="38" t="s">
        <v>1263</v>
      </c>
      <c r="I679" s="45" t="s">
        <v>1264</v>
      </c>
      <c r="J679" s="46" t="s">
        <v>274</v>
      </c>
      <c r="K679" s="46" t="s">
        <v>1258</v>
      </c>
      <c r="L679" s="47" t="s">
        <v>31</v>
      </c>
      <c r="M679" s="48" t="s">
        <v>32</v>
      </c>
      <c r="N679" s="43">
        <v>2</v>
      </c>
      <c r="O679" s="43" t="s">
        <v>45</v>
      </c>
      <c r="P679" s="43" t="s">
        <v>46</v>
      </c>
      <c r="Q679" s="43" t="s">
        <v>31</v>
      </c>
      <c r="R679" s="49"/>
    </row>
    <row r="680" spans="1:18" x14ac:dyDescent="0.25">
      <c r="A680" t="str">
        <f t="shared" si="20"/>
        <v>Impianto Rilevazione Incendio_Centralina rilevazione incendio/fibrolaser_ALR_CUMULATIVO_INCENDIO_CANNA_NORD-Allarme cumulativo incendio canna nord</v>
      </c>
      <c r="B680" t="str">
        <f t="shared" si="21"/>
        <v>ALR_CUMULATIVO_INCENDIO_CANNA_NORD-Allarme cumulativo incendio canna nord</v>
      </c>
      <c r="C680" t="str">
        <f>VLOOKUP(B680,'[2]Classi allarmi RMT-STIG_rev4'!$C:$C,1,0)</f>
        <v>ALR_CUMULATIVO_INCENDIO_CANNA_NORD-Allarme cumulativo incendio canna nord</v>
      </c>
      <c r="D680" t="str">
        <f>VLOOKUP(B680,'EXPORT IRIS PROD 13-11-2024'!A:A,1,0)</f>
        <v>ALR_CUMULATIVO_INCENDIO_CANNA_NORD-Allarme cumulativo incendio canna nord</v>
      </c>
      <c r="E680" t="str">
        <f>VLOOKUP(H680,'EXPORT IRIS PROD 13-11-2024'!F:F,1,0)</f>
        <v>ALR_CUMULATIVO_INCENDIO_CANNA_NORD</v>
      </c>
      <c r="F680" t="str">
        <f>VLOOKUP(I680,'EXPORT IRIS PROD 13-11-2024'!D:D,1,0)</f>
        <v>Allarme cumulativo incendio canna nord</v>
      </c>
      <c r="G680" s="37" t="s">
        <v>40</v>
      </c>
      <c r="H680" s="38" t="s">
        <v>1263</v>
      </c>
      <c r="I680" s="45" t="s">
        <v>1264</v>
      </c>
      <c r="J680" s="46" t="s">
        <v>43</v>
      </c>
      <c r="K680" s="46" t="s">
        <v>394</v>
      </c>
      <c r="L680" s="47" t="s">
        <v>31</v>
      </c>
      <c r="M680" s="48" t="s">
        <v>32</v>
      </c>
      <c r="N680" s="43">
        <v>2</v>
      </c>
      <c r="O680" s="43" t="s">
        <v>45</v>
      </c>
      <c r="P680" s="43" t="s">
        <v>46</v>
      </c>
      <c r="Q680" s="43" t="s">
        <v>31</v>
      </c>
      <c r="R680" s="49"/>
    </row>
    <row r="681" spans="1:18" x14ac:dyDescent="0.25">
      <c r="A681" t="str">
        <f t="shared" si="20"/>
        <v>Impianto Bypass_Centralina ril. Incendio bypass_ALR_CUMULATIVO_INCENDIO_CANNA_SUD-Allarme cumulativo incendio canna sud</v>
      </c>
      <c r="B681" t="str">
        <f t="shared" si="21"/>
        <v>ALR_CUMULATIVO_INCENDIO_CANNA_SUD-Allarme cumulativo incendio canna sud</v>
      </c>
      <c r="C681" t="str">
        <f>VLOOKUP(B681,'[2]Classi allarmi RMT-STIG_rev4'!$C:$C,1,0)</f>
        <v>ALR_CUMULATIVO_INCENDIO_CANNA_SUD-Allarme cumulativo incendio canna sud</v>
      </c>
      <c r="D681" t="str">
        <f>VLOOKUP(B681,'EXPORT IRIS PROD 13-11-2024'!A:A,1,0)</f>
        <v>ALR_CUMULATIVO_INCENDIO_CANNA_SUD-Allarme cumulativo incendio canna sud</v>
      </c>
      <c r="E681" t="str">
        <f>VLOOKUP(H681,'EXPORT IRIS PROD 13-11-2024'!F:F,1,0)</f>
        <v>ALR_CUMULATIVO_INCENDIO_CANNA_SUD</v>
      </c>
      <c r="F681" t="str">
        <f>VLOOKUP(I681,'EXPORT IRIS PROD 13-11-2024'!D:D,1,0)</f>
        <v>Allarme cumulativo incendio canna sud</v>
      </c>
      <c r="G681" s="37" t="s">
        <v>40</v>
      </c>
      <c r="H681" s="38" t="s">
        <v>1265</v>
      </c>
      <c r="I681" s="45" t="s">
        <v>1266</v>
      </c>
      <c r="J681" s="46" t="s">
        <v>274</v>
      </c>
      <c r="K681" s="46" t="s">
        <v>1258</v>
      </c>
      <c r="L681" s="47" t="s">
        <v>31</v>
      </c>
      <c r="M681" s="48" t="s">
        <v>32</v>
      </c>
      <c r="N681" s="43">
        <v>2</v>
      </c>
      <c r="O681" s="43" t="s">
        <v>45</v>
      </c>
      <c r="P681" s="43" t="s">
        <v>46</v>
      </c>
      <c r="Q681" s="43" t="s">
        <v>31</v>
      </c>
      <c r="R681" s="49"/>
    </row>
    <row r="682" spans="1:18" x14ac:dyDescent="0.25">
      <c r="A682" t="str">
        <f t="shared" si="20"/>
        <v>Impianto Rilevazione Incendio_Centralina rilevazione incendio/fibrolaser_ALR_CUMULATIVO_INCENDIO_CANNA_SUD-Allarme cumulativo incendio canna sud</v>
      </c>
      <c r="B682" t="str">
        <f t="shared" si="21"/>
        <v>ALR_CUMULATIVO_INCENDIO_CANNA_SUD-Allarme cumulativo incendio canna sud</v>
      </c>
      <c r="C682" t="str">
        <f>VLOOKUP(B682,'[2]Classi allarmi RMT-STIG_rev4'!$C:$C,1,0)</f>
        <v>ALR_CUMULATIVO_INCENDIO_CANNA_SUD-Allarme cumulativo incendio canna sud</v>
      </c>
      <c r="D682" t="str">
        <f>VLOOKUP(B682,'EXPORT IRIS PROD 13-11-2024'!A:A,1,0)</f>
        <v>ALR_CUMULATIVO_INCENDIO_CANNA_SUD-Allarme cumulativo incendio canna sud</v>
      </c>
      <c r="E682" t="str">
        <f>VLOOKUP(H682,'EXPORT IRIS PROD 13-11-2024'!F:F,1,0)</f>
        <v>ALR_CUMULATIVO_INCENDIO_CANNA_SUD</v>
      </c>
      <c r="F682" t="str">
        <f>VLOOKUP(I682,'EXPORT IRIS PROD 13-11-2024'!D:D,1,0)</f>
        <v>Allarme cumulativo incendio canna sud</v>
      </c>
      <c r="G682" s="37" t="s">
        <v>40</v>
      </c>
      <c r="H682" s="38" t="s">
        <v>1265</v>
      </c>
      <c r="I682" s="45" t="s">
        <v>1266</v>
      </c>
      <c r="J682" s="46" t="s">
        <v>43</v>
      </c>
      <c r="K682" s="46" t="s">
        <v>394</v>
      </c>
      <c r="L682" s="47" t="s">
        <v>31</v>
      </c>
      <c r="M682" s="48" t="s">
        <v>32</v>
      </c>
      <c r="N682" s="43">
        <v>2</v>
      </c>
      <c r="O682" s="43" t="s">
        <v>45</v>
      </c>
      <c r="P682" s="43" t="s">
        <v>46</v>
      </c>
      <c r="Q682" s="43" t="s">
        <v>31</v>
      </c>
      <c r="R682" s="49"/>
    </row>
    <row r="683" spans="1:18" x14ac:dyDescent="0.25">
      <c r="A683" t="str">
        <f t="shared" si="20"/>
        <v>Impianto Elettrico_Interruttore_ALR_CUMULATIVO_INTERRUTTORE-Allarme cumulativo interruttore</v>
      </c>
      <c r="B683" t="str">
        <f t="shared" si="21"/>
        <v>ALR_CUMULATIVO_INTERRUTTORE-Allarme cumulativo interruttore</v>
      </c>
      <c r="C683" t="str">
        <f>VLOOKUP(B683,'[2]Classi allarmi RMT-STIG_rev4'!$C:$C,1,0)</f>
        <v>ALR_CUMULATIVO_INTERRUTTORE-Allarme cumulativo interruttore</v>
      </c>
      <c r="D683" t="str">
        <f>VLOOKUP(B683,'EXPORT IRIS PROD 13-11-2024'!A:A,1,0)</f>
        <v>ALR_CUMULATIVO_INTERRUTTORE-Allarme cumulativo interruttore</v>
      </c>
      <c r="E683" t="str">
        <f>VLOOKUP(H683,'EXPORT IRIS PROD 13-11-2024'!F:F,1,0)</f>
        <v>ALR_CUMULATIVO_INTERRUTTORE</v>
      </c>
      <c r="F683" t="str">
        <f>VLOOKUP(I683,'EXPORT IRIS PROD 13-11-2024'!D:D,1,0)</f>
        <v>Allarme cumulativo interruttore</v>
      </c>
      <c r="G683" s="37" t="s">
        <v>53</v>
      </c>
      <c r="H683" s="38" t="s">
        <v>1267</v>
      </c>
      <c r="I683" s="45" t="s">
        <v>1268</v>
      </c>
      <c r="J683" s="46" t="s">
        <v>56</v>
      </c>
      <c r="K683" s="46" t="s">
        <v>355</v>
      </c>
      <c r="L683" s="40" t="s">
        <v>21</v>
      </c>
      <c r="M683" s="41" t="s">
        <v>22</v>
      </c>
      <c r="N683" s="42" t="s">
        <v>23</v>
      </c>
      <c r="O683" s="43" t="s">
        <v>24</v>
      </c>
      <c r="P683" s="42" t="s">
        <v>25</v>
      </c>
      <c r="Q683" s="42" t="s">
        <v>21</v>
      </c>
      <c r="R683" s="44"/>
    </row>
    <row r="684" spans="1:18" x14ac:dyDescent="0.25">
      <c r="A684" t="str">
        <f t="shared" si="20"/>
        <v>Impianto Elettrico_Interruttore differenziale_ALR_DIFFERENZIALE_SCATTATO-Allarme differenziale scattato</v>
      </c>
      <c r="B684" t="str">
        <f t="shared" si="21"/>
        <v>ALR_DIFFERENZIALE_SCATTATO-Allarme differenziale scattato</v>
      </c>
      <c r="C684" t="str">
        <f>VLOOKUP(B684,'[2]Classi allarmi RMT-STIG_rev4'!$C:$C,1,0)</f>
        <v>ALR_DIFFERENZIALE_SCATTATO-Allarme differenziale scattato</v>
      </c>
      <c r="D684" t="str">
        <f>VLOOKUP(B684,'EXPORT IRIS PROD 13-11-2024'!A:A,1,0)</f>
        <v>ALR_DIFFERENZIALE_SCATTATO-Allarme differenziale scattato</v>
      </c>
      <c r="E684" t="str">
        <f>VLOOKUP(H684,'EXPORT IRIS PROD 13-11-2024'!F:F,1,0)</f>
        <v>ALR_DIFFERENZIALE_SCATTATO</v>
      </c>
      <c r="F684" t="str">
        <f>VLOOKUP(I684,'EXPORT IRIS PROD 13-11-2024'!D:D,1,0)</f>
        <v>Allarme differenziale scattato</v>
      </c>
      <c r="G684" s="37" t="s">
        <v>53</v>
      </c>
      <c r="H684" s="38" t="s">
        <v>1269</v>
      </c>
      <c r="I684" s="45" t="s">
        <v>1270</v>
      </c>
      <c r="J684" s="46" t="s">
        <v>56</v>
      </c>
      <c r="K684" s="46" t="s">
        <v>291</v>
      </c>
      <c r="L684" s="40" t="s">
        <v>21</v>
      </c>
      <c r="M684" s="41" t="s">
        <v>22</v>
      </c>
      <c r="N684" s="42" t="s">
        <v>23</v>
      </c>
      <c r="O684" s="43" t="s">
        <v>24</v>
      </c>
      <c r="P684" s="42" t="s">
        <v>25</v>
      </c>
      <c r="Q684" s="42" t="s">
        <v>21</v>
      </c>
      <c r="R684" s="44"/>
    </row>
    <row r="685" spans="1:18" x14ac:dyDescent="0.25">
      <c r="A685" t="str">
        <f t="shared" si="20"/>
        <v>Impianto Ventilazione_Anemometro_ALR_DIREZIONE_AN_SOPRA_SOGLIA-Allarme direzione AN sopra soglia</v>
      </c>
      <c r="B685" t="str">
        <f t="shared" si="21"/>
        <v>ALR_DIREZIONE_AN_SOPRA_SOGLIA-Allarme direzione AN sopra soglia</v>
      </c>
      <c r="C685" t="str">
        <f>VLOOKUP(B685,'[2]Classi allarmi RMT-STIG_rev4'!$C:$C,1,0)</f>
        <v>ALR_DIREZIONE_AN_SOPRA_SOGLIA-Allarme direzione AN sopra soglia</v>
      </c>
      <c r="D685" t="str">
        <f>VLOOKUP(B685,'EXPORT IRIS PROD 13-11-2024'!A:A,1,0)</f>
        <v>ALR_DIREZIONE_AN_SOPRA_SOGLIA-Allarme direzione AN sopra soglia</v>
      </c>
      <c r="E685" t="str">
        <f>VLOOKUP(H685,'EXPORT IRIS PROD 13-11-2024'!F:F,1,0)</f>
        <v>ALR_DIREZIONE_AN_SOPRA_SOGLIA</v>
      </c>
      <c r="F685" t="str">
        <f>VLOOKUP(I685,'EXPORT IRIS PROD 13-11-2024'!D:D,1,0)</f>
        <v>Allarme direzione AN sopra soglia</v>
      </c>
      <c r="G685" s="37" t="s">
        <v>878</v>
      </c>
      <c r="H685" s="38" t="s">
        <v>1271</v>
      </c>
      <c r="I685" s="45" t="s">
        <v>1272</v>
      </c>
      <c r="J685" s="46" t="s">
        <v>50</v>
      </c>
      <c r="K685" s="46" t="s">
        <v>88</v>
      </c>
      <c r="L685" s="40" t="s">
        <v>21</v>
      </c>
      <c r="M685" s="41" t="s">
        <v>22</v>
      </c>
      <c r="N685" s="42" t="s">
        <v>23</v>
      </c>
      <c r="O685" s="43" t="s">
        <v>24</v>
      </c>
      <c r="P685" s="42" t="s">
        <v>25</v>
      </c>
      <c r="Q685" s="42" t="s">
        <v>21</v>
      </c>
      <c r="R685" s="44"/>
    </row>
    <row r="686" spans="1:18" x14ac:dyDescent="0.25">
      <c r="A686" t="str">
        <f t="shared" si="20"/>
        <v>Impianto Ventilazione_Anemometro_ALR_DIREZIONE_AN_SOTTO_SOGLIA-Allarme direzione AN sotto soglia</v>
      </c>
      <c r="B686" t="str">
        <f t="shared" si="21"/>
        <v>ALR_DIREZIONE_AN_SOTTO_SOGLIA-Allarme direzione AN sotto soglia</v>
      </c>
      <c r="C686" t="str">
        <f>VLOOKUP(B686,'[2]Classi allarmi RMT-STIG_rev4'!$C:$C,1,0)</f>
        <v>ALR_DIREZIONE_AN_SOTTO_SOGLIA-Allarme direzione AN sotto soglia</v>
      </c>
      <c r="D686" t="str">
        <f>VLOOKUP(B686,'EXPORT IRIS PROD 13-11-2024'!A:A,1,0)</f>
        <v>ALR_DIREZIONE_AN_SOTTO_SOGLIA-Allarme direzione AN sotto soglia</v>
      </c>
      <c r="E686" t="str">
        <f>VLOOKUP(H686,'EXPORT IRIS PROD 13-11-2024'!F:F,1,0)</f>
        <v>ALR_DIREZIONE_AN_SOTTO_SOGLIA</v>
      </c>
      <c r="F686" t="str">
        <f>VLOOKUP(I686,'EXPORT IRIS PROD 13-11-2024'!D:D,1,0)</f>
        <v>Allarme direzione AN sotto soglia</v>
      </c>
      <c r="G686" s="37" t="s">
        <v>878</v>
      </c>
      <c r="H686" s="38" t="s">
        <v>1273</v>
      </c>
      <c r="I686" s="45" t="s">
        <v>1274</v>
      </c>
      <c r="J686" s="46" t="s">
        <v>50</v>
      </c>
      <c r="K686" s="46" t="s">
        <v>88</v>
      </c>
      <c r="L686" s="40" t="s">
        <v>21</v>
      </c>
      <c r="M686" s="41" t="s">
        <v>22</v>
      </c>
      <c r="N686" s="42" t="s">
        <v>23</v>
      </c>
      <c r="O686" s="43" t="s">
        <v>24</v>
      </c>
      <c r="P686" s="42" t="s">
        <v>25</v>
      </c>
      <c r="Q686" s="42" t="s">
        <v>21</v>
      </c>
      <c r="R686" s="44"/>
    </row>
    <row r="687" spans="1:18" x14ac:dyDescent="0.25">
      <c r="A687" t="str">
        <f t="shared" si="20"/>
        <v>Smart Road_Regolatore_ALR_DOSSENA_1-Allarme Dossena 1</v>
      </c>
      <c r="B687" t="str">
        <f t="shared" si="21"/>
        <v>ALR_DOSSENA_1-Allarme Dossena 1</v>
      </c>
      <c r="C687" t="str">
        <f>VLOOKUP(B687,'[2]Classi allarmi RMT-STIG_rev4'!$C:$C,1,0)</f>
        <v>ALR_DOSSENA_1-Allarme Dossena 1</v>
      </c>
      <c r="D687" t="str">
        <f>VLOOKUP(B687,'EXPORT IRIS PROD 13-11-2024'!A:A,1,0)</f>
        <v>ALR_DOSSENA_1-Allarme Dossena 1</v>
      </c>
      <c r="E687" t="str">
        <f>VLOOKUP(H687,'EXPORT IRIS PROD 13-11-2024'!F:F,1,0)</f>
        <v>ALR_DOSSENA_1</v>
      </c>
      <c r="F687" t="str">
        <f>VLOOKUP(I687,'EXPORT IRIS PROD 13-11-2024'!D:D,1,0)</f>
        <v>Allarme Dossena 1</v>
      </c>
      <c r="G687" s="37" t="s">
        <v>1201</v>
      </c>
      <c r="H687" s="38" t="s">
        <v>1275</v>
      </c>
      <c r="I687" s="45" t="s">
        <v>1276</v>
      </c>
      <c r="J687" s="46" t="s">
        <v>965</v>
      </c>
      <c r="K687" s="46" t="s">
        <v>1204</v>
      </c>
      <c r="L687" s="40" t="s">
        <v>21</v>
      </c>
      <c r="M687" s="41" t="s">
        <v>22</v>
      </c>
      <c r="N687" s="42" t="s">
        <v>23</v>
      </c>
      <c r="O687" s="43" t="s">
        <v>24</v>
      </c>
      <c r="P687" s="42" t="s">
        <v>25</v>
      </c>
      <c r="Q687" s="42" t="s">
        <v>21</v>
      </c>
      <c r="R687" s="44"/>
    </row>
    <row r="688" spans="1:18" x14ac:dyDescent="0.25">
      <c r="A688" t="str">
        <f t="shared" si="20"/>
        <v>Smart Road_Regolatore_ALR_DOSSENA_2-Allarme Dossena 2</v>
      </c>
      <c r="B688" t="str">
        <f t="shared" si="21"/>
        <v>ALR_DOSSENA_2-Allarme Dossena 2</v>
      </c>
      <c r="C688" t="str">
        <f>VLOOKUP(B688,'[2]Classi allarmi RMT-STIG_rev4'!$C:$C,1,0)</f>
        <v>ALR_DOSSENA_2-Allarme Dossena 2</v>
      </c>
      <c r="D688" t="str">
        <f>VLOOKUP(B688,'EXPORT IRIS PROD 13-11-2024'!A:A,1,0)</f>
        <v>ALR_DOSSENA_2-Allarme Dossena 2</v>
      </c>
      <c r="E688" t="str">
        <f>VLOOKUP(H688,'EXPORT IRIS PROD 13-11-2024'!F:F,1,0)</f>
        <v>ALR_DOSSENA_2</v>
      </c>
      <c r="F688" t="str">
        <f>VLOOKUP(I688,'EXPORT IRIS PROD 13-11-2024'!D:D,1,0)</f>
        <v>Allarme Dossena 2</v>
      </c>
      <c r="G688" s="37" t="s">
        <v>1201</v>
      </c>
      <c r="H688" s="38" t="s">
        <v>1277</v>
      </c>
      <c r="I688" s="45" t="s">
        <v>1278</v>
      </c>
      <c r="J688" s="46" t="s">
        <v>965</v>
      </c>
      <c r="K688" s="46" t="s">
        <v>1204</v>
      </c>
      <c r="L688" s="40" t="s">
        <v>21</v>
      </c>
      <c r="M688" s="41" t="s">
        <v>22</v>
      </c>
      <c r="N688" s="42" t="s">
        <v>23</v>
      </c>
      <c r="O688" s="43" t="s">
        <v>24</v>
      </c>
      <c r="P688" s="42" t="s">
        <v>25</v>
      </c>
      <c r="Q688" s="42" t="s">
        <v>21</v>
      </c>
      <c r="R688" s="44"/>
    </row>
    <row r="689" spans="1:18" x14ac:dyDescent="0.25">
      <c r="A689" t="str">
        <f t="shared" si="20"/>
        <v>Impianto Antincendio_Valvola antincendio_ALR_ELETTROVALVOLA_CHIUSA-Allarme elettrovalvola antincendio chiusa</v>
      </c>
      <c r="B689" t="str">
        <f t="shared" si="21"/>
        <v>ALR_ELETTROVALVOLA_CHIUSA-Allarme elettrovalvola antincendio chiusa</v>
      </c>
      <c r="C689" t="str">
        <f>VLOOKUP(B689,'[2]Classi allarmi RMT-STIG_rev4'!$C:$C,1,0)</f>
        <v>ALR_ELETTROVALVOLA_CHIUSA-Allarme elettrovalvola antincendio chiusa</v>
      </c>
      <c r="D689" t="str">
        <f>VLOOKUP(B689,'EXPORT IRIS PROD 13-11-2024'!A:A,1,0)</f>
        <v>ALR_ELETTROVALVOLA_CHIUSA-Allarme elettrovalvola antincendio chiusa</v>
      </c>
      <c r="E689" t="str">
        <f>VLOOKUP(H689,'EXPORT IRIS PROD 13-11-2024'!F:F,1,0)</f>
        <v>ALR_ELETTROVALVOLA_CHIUSA</v>
      </c>
      <c r="F689" t="str">
        <f>VLOOKUP(I689,'EXPORT IRIS PROD 13-11-2024'!D:D,1,0)</f>
        <v>Allarme elettrovalvola antincendio chiusa</v>
      </c>
      <c r="G689" s="37" t="s">
        <v>35</v>
      </c>
      <c r="H689" s="38" t="s">
        <v>1279</v>
      </c>
      <c r="I689" s="45" t="s">
        <v>1280</v>
      </c>
      <c r="J689" s="46" t="s">
        <v>38</v>
      </c>
      <c r="K689" s="46" t="s">
        <v>1242</v>
      </c>
      <c r="L689" s="40" t="s">
        <v>21</v>
      </c>
      <c r="M689" s="41" t="s">
        <v>22</v>
      </c>
      <c r="N689" s="42" t="s">
        <v>23</v>
      </c>
      <c r="O689" s="43" t="s">
        <v>24</v>
      </c>
      <c r="P689" s="42" t="s">
        <v>25</v>
      </c>
      <c r="Q689" s="42" t="s">
        <v>21</v>
      </c>
      <c r="R689" s="44"/>
    </row>
    <row r="690" spans="1:18" x14ac:dyDescent="0.25">
      <c r="A690" t="str">
        <f t="shared" si="20"/>
        <v>Impianto Ventilazione_ventilatore_ALR_ERRORE_ACCESSO-Allarme errore accesso</v>
      </c>
      <c r="B690" t="str">
        <f t="shared" si="21"/>
        <v>ALR_ERRORE_ACCESSO-Allarme errore accesso</v>
      </c>
      <c r="C690" t="str">
        <f>VLOOKUP(B690,'[2]Classi allarmi RMT-STIG_rev4'!$C:$C,1,0)</f>
        <v>ALR_ERRORE_ACCESSO-Allarme errore accesso</v>
      </c>
      <c r="D690" t="str">
        <f>VLOOKUP(B690,'EXPORT IRIS PROD 13-11-2024'!A:A,1,0)</f>
        <v>ALR_ERRORE_ACCESSO-Allarme errore accesso</v>
      </c>
      <c r="E690" t="str">
        <f>VLOOKUP(H690,'EXPORT IRIS PROD 13-11-2024'!F:F,1,0)</f>
        <v>ALR_ERRORE_ACCESSO</v>
      </c>
      <c r="F690" t="str">
        <f>VLOOKUP(I690,'EXPORT IRIS PROD 13-11-2024'!D:D,1,0)</f>
        <v>Allarme errore accesso</v>
      </c>
      <c r="G690" s="37" t="s">
        <v>85</v>
      </c>
      <c r="H690" s="38" t="s">
        <v>1281</v>
      </c>
      <c r="I690" s="45" t="s">
        <v>1282</v>
      </c>
      <c r="J690" s="46" t="s">
        <v>50</v>
      </c>
      <c r="K690" s="46" t="s">
        <v>1283</v>
      </c>
      <c r="L690" s="40" t="s">
        <v>21</v>
      </c>
      <c r="M690" s="41" t="s">
        <v>22</v>
      </c>
      <c r="N690" s="42" t="s">
        <v>23</v>
      </c>
      <c r="O690" s="43" t="s">
        <v>24</v>
      </c>
      <c r="P690" s="42" t="s">
        <v>25</v>
      </c>
      <c r="Q690" s="42" t="s">
        <v>21</v>
      </c>
      <c r="R690" s="44"/>
    </row>
    <row r="691" spans="1:18" x14ac:dyDescent="0.25">
      <c r="A691" t="str">
        <f t="shared" si="20"/>
        <v>Impianto rete dati_PLC_ALR_ERRORE_ACCESSO-Allarme errore accesso</v>
      </c>
      <c r="B691" t="str">
        <f t="shared" si="21"/>
        <v>ALR_ERRORE_ACCESSO-Allarme errore accesso</v>
      </c>
      <c r="C691" t="str">
        <f>VLOOKUP(B691,'[2]Classi allarmi RMT-STIG_rev4'!$C:$C,1,0)</f>
        <v>ALR_ERRORE_ACCESSO-Allarme errore accesso</v>
      </c>
      <c r="D691" t="str">
        <f>VLOOKUP(B691,'EXPORT IRIS PROD 13-11-2024'!A:A,1,0)</f>
        <v>ALR_ERRORE_ACCESSO-Allarme errore accesso</v>
      </c>
      <c r="E691" t="str">
        <f>VLOOKUP(H691,'EXPORT IRIS PROD 13-11-2024'!F:F,1,0)</f>
        <v>ALR_ERRORE_ACCESSO</v>
      </c>
      <c r="F691" t="str">
        <f>VLOOKUP(I691,'EXPORT IRIS PROD 13-11-2024'!D:D,1,0)</f>
        <v>Allarme errore accesso</v>
      </c>
      <c r="G691" s="37" t="s">
        <v>16</v>
      </c>
      <c r="H691" s="38" t="s">
        <v>1281</v>
      </c>
      <c r="I691" s="45" t="s">
        <v>1282</v>
      </c>
      <c r="J691" s="46" t="s">
        <v>1156</v>
      </c>
      <c r="K691" s="46" t="s">
        <v>167</v>
      </c>
      <c r="L691" s="40" t="s">
        <v>21</v>
      </c>
      <c r="M691" s="41" t="s">
        <v>22</v>
      </c>
      <c r="N691" s="42" t="s">
        <v>23</v>
      </c>
      <c r="O691" s="43" t="s">
        <v>24</v>
      </c>
      <c r="P691" s="42" t="s">
        <v>25</v>
      </c>
      <c r="Q691" s="42" t="s">
        <v>21</v>
      </c>
      <c r="R691" s="44"/>
    </row>
    <row r="692" spans="1:18" x14ac:dyDescent="0.25">
      <c r="A692" t="str">
        <f t="shared" si="20"/>
        <v>Impianto illuminazione_Picchetti luminosi_ALR_ERRORE_ACCESSO-Allarme errore accesso</v>
      </c>
      <c r="B692" t="str">
        <f t="shared" si="21"/>
        <v>ALR_ERRORE_ACCESSO-Allarme errore accesso</v>
      </c>
      <c r="C692" t="str">
        <f>VLOOKUP(B692,'[2]Classi allarmi RMT-STIG_rev4'!$C:$C,1,0)</f>
        <v>ALR_ERRORE_ACCESSO-Allarme errore accesso</v>
      </c>
      <c r="D692" t="str">
        <f>VLOOKUP(B692,'EXPORT IRIS PROD 13-11-2024'!A:A,1,0)</f>
        <v>ALR_ERRORE_ACCESSO-Allarme errore accesso</v>
      </c>
      <c r="E692" t="str">
        <f>VLOOKUP(H692,'EXPORT IRIS PROD 13-11-2024'!F:F,1,0)</f>
        <v>ALR_ERRORE_ACCESSO</v>
      </c>
      <c r="F692" t="str">
        <f>VLOOKUP(I692,'EXPORT IRIS PROD 13-11-2024'!D:D,1,0)</f>
        <v>Allarme errore accesso</v>
      </c>
      <c r="G692" s="37" t="s">
        <v>115</v>
      </c>
      <c r="H692" s="38" t="s">
        <v>1281</v>
      </c>
      <c r="I692" s="45" t="s">
        <v>1282</v>
      </c>
      <c r="J692" s="46" t="s">
        <v>1142</v>
      </c>
      <c r="K692" s="46" t="s">
        <v>715</v>
      </c>
      <c r="L692" s="40" t="s">
        <v>21</v>
      </c>
      <c r="M692" s="41" t="s">
        <v>22</v>
      </c>
      <c r="N692" s="42" t="s">
        <v>23</v>
      </c>
      <c r="O692" s="43" t="s">
        <v>24</v>
      </c>
      <c r="P692" s="42" t="s">
        <v>25</v>
      </c>
      <c r="Q692" s="42" t="s">
        <v>21</v>
      </c>
      <c r="R692" s="44"/>
    </row>
    <row r="693" spans="1:18" x14ac:dyDescent="0.25">
      <c r="A693" t="str">
        <f t="shared" si="20"/>
        <v>Impianto illuminazione_Centralina illuminazione_ALR_ERRORE_COMUNICAZIONE_PERMANENTE-Allarme Comunicazione Reverberi Permanente</v>
      </c>
      <c r="B693" t="str">
        <f t="shared" si="21"/>
        <v>ALR_ERRORE_COMUNICAZIONE_PERMANENTE-Allarme Comunicazione Reverberi Permanente</v>
      </c>
      <c r="C693" t="str">
        <f>VLOOKUP(B693,'[2]Classi allarmi RMT-STIG_rev4'!$C:$C,1,0)</f>
        <v>ALR_ERRORE_COMUNICAZIONE_PERMANENTE-Allarme Comunicazione Reverberi Permanente</v>
      </c>
      <c r="D693" t="str">
        <f>VLOOKUP(B693,'EXPORT IRIS PROD 13-11-2024'!A:A,1,0)</f>
        <v>ALR_ERRORE_COMUNICAZIONE_PERMANENTE-Allarme Comunicazione Reverberi Permanente</v>
      </c>
      <c r="E693" t="str">
        <f>VLOOKUP(H693,'EXPORT IRIS PROD 13-11-2024'!F:F,1,0)</f>
        <v>ALR_ERRORE_COMUNICAZIONE_PERMANENTE</v>
      </c>
      <c r="F693" t="str">
        <f>VLOOKUP(I693,'EXPORT IRIS PROD 13-11-2024'!D:D,1,0)</f>
        <v>Allarme Comunicazione Reverberi Permanente</v>
      </c>
      <c r="G693" s="37" t="s">
        <v>115</v>
      </c>
      <c r="H693" s="38" t="s">
        <v>1284</v>
      </c>
      <c r="I693" s="45" t="s">
        <v>1285</v>
      </c>
      <c r="J693" s="46" t="s">
        <v>1142</v>
      </c>
      <c r="K693" s="46" t="s">
        <v>1286</v>
      </c>
      <c r="L693" s="40" t="s">
        <v>21</v>
      </c>
      <c r="M693" s="41" t="s">
        <v>22</v>
      </c>
      <c r="N693" s="42" t="s">
        <v>23</v>
      </c>
      <c r="O693" s="43" t="s">
        <v>24</v>
      </c>
      <c r="P693" s="42" t="s">
        <v>25</v>
      </c>
      <c r="Q693" s="42" t="s">
        <v>21</v>
      </c>
      <c r="R693" s="44"/>
    </row>
    <row r="694" spans="1:18" x14ac:dyDescent="0.25">
      <c r="A694" t="str">
        <f t="shared" si="20"/>
        <v>Impianto Ventilazione_Ventilazione generale_ALR_ERRORE_COMUNICAZIONE_RINFORZO-Allarme Comunicazione Reverberi Rinforzo</v>
      </c>
      <c r="B694" t="str">
        <f t="shared" si="21"/>
        <v>ALR_ERRORE_COMUNICAZIONE_RINFORZO-Allarme Comunicazione Reverberi Rinforzo</v>
      </c>
      <c r="C694" t="str">
        <f>VLOOKUP(B694,'[2]Classi allarmi RMT-STIG_rev4'!$C:$C,1,0)</f>
        <v>ALR_ERRORE_COMUNICAZIONE_RINFORZO-Allarme Comunicazione Reverberi Rinforzo</v>
      </c>
      <c r="D694" t="str">
        <f>VLOOKUP(B694,'EXPORT IRIS PROD 13-11-2024'!A:A,1,0)</f>
        <v>ALR_ERRORE_COMUNICAZIONE_RINFORZO-Allarme Comunicazione Reverberi Rinforzo</v>
      </c>
      <c r="E694" t="str">
        <f>VLOOKUP(H694,'EXPORT IRIS PROD 13-11-2024'!F:F,1,0)</f>
        <v>ALR_ERRORE_COMUNICAZIONE_RINFORZO</v>
      </c>
      <c r="F694" t="str">
        <f>VLOOKUP(I694,'EXPORT IRIS PROD 13-11-2024'!D:D,1,0)</f>
        <v>Allarme Comunicazione Reverberi Rinforzo</v>
      </c>
      <c r="G694" s="37" t="s">
        <v>85</v>
      </c>
      <c r="H694" s="38" t="s">
        <v>1287</v>
      </c>
      <c r="I694" s="45" t="s">
        <v>1288</v>
      </c>
      <c r="J694" s="46" t="s">
        <v>50</v>
      </c>
      <c r="K694" s="46" t="s">
        <v>445</v>
      </c>
      <c r="L694" s="40" t="s">
        <v>21</v>
      </c>
      <c r="M694" s="41" t="s">
        <v>22</v>
      </c>
      <c r="N694" s="42" t="s">
        <v>23</v>
      </c>
      <c r="O694" s="43" t="s">
        <v>24</v>
      </c>
      <c r="P694" s="42" t="s">
        <v>25</v>
      </c>
      <c r="Q694" s="42" t="s">
        <v>21</v>
      </c>
      <c r="R694" s="44"/>
    </row>
    <row r="695" spans="1:18" x14ac:dyDescent="0.25">
      <c r="A695" t="str">
        <f t="shared" si="20"/>
        <v>Impianto Bypass_Pressostato/Pressione differenziale_ALR_ERRORE_ESTERNO-Allarme errore esterno</v>
      </c>
      <c r="B695" t="str">
        <f t="shared" si="21"/>
        <v>ALR_ERRORE_ESTERNO-Allarme errore esterno</v>
      </c>
      <c r="C695" t="str">
        <f>VLOOKUP(B695,'[2]Classi allarmi RMT-STIG_rev4'!$C:$C,1,0)</f>
        <v>ALR_ERRORE_ESTERNO-Allarme errore esterno</v>
      </c>
      <c r="D695" t="str">
        <f>VLOOKUP(B695,'EXPORT IRIS PROD 13-11-2024'!A:A,1,0)</f>
        <v>ALR_ERRORE_ESTERNO-Allarme errore esterno</v>
      </c>
      <c r="E695" t="str">
        <f>VLOOKUP(H695,'EXPORT IRIS PROD 13-11-2024'!F:F,1,0)</f>
        <v>ALR_ERRORE_ESTERNO</v>
      </c>
      <c r="F695" t="str">
        <f>VLOOKUP(I695,'EXPORT IRIS PROD 13-11-2024'!D:D,1,0)</f>
        <v>Allarme errore esterno</v>
      </c>
      <c r="G695" s="37" t="s">
        <v>863</v>
      </c>
      <c r="H695" s="38" t="s">
        <v>1289</v>
      </c>
      <c r="I695" s="45" t="s">
        <v>1290</v>
      </c>
      <c r="J695" s="46" t="s">
        <v>274</v>
      </c>
      <c r="K695" s="46" t="s">
        <v>1174</v>
      </c>
      <c r="L695" s="40" t="s">
        <v>21</v>
      </c>
      <c r="M695" s="41" t="s">
        <v>22</v>
      </c>
      <c r="N695" s="42" t="s">
        <v>23</v>
      </c>
      <c r="O695" s="43" t="s">
        <v>24</v>
      </c>
      <c r="P695" s="42" t="s">
        <v>25</v>
      </c>
      <c r="Q695" s="42" t="s">
        <v>21</v>
      </c>
      <c r="R695" s="44"/>
    </row>
    <row r="696" spans="1:18" x14ac:dyDescent="0.25">
      <c r="A696" t="str">
        <f t="shared" si="20"/>
        <v>Impianto Elettrico_Centralina scambio rete-gruppo_ALR_ERRORE_ESTERNO-Allarme errore esterno</v>
      </c>
      <c r="B696" t="str">
        <f t="shared" si="21"/>
        <v>ALR_ERRORE_ESTERNO-Allarme errore esterno</v>
      </c>
      <c r="C696" t="str">
        <f>VLOOKUP(B696,'[2]Classi allarmi RMT-STIG_rev4'!$C:$C,1,0)</f>
        <v>ALR_ERRORE_ESTERNO-Allarme errore esterno</v>
      </c>
      <c r="D696" t="str">
        <f>VLOOKUP(B696,'EXPORT IRIS PROD 13-11-2024'!A:A,1,0)</f>
        <v>ALR_ERRORE_ESTERNO-Allarme errore esterno</v>
      </c>
      <c r="E696" t="str">
        <f>VLOOKUP(H696,'EXPORT IRIS PROD 13-11-2024'!F:F,1,0)</f>
        <v>ALR_ERRORE_ESTERNO</v>
      </c>
      <c r="F696" t="str">
        <f>VLOOKUP(I696,'EXPORT IRIS PROD 13-11-2024'!D:D,1,0)</f>
        <v>Allarme errore esterno</v>
      </c>
      <c r="G696" s="37" t="s">
        <v>53</v>
      </c>
      <c r="H696" s="38" t="s">
        <v>1289</v>
      </c>
      <c r="I696" s="45" t="s">
        <v>1290</v>
      </c>
      <c r="J696" s="46" t="s">
        <v>56</v>
      </c>
      <c r="K696" s="46" t="s">
        <v>177</v>
      </c>
      <c r="L696" s="40" t="s">
        <v>21</v>
      </c>
      <c r="M696" s="41" t="s">
        <v>22</v>
      </c>
      <c r="N696" s="42" t="s">
        <v>23</v>
      </c>
      <c r="O696" s="43" t="s">
        <v>24</v>
      </c>
      <c r="P696" s="42" t="s">
        <v>25</v>
      </c>
      <c r="Q696" s="42" t="s">
        <v>21</v>
      </c>
      <c r="R696" s="44"/>
    </row>
    <row r="697" spans="1:18" x14ac:dyDescent="0.25">
      <c r="A697" t="str">
        <f t="shared" si="20"/>
        <v>Impianto Elettrico_UPS_ALR_ERRORE_LOGICO-Allarme errore logico</v>
      </c>
      <c r="B697" t="str">
        <f t="shared" si="21"/>
        <v>ALR_ERRORE_LOGICO-Allarme errore logico</v>
      </c>
      <c r="C697" t="str">
        <f>VLOOKUP(B697,'[2]Classi allarmi RMT-STIG_rev4'!$C:$C,1,0)</f>
        <v>ALR_ERRORE_LOGICO-Allarme errore logico</v>
      </c>
      <c r="D697" t="str">
        <f>VLOOKUP(B697,'EXPORT IRIS PROD 13-11-2024'!A:A,1,0)</f>
        <v>ALR_ERRORE_LOGICO-Allarme errore logico</v>
      </c>
      <c r="E697" t="str">
        <f>VLOOKUP(H697,'EXPORT IRIS PROD 13-11-2024'!F:F,1,0)</f>
        <v>ALR_ERRORE_LOGICO</v>
      </c>
      <c r="F697" t="str">
        <f>VLOOKUP(I697,'EXPORT IRIS PROD 13-11-2024'!D:D,1,0)</f>
        <v>Allarme errore logico</v>
      </c>
      <c r="G697" s="37" t="s">
        <v>53</v>
      </c>
      <c r="H697" s="38" t="s">
        <v>1291</v>
      </c>
      <c r="I697" s="45" t="s">
        <v>1292</v>
      </c>
      <c r="J697" s="46" t="s">
        <v>56</v>
      </c>
      <c r="K697" s="46" t="s">
        <v>104</v>
      </c>
      <c r="L697" s="40" t="s">
        <v>21</v>
      </c>
      <c r="M697" s="41" t="s">
        <v>22</v>
      </c>
      <c r="N697" s="42" t="s">
        <v>23</v>
      </c>
      <c r="O697" s="43" t="s">
        <v>24</v>
      </c>
      <c r="P697" s="42" t="s">
        <v>25</v>
      </c>
      <c r="Q697" s="42" t="s">
        <v>21</v>
      </c>
      <c r="R697" s="44"/>
    </row>
    <row r="698" spans="1:18" x14ac:dyDescent="0.25">
      <c r="A698" t="str">
        <f t="shared" si="20"/>
        <v>Impianto rete dati_PLC_ALR_ERRORE_LOGICO-Allarme errore logico</v>
      </c>
      <c r="B698" t="str">
        <f t="shared" si="21"/>
        <v>ALR_ERRORE_LOGICO-Allarme errore logico</v>
      </c>
      <c r="C698" t="str">
        <f>VLOOKUP(B698,'[2]Classi allarmi RMT-STIG_rev4'!$C:$C,1,0)</f>
        <v>ALR_ERRORE_LOGICO-Allarme errore logico</v>
      </c>
      <c r="D698" t="str">
        <f>VLOOKUP(B698,'EXPORT IRIS PROD 13-11-2024'!A:A,1,0)</f>
        <v>ALR_ERRORE_LOGICO-Allarme errore logico</v>
      </c>
      <c r="E698" t="str">
        <f>VLOOKUP(H698,'EXPORT IRIS PROD 13-11-2024'!F:F,1,0)</f>
        <v>ALR_ERRORE_LOGICO</v>
      </c>
      <c r="F698" t="str">
        <f>VLOOKUP(I698,'EXPORT IRIS PROD 13-11-2024'!D:D,1,0)</f>
        <v>Allarme errore logico</v>
      </c>
      <c r="G698" s="37" t="s">
        <v>16</v>
      </c>
      <c r="H698" s="38" t="s">
        <v>1291</v>
      </c>
      <c r="I698" s="45" t="s">
        <v>1292</v>
      </c>
      <c r="J698" s="46" t="s">
        <v>1156</v>
      </c>
      <c r="K698" s="46" t="s">
        <v>167</v>
      </c>
      <c r="L698" s="40" t="s">
        <v>21</v>
      </c>
      <c r="M698" s="41" t="s">
        <v>22</v>
      </c>
      <c r="N698" s="42" t="s">
        <v>23</v>
      </c>
      <c r="O698" s="43" t="s">
        <v>24</v>
      </c>
      <c r="P698" s="42" t="s">
        <v>25</v>
      </c>
      <c r="Q698" s="42" t="s">
        <v>21</v>
      </c>
      <c r="R698" s="44"/>
    </row>
    <row r="699" spans="1:18" x14ac:dyDescent="0.25">
      <c r="A699" t="str">
        <f t="shared" si="20"/>
        <v>Impianto Elettrico_UPS_ALR_ERRORE_LOGICO-Allarme errore logico</v>
      </c>
      <c r="B699" t="str">
        <f t="shared" si="21"/>
        <v>ALR_ERRORE_LOGICO-Allarme errore logico</v>
      </c>
      <c r="C699" t="str">
        <f>VLOOKUP(B699,'[2]Classi allarmi RMT-STIG_rev4'!$C:$C,1,0)</f>
        <v>ALR_ERRORE_LOGICO-Allarme errore logico</v>
      </c>
      <c r="D699" t="str">
        <f>VLOOKUP(B699,'EXPORT IRIS PROD 13-11-2024'!A:A,1,0)</f>
        <v>ALR_ERRORE_LOGICO-Allarme errore logico</v>
      </c>
      <c r="E699" t="str">
        <f>VLOOKUP(H699,'EXPORT IRIS PROD 13-11-2024'!F:F,1,0)</f>
        <v>ALR_ERRORE_LOGICO</v>
      </c>
      <c r="F699" t="str">
        <f>VLOOKUP(I699,'EXPORT IRIS PROD 13-11-2024'!D:D,1,0)</f>
        <v>Allarme errore logico</v>
      </c>
      <c r="G699" s="37" t="s">
        <v>53</v>
      </c>
      <c r="H699" s="38" t="s">
        <v>1291</v>
      </c>
      <c r="I699" s="45" t="s">
        <v>1292</v>
      </c>
      <c r="J699" s="46" t="s">
        <v>56</v>
      </c>
      <c r="K699" s="46" t="s">
        <v>104</v>
      </c>
      <c r="L699" s="40" t="s">
        <v>21</v>
      </c>
      <c r="M699" s="41" t="s">
        <v>22</v>
      </c>
      <c r="N699" s="42" t="s">
        <v>23</v>
      </c>
      <c r="O699" s="43" t="s">
        <v>24</v>
      </c>
      <c r="P699" s="42" t="s">
        <v>25</v>
      </c>
      <c r="Q699" s="42" t="s">
        <v>21</v>
      </c>
      <c r="R699" s="95" t="s">
        <v>2047</v>
      </c>
    </row>
    <row r="700" spans="1:18" x14ac:dyDescent="0.25">
      <c r="A700" t="str">
        <f t="shared" si="20"/>
        <v>Impianto rete dati_PLC_ALR_ERRORE_LOGICO-Allarme errore logico</v>
      </c>
      <c r="B700" t="str">
        <f t="shared" si="21"/>
        <v>ALR_ERRORE_LOGICO-Allarme errore logico</v>
      </c>
      <c r="C700" t="str">
        <f>VLOOKUP(B700,'[2]Classi allarmi RMT-STIG_rev4'!$C:$C,1,0)</f>
        <v>ALR_ERRORE_LOGICO-Allarme errore logico</v>
      </c>
      <c r="D700" t="str">
        <f>VLOOKUP(B700,'EXPORT IRIS PROD 13-11-2024'!A:A,1,0)</f>
        <v>ALR_ERRORE_LOGICO-Allarme errore logico</v>
      </c>
      <c r="E700" t="str">
        <f>VLOOKUP(H700,'EXPORT IRIS PROD 13-11-2024'!F:F,1,0)</f>
        <v>ALR_ERRORE_LOGICO</v>
      </c>
      <c r="F700" t="str">
        <f>VLOOKUP(I700,'EXPORT IRIS PROD 13-11-2024'!D:D,1,0)</f>
        <v>Allarme errore logico</v>
      </c>
      <c r="G700" s="37" t="s">
        <v>16</v>
      </c>
      <c r="H700" s="38" t="s">
        <v>1291</v>
      </c>
      <c r="I700" s="45" t="s">
        <v>1292</v>
      </c>
      <c r="J700" s="46" t="s">
        <v>1156</v>
      </c>
      <c r="K700" s="46" t="s">
        <v>167</v>
      </c>
      <c r="L700" s="40" t="s">
        <v>21</v>
      </c>
      <c r="M700" s="41" t="s">
        <v>22</v>
      </c>
      <c r="N700" s="42" t="s">
        <v>23</v>
      </c>
      <c r="O700" s="43" t="s">
        <v>24</v>
      </c>
      <c r="P700" s="42" t="s">
        <v>25</v>
      </c>
      <c r="Q700" s="42" t="s">
        <v>21</v>
      </c>
      <c r="R700" s="95" t="s">
        <v>2048</v>
      </c>
    </row>
    <row r="701" spans="1:18" x14ac:dyDescent="0.25">
      <c r="A701" t="str">
        <f t="shared" si="20"/>
        <v>Impianto Bypass_Ventilatore bypass_ALR_ERRORE_LOGICO-Allarme errore logico</v>
      </c>
      <c r="B701" t="str">
        <f t="shared" si="21"/>
        <v>ALR_ERRORE_LOGICO-Allarme errore logico</v>
      </c>
      <c r="C701" t="str">
        <f>VLOOKUP(B701,'[2]Classi allarmi RMT-STIG_rev4'!$C:$C,1,0)</f>
        <v>ALR_ERRORE_LOGICO-Allarme errore logico</v>
      </c>
      <c r="D701" t="str">
        <f>VLOOKUP(B701,'EXPORT IRIS PROD 13-11-2024'!A:A,1,0)</f>
        <v>ALR_ERRORE_LOGICO-Allarme errore logico</v>
      </c>
      <c r="E701" t="str">
        <f>VLOOKUP(H701,'EXPORT IRIS PROD 13-11-2024'!F:F,1,0)</f>
        <v>ALR_ERRORE_LOGICO</v>
      </c>
      <c r="F701" t="str">
        <f>VLOOKUP(I701,'EXPORT IRIS PROD 13-11-2024'!D:D,1,0)</f>
        <v>Allarme errore logico</v>
      </c>
      <c r="G701" s="37" t="s">
        <v>85</v>
      </c>
      <c r="H701" s="38" t="s">
        <v>1291</v>
      </c>
      <c r="I701" s="45" t="s">
        <v>1292</v>
      </c>
      <c r="J701" s="46" t="s">
        <v>274</v>
      </c>
      <c r="K701" s="46" t="s">
        <v>1293</v>
      </c>
      <c r="L701" s="40" t="s">
        <v>21</v>
      </c>
      <c r="M701" s="41" t="s">
        <v>22</v>
      </c>
      <c r="N701" s="42" t="s">
        <v>23</v>
      </c>
      <c r="O701" s="43" t="s">
        <v>24</v>
      </c>
      <c r="P701" s="42" t="s">
        <v>25</v>
      </c>
      <c r="Q701" s="42" t="s">
        <v>21</v>
      </c>
      <c r="R701" s="44"/>
    </row>
    <row r="702" spans="1:18" x14ac:dyDescent="0.25">
      <c r="A702" t="str">
        <f t="shared" si="20"/>
        <v>Impianto Bypass_Serranda bypass_ALR_ERRORE_LOGICO-Allarme errore logico</v>
      </c>
      <c r="B702" t="str">
        <f t="shared" si="21"/>
        <v>ALR_ERRORE_LOGICO-Allarme errore logico</v>
      </c>
      <c r="C702" t="str">
        <f>VLOOKUP(B702,'[2]Classi allarmi RMT-STIG_rev4'!$C:$C,1,0)</f>
        <v>ALR_ERRORE_LOGICO-Allarme errore logico</v>
      </c>
      <c r="D702" t="str">
        <f>VLOOKUP(B702,'EXPORT IRIS PROD 13-11-2024'!A:A,1,0)</f>
        <v>ALR_ERRORE_LOGICO-Allarme errore logico</v>
      </c>
      <c r="E702" t="str">
        <f>VLOOKUP(H702,'EXPORT IRIS PROD 13-11-2024'!F:F,1,0)</f>
        <v>ALR_ERRORE_LOGICO</v>
      </c>
      <c r="F702" t="str">
        <f>VLOOKUP(I702,'EXPORT IRIS PROD 13-11-2024'!D:D,1,0)</f>
        <v>Allarme errore logico</v>
      </c>
      <c r="G702" s="37" t="s">
        <v>863</v>
      </c>
      <c r="H702" s="38" t="s">
        <v>1291</v>
      </c>
      <c r="I702" s="45" t="s">
        <v>1292</v>
      </c>
      <c r="J702" s="46" t="s">
        <v>274</v>
      </c>
      <c r="K702" s="46" t="s">
        <v>1294</v>
      </c>
      <c r="L702" s="40" t="s">
        <v>21</v>
      </c>
      <c r="M702" s="41" t="s">
        <v>22</v>
      </c>
      <c r="N702" s="42" t="s">
        <v>23</v>
      </c>
      <c r="O702" s="43" t="s">
        <v>24</v>
      </c>
      <c r="P702" s="42" t="s">
        <v>25</v>
      </c>
      <c r="Q702" s="42" t="s">
        <v>21</v>
      </c>
      <c r="R702" s="44"/>
    </row>
    <row r="703" spans="1:18" x14ac:dyDescent="0.25">
      <c r="A703" t="str">
        <f t="shared" si="20"/>
        <v>Impianto Bypass_Ventilatore bypass_ALR_ERRORE_MARCIA-Allarme errore marcia ventilatore</v>
      </c>
      <c r="B703" t="str">
        <f t="shared" si="21"/>
        <v>ALR_ERRORE_MARCIA-Allarme errore marcia ventilatore</v>
      </c>
      <c r="C703" t="str">
        <f>VLOOKUP(B703,'[2]Classi allarmi RMT-STIG_rev4'!$C:$C,1,0)</f>
        <v>ALR_ERRORE_MARCIA-Allarme errore marcia ventilatore</v>
      </c>
      <c r="D703" t="str">
        <f>VLOOKUP(B703,'EXPORT IRIS PROD 13-11-2024'!A:A,1,0)</f>
        <v>ALR_ERRORE_MARCIA-Allarme errore marcia ventilatore</v>
      </c>
      <c r="E703" t="str">
        <f>VLOOKUP(H703,'EXPORT IRIS PROD 13-11-2024'!F:F,1,0)</f>
        <v>ALR_ERRORE_MARCIA</v>
      </c>
      <c r="F703" t="str">
        <f>VLOOKUP(I703,'EXPORT IRIS PROD 13-11-2024'!D:D,1,0)</f>
        <v>Allarme errore marcia ventilatore</v>
      </c>
      <c r="G703" s="37" t="s">
        <v>85</v>
      </c>
      <c r="H703" s="38" t="s">
        <v>1295</v>
      </c>
      <c r="I703" s="45" t="s">
        <v>1296</v>
      </c>
      <c r="J703" s="46" t="s">
        <v>274</v>
      </c>
      <c r="K703" s="46" t="s">
        <v>1293</v>
      </c>
      <c r="L703" s="40" t="s">
        <v>21</v>
      </c>
      <c r="M703" s="41" t="s">
        <v>22</v>
      </c>
      <c r="N703" s="42" t="s">
        <v>23</v>
      </c>
      <c r="O703" s="43" t="s">
        <v>24</v>
      </c>
      <c r="P703" s="42" t="s">
        <v>25</v>
      </c>
      <c r="Q703" s="42" t="s">
        <v>21</v>
      </c>
      <c r="R703" s="44"/>
    </row>
    <row r="704" spans="1:18" x14ac:dyDescent="0.25">
      <c r="A704" t="str">
        <f t="shared" si="20"/>
        <v xml:space="preserve">Impianto Ventilazione_Sensori qualità aria CO/OP/NO/AN_ALR_ESTERNO_02-Allarme Esterno 02 </v>
      </c>
      <c r="B704" t="str">
        <f t="shared" si="21"/>
        <v xml:space="preserve">ALR_ESTERNO_02-Allarme Esterno 02 </v>
      </c>
      <c r="C704" t="str">
        <f>VLOOKUP(B704,'[2]Classi allarmi RMT-STIG_rev4'!$C:$C,1,0)</f>
        <v xml:space="preserve">ALR_ESTERNO_02-Allarme Esterno 02 </v>
      </c>
      <c r="D704" t="str">
        <f>VLOOKUP(B704,'EXPORT IRIS PROD 13-11-2024'!A:A,1,0)</f>
        <v xml:space="preserve">ALR_ESTERNO_02-Allarme Esterno 02 </v>
      </c>
      <c r="E704" t="str">
        <f>VLOOKUP(H704,'EXPORT IRIS PROD 13-11-2024'!F:F,1,0)</f>
        <v>ALR_ESTERNO_02</v>
      </c>
      <c r="F704" t="str">
        <f>VLOOKUP(I704,'EXPORT IRIS PROD 13-11-2024'!D:D,1,0)</f>
        <v xml:space="preserve">Allarme Esterno 02 </v>
      </c>
      <c r="G704" s="37" t="s">
        <v>85</v>
      </c>
      <c r="H704" s="38" t="s">
        <v>1297</v>
      </c>
      <c r="I704" s="45" t="s">
        <v>1298</v>
      </c>
      <c r="J704" s="46" t="s">
        <v>50</v>
      </c>
      <c r="K704" s="46" t="s">
        <v>1189</v>
      </c>
      <c r="L704" s="40" t="s">
        <v>21</v>
      </c>
      <c r="M704" s="41" t="s">
        <v>22</v>
      </c>
      <c r="N704" s="42" t="s">
        <v>23</v>
      </c>
      <c r="O704" s="43" t="s">
        <v>24</v>
      </c>
      <c r="P704" s="42" t="s">
        <v>25</v>
      </c>
      <c r="Q704" s="42" t="s">
        <v>21</v>
      </c>
      <c r="R704" s="44"/>
    </row>
    <row r="705" spans="1:18" x14ac:dyDescent="0.25">
      <c r="A705" t="str">
        <f t="shared" si="20"/>
        <v>Impianto Ventilazione_Ventilatore_ALR_FATTIBILITA_CMD_DA_CAMPO-Allarme fattibilità comandi da campo</v>
      </c>
      <c r="B705" t="str">
        <f t="shared" si="21"/>
        <v>ALR_FATTIBILITA_CMD_DA_CAMPO-Allarme fattibilità comandi da campo</v>
      </c>
      <c r="C705" t="str">
        <f>VLOOKUP(B705,'[2]Classi allarmi RMT-STIG_rev4'!$C:$C,1,0)</f>
        <v>ALR_FATTIBILITA_CMD_DA_CAMPO-Allarme fattibilità comandi da campo</v>
      </c>
      <c r="D705" s="87" t="e">
        <f>VLOOKUP(B705,'EXPORT IRIS PROD 13-11-2024'!A:A,1,0)</f>
        <v>#N/A</v>
      </c>
      <c r="E705" t="str">
        <f>VLOOKUP(H705,'EXPORT IRIS PROD 13-11-2024'!F:F,1,0)</f>
        <v>ALR_FATTIBILITA_CMD_DA_CAMPO</v>
      </c>
      <c r="F705" s="87" t="e">
        <f>VLOOKUP(I705,'EXPORT IRIS PROD 13-11-2024'!D:D,1,0)</f>
        <v>#N/A</v>
      </c>
      <c r="G705" s="37" t="s">
        <v>85</v>
      </c>
      <c r="H705" s="38" t="s">
        <v>1299</v>
      </c>
      <c r="I705" s="45" t="s">
        <v>1300</v>
      </c>
      <c r="J705" s="46" t="s">
        <v>50</v>
      </c>
      <c r="K705" s="46" t="s">
        <v>124</v>
      </c>
      <c r="L705" s="40" t="s">
        <v>21</v>
      </c>
      <c r="M705" s="41" t="s">
        <v>22</v>
      </c>
      <c r="N705" s="42" t="s">
        <v>23</v>
      </c>
      <c r="O705" s="43" t="s">
        <v>24</v>
      </c>
      <c r="P705" s="42" t="s">
        <v>25</v>
      </c>
      <c r="Q705" s="42" t="s">
        <v>21</v>
      </c>
      <c r="R705" s="44"/>
    </row>
    <row r="706" spans="1:18" x14ac:dyDescent="0.25">
      <c r="A706" t="str">
        <f t="shared" ref="A706:A769" si="22">CONCATENATE(J706,"_",K706,"_",B706)</f>
        <v>Impianto Ventilazione_Ventilatore_ALR_FATTIBILITA_CMD_DA_SUPERVISIONE-Allarme fattibilità comandi da supervisione</v>
      </c>
      <c r="B706" t="str">
        <f t="shared" si="21"/>
        <v>ALR_FATTIBILITA_CMD_DA_SUPERVISIONE-Allarme fattibilità comandi da supervisione</v>
      </c>
      <c r="C706" t="str">
        <f>VLOOKUP(B706,'[2]Classi allarmi RMT-STIG_rev4'!$C:$C,1,0)</f>
        <v>ALR_FATTIBILITA_CMD_DA_SUPERVISIONE-Allarme fattibilità comandi da supervisione</v>
      </c>
      <c r="D706" t="str">
        <f>VLOOKUP(B706,'EXPORT IRIS PROD 13-11-2024'!A:A,1,0)</f>
        <v>ALR_FATTIBILITA_CMD_DA_SUPERVISIONE-Allarme fattibilità comandi da supervisione</v>
      </c>
      <c r="E706" t="str">
        <f>VLOOKUP(H706,'EXPORT IRIS PROD 13-11-2024'!F:F,1,0)</f>
        <v>ALR_FATTIBILITA_CMD_DA_SUPERVISIONE</v>
      </c>
      <c r="F706" t="str">
        <f>VLOOKUP(I706,'EXPORT IRIS PROD 13-11-2024'!D:D,1,0)</f>
        <v>Allarme fattibilità comandi da supervisione</v>
      </c>
      <c r="G706" s="37" t="s">
        <v>85</v>
      </c>
      <c r="H706" s="38" t="s">
        <v>1301</v>
      </c>
      <c r="I706" s="45" t="s">
        <v>1302</v>
      </c>
      <c r="J706" s="46" t="s">
        <v>50</v>
      </c>
      <c r="K706" s="46" t="s">
        <v>124</v>
      </c>
      <c r="L706" s="40" t="s">
        <v>21</v>
      </c>
      <c r="M706" s="41" t="s">
        <v>22</v>
      </c>
      <c r="N706" s="42" t="s">
        <v>23</v>
      </c>
      <c r="O706" s="43" t="s">
        <v>24</v>
      </c>
      <c r="P706" s="42" t="s">
        <v>25</v>
      </c>
      <c r="Q706" s="42" t="s">
        <v>21</v>
      </c>
      <c r="R706" s="44"/>
    </row>
    <row r="707" spans="1:18" x14ac:dyDescent="0.25">
      <c r="A707" t="str">
        <f t="shared" si="22"/>
        <v>Impianto Canalizzazione_FC_ALR_FC-Allarme freccia-croce</v>
      </c>
      <c r="B707" t="str">
        <f t="shared" ref="B707:B770" si="23">CONCATENATE(H707,"-",I707)</f>
        <v>ALR_FC-Allarme freccia-croce</v>
      </c>
      <c r="C707" t="str">
        <f>VLOOKUP(B707,'[2]Classi allarmi RMT-STIG_rev4'!$C:$C,1,0)</f>
        <v>ALR_FC-Allarme freccia-croce</v>
      </c>
      <c r="D707" t="str">
        <f>VLOOKUP(B707,'EXPORT IRIS PROD 13-11-2024'!A:A,1,0)</f>
        <v>ALR_FC-Allarme freccia-croce</v>
      </c>
      <c r="E707" t="str">
        <f>VLOOKUP(H707,'EXPORT IRIS PROD 13-11-2024'!F:F,1,0)</f>
        <v>ALR_FC</v>
      </c>
      <c r="F707" t="str">
        <f>VLOOKUP(I707,'EXPORT IRIS PROD 13-11-2024'!D:D,1,0)</f>
        <v>Allarme freccia-croce</v>
      </c>
      <c r="G707" s="37" t="s">
        <v>109</v>
      </c>
      <c r="H707" s="38" t="s">
        <v>1303</v>
      </c>
      <c r="I707" s="45" t="s">
        <v>1304</v>
      </c>
      <c r="J707" s="46" t="s">
        <v>111</v>
      </c>
      <c r="K707" s="46" t="s">
        <v>1100</v>
      </c>
      <c r="L707" s="40" t="s">
        <v>21</v>
      </c>
      <c r="M707" s="41" t="s">
        <v>22</v>
      </c>
      <c r="N707" s="42" t="s">
        <v>23</v>
      </c>
      <c r="O707" s="43" t="s">
        <v>24</v>
      </c>
      <c r="P707" s="42" t="s">
        <v>25</v>
      </c>
      <c r="Q707" s="42" t="s">
        <v>21</v>
      </c>
      <c r="R707" s="44"/>
    </row>
    <row r="708" spans="1:18" x14ac:dyDescent="0.25">
      <c r="A708" t="str">
        <f t="shared" si="22"/>
        <v>Impianto Ventilazione_Ventilatore_ALR_FINECORSA_STACCO-Allarme finecorsa stacco</v>
      </c>
      <c r="B708" t="str">
        <f t="shared" si="23"/>
        <v>ALR_FINECORSA_STACCO-Allarme finecorsa stacco</v>
      </c>
      <c r="C708" t="str">
        <f>VLOOKUP(B708,'[2]Classi allarmi RMT-STIG_rev4'!$C:$C,1,0)</f>
        <v>ALR_FINECORSA_STACCO-Allarme finecorsa stacco</v>
      </c>
      <c r="D708" t="str">
        <f>VLOOKUP(B708,'EXPORT IRIS PROD 13-11-2024'!A:A,1,0)</f>
        <v>ALR_FINECORSA_STACCO-Allarme finecorsa stacco</v>
      </c>
      <c r="E708" t="str">
        <f>VLOOKUP(H708,'EXPORT IRIS PROD 13-11-2024'!F:F,1,0)</f>
        <v>ALR_FINECORSA_STACCO</v>
      </c>
      <c r="F708" t="str">
        <f>VLOOKUP(I708,'EXPORT IRIS PROD 13-11-2024'!D:D,1,0)</f>
        <v>Allarme finecorsa stacco</v>
      </c>
      <c r="G708" s="37" t="s">
        <v>85</v>
      </c>
      <c r="H708" s="38" t="s">
        <v>1305</v>
      </c>
      <c r="I708" s="45" t="s">
        <v>1306</v>
      </c>
      <c r="J708" s="46" t="s">
        <v>50</v>
      </c>
      <c r="K708" s="46" t="s">
        <v>124</v>
      </c>
      <c r="L708" s="40" t="s">
        <v>31</v>
      </c>
      <c r="M708" s="41" t="s">
        <v>32</v>
      </c>
      <c r="N708" s="42">
        <v>3</v>
      </c>
      <c r="O708" s="43" t="s">
        <v>33</v>
      </c>
      <c r="P708" s="42" t="s">
        <v>34</v>
      </c>
      <c r="Q708" s="42" t="s">
        <v>31</v>
      </c>
      <c r="R708" s="44"/>
    </row>
    <row r="709" spans="1:18" x14ac:dyDescent="0.25">
      <c r="A709" t="str">
        <f t="shared" si="22"/>
        <v>Impianto Bypass_Flussostato_ALR_FLUSSOSTATO-Allarme flussostato</v>
      </c>
      <c r="B709" t="str">
        <f t="shared" si="23"/>
        <v>ALR_FLUSSOSTATO-Allarme flussostato</v>
      </c>
      <c r="C709" t="str">
        <f>VLOOKUP(B709,'[2]Classi allarmi RMT-STIG_rev4'!$C:$C,1,0)</f>
        <v>ALR_FLUSSOSTATO-Allarme flussostato</v>
      </c>
      <c r="D709" t="str">
        <f>VLOOKUP(B709,'EXPORT IRIS PROD 13-11-2024'!A:A,1,0)</f>
        <v>ALR_FLUSSOSTATO-Allarme flussostato</v>
      </c>
      <c r="E709" t="str">
        <f>VLOOKUP(H709,'EXPORT IRIS PROD 13-11-2024'!F:F,1,0)</f>
        <v>ALR_FLUSSOSTATO</v>
      </c>
      <c r="F709" t="str">
        <f>VLOOKUP(I709,'EXPORT IRIS PROD 13-11-2024'!D:D,1,0)</f>
        <v>Allarme flussostato</v>
      </c>
      <c r="G709" s="37" t="s">
        <v>863</v>
      </c>
      <c r="H709" s="38" t="s">
        <v>1307</v>
      </c>
      <c r="I709" s="45" t="s">
        <v>1308</v>
      </c>
      <c r="J709" s="46" t="s">
        <v>274</v>
      </c>
      <c r="K709" s="46" t="s">
        <v>1309</v>
      </c>
      <c r="L709" s="40" t="s">
        <v>21</v>
      </c>
      <c r="M709" s="41" t="s">
        <v>22</v>
      </c>
      <c r="N709" s="42" t="s">
        <v>23</v>
      </c>
      <c r="O709" s="43" t="s">
        <v>24</v>
      </c>
      <c r="P709" s="42" t="s">
        <v>25</v>
      </c>
      <c r="Q709" s="42" t="s">
        <v>21</v>
      </c>
      <c r="R709" s="44"/>
    </row>
    <row r="710" spans="1:18" x14ac:dyDescent="0.25">
      <c r="A710" t="str">
        <f t="shared" si="22"/>
        <v>Impianto illuminazione_Sonda di luminanza_ALR_FORZA_REMOTO-Allarme forzatura remoto</v>
      </c>
      <c r="B710" t="str">
        <f t="shared" si="23"/>
        <v>ALR_FORZA_REMOTO-Allarme forzatura remoto</v>
      </c>
      <c r="C710" t="str">
        <f>VLOOKUP(B710,'[2]Classi allarmi RMT-STIG_rev4'!$C:$C,1,0)</f>
        <v>ALR_FORZA_REMOTO-Allarme forzatura remoto</v>
      </c>
      <c r="D710" t="str">
        <f>VLOOKUP(B710,'EXPORT IRIS PROD 13-11-2024'!A:A,1,0)</f>
        <v>ALR_FORZA_REMOTO-Allarme forzatura remoto</v>
      </c>
      <c r="E710" t="str">
        <f>VLOOKUP(H710,'EXPORT IRIS PROD 13-11-2024'!F:F,1,0)</f>
        <v>ALR_FORZA_REMOTO</v>
      </c>
      <c r="F710" t="str">
        <f>VLOOKUP(I710,'EXPORT IRIS PROD 13-11-2024'!D:D,1,0)</f>
        <v>Allarme forzatura remoto</v>
      </c>
      <c r="G710" s="37" t="s">
        <v>16</v>
      </c>
      <c r="H710" s="38" t="s">
        <v>321</v>
      </c>
      <c r="I710" s="38" t="s">
        <v>322</v>
      </c>
      <c r="J710" s="39" t="s">
        <v>1142</v>
      </c>
      <c r="K710" s="39" t="s">
        <v>257</v>
      </c>
      <c r="L710" s="40" t="s">
        <v>21</v>
      </c>
      <c r="M710" s="41" t="s">
        <v>22</v>
      </c>
      <c r="N710" s="42" t="s">
        <v>23</v>
      </c>
      <c r="O710" s="43" t="s">
        <v>24</v>
      </c>
      <c r="P710" s="42" t="s">
        <v>25</v>
      </c>
      <c r="Q710" s="42" t="s">
        <v>21</v>
      </c>
      <c r="R710" s="44"/>
    </row>
    <row r="711" spans="1:18" x14ac:dyDescent="0.25">
      <c r="A711" t="str">
        <f t="shared" si="22"/>
        <v>Impianto Elettrico_UPS_ALR_FREQUENZA_IN_USCITA-Allarme frequenza in uscita</v>
      </c>
      <c r="B711" t="str">
        <f t="shared" si="23"/>
        <v>ALR_FREQUENZA_IN_USCITA-Allarme frequenza in uscita</v>
      </c>
      <c r="C711" t="str">
        <f>VLOOKUP(B711,'[2]Classi allarmi RMT-STIG_rev4'!$C:$C,1,0)</f>
        <v>ALR_FREQUENZA_IN_USCITA-Allarme frequenza in uscita</v>
      </c>
      <c r="D711" t="str">
        <f>VLOOKUP(B711,'EXPORT IRIS PROD 13-11-2024'!A:A,1,0)</f>
        <v>ALR_FREQUENZA_IN_USCITA-Allarme frequenza in uscita</v>
      </c>
      <c r="E711" t="str">
        <f>VLOOKUP(H711,'EXPORT IRIS PROD 13-11-2024'!F:F,1,0)</f>
        <v>ALR_FREQUENZA_IN_USCITA</v>
      </c>
      <c r="F711" t="str">
        <f>VLOOKUP(I711,'EXPORT IRIS PROD 13-11-2024'!D:D,1,0)</f>
        <v>Allarme frequenza in uscita</v>
      </c>
      <c r="G711" s="37" t="s">
        <v>53</v>
      </c>
      <c r="H711" s="38" t="s">
        <v>1310</v>
      </c>
      <c r="I711" s="38" t="s">
        <v>1311</v>
      </c>
      <c r="J711" s="39" t="s">
        <v>56</v>
      </c>
      <c r="K711" s="39" t="s">
        <v>104</v>
      </c>
      <c r="L711" s="40" t="s">
        <v>21</v>
      </c>
      <c r="M711" s="41" t="s">
        <v>22</v>
      </c>
      <c r="N711" s="42" t="s">
        <v>23</v>
      </c>
      <c r="O711" s="43" t="s">
        <v>24</v>
      </c>
      <c r="P711" s="42" t="s">
        <v>25</v>
      </c>
      <c r="Q711" s="42" t="s">
        <v>21</v>
      </c>
      <c r="R711" s="44"/>
    </row>
    <row r="712" spans="1:18" x14ac:dyDescent="0.25">
      <c r="A712" t="str">
        <f t="shared" si="22"/>
        <v>Smart road_Palo tecnologico_ALR_FUSIBILE_DA_QE-Allarme fusibile da QE</v>
      </c>
      <c r="B712" t="str">
        <f t="shared" si="23"/>
        <v>ALR_FUSIBILE_DA_QE-Allarme fusibile da QE</v>
      </c>
      <c r="C712" t="str">
        <f>VLOOKUP(B712,'[2]Classi allarmi RMT-STIG_rev4'!$C:$C,1,0)</f>
        <v>ALR_FUSIBILE_DA_QE-Allarme fusibile da QE</v>
      </c>
      <c r="D712" t="str">
        <f>VLOOKUP(B712,'EXPORT IRIS PROD 13-11-2024'!A:A,1,0)</f>
        <v>ALR_FUSIBILE_DA_QE-Allarme fusibile da QE</v>
      </c>
      <c r="E712" t="str">
        <f>VLOOKUP(H712,'EXPORT IRIS PROD 13-11-2024'!F:F,1,0)</f>
        <v>ALR_FUSIBILE_DA_QE</v>
      </c>
      <c r="F712" t="str">
        <f>VLOOKUP(I712,'EXPORT IRIS PROD 13-11-2024'!D:D,1,0)</f>
        <v>Allarme fusibile da QE</v>
      </c>
      <c r="G712" s="37" t="s">
        <v>1088</v>
      </c>
      <c r="H712" s="38" t="s">
        <v>1312</v>
      </c>
      <c r="I712" s="45" t="s">
        <v>1313</v>
      </c>
      <c r="J712" s="46" t="s">
        <v>1113</v>
      </c>
      <c r="K712" s="46" t="s">
        <v>1091</v>
      </c>
      <c r="L712" s="40" t="s">
        <v>21</v>
      </c>
      <c r="M712" s="41" t="s">
        <v>22</v>
      </c>
      <c r="N712" s="42" t="s">
        <v>23</v>
      </c>
      <c r="O712" s="43" t="s">
        <v>24</v>
      </c>
      <c r="P712" s="42" t="s">
        <v>25</v>
      </c>
      <c r="Q712" s="42" t="s">
        <v>21</v>
      </c>
      <c r="R712" s="44"/>
    </row>
    <row r="713" spans="1:18" x14ac:dyDescent="0.25">
      <c r="A713" t="str">
        <f t="shared" si="22"/>
        <v>Impianto elettrico_Quadro elettrico_ALR_FUSIBILE_DA_QE-Allarme fusibile da QE</v>
      </c>
      <c r="B713" t="str">
        <f t="shared" si="23"/>
        <v>ALR_FUSIBILE_DA_QE-Allarme fusibile da QE</v>
      </c>
      <c r="C713" t="str">
        <f>VLOOKUP(B713,'[2]Classi allarmi RMT-STIG_rev4'!$C:$C,1,0)</f>
        <v>ALR_FUSIBILE_DA_QE-Allarme fusibile da QE</v>
      </c>
      <c r="D713" t="str">
        <f>VLOOKUP(B713,'EXPORT IRIS PROD 13-11-2024'!A:A,1,0)</f>
        <v>ALR_FUSIBILE_DA_QE-Allarme fusibile da QE</v>
      </c>
      <c r="E713" t="str">
        <f>VLOOKUP(H713,'EXPORT IRIS PROD 13-11-2024'!F:F,1,0)</f>
        <v>ALR_FUSIBILE_DA_QE</v>
      </c>
      <c r="F713" t="str">
        <f>VLOOKUP(I713,'EXPORT IRIS PROD 13-11-2024'!D:D,1,0)</f>
        <v>Allarme fusibile da QE</v>
      </c>
      <c r="G713" s="37" t="s">
        <v>53</v>
      </c>
      <c r="H713" s="38" t="s">
        <v>1312</v>
      </c>
      <c r="I713" s="45" t="s">
        <v>1313</v>
      </c>
      <c r="J713" s="46" t="s">
        <v>1106</v>
      </c>
      <c r="K713" s="46" t="s">
        <v>114</v>
      </c>
      <c r="L713" s="40" t="s">
        <v>21</v>
      </c>
      <c r="M713" s="41" t="s">
        <v>22</v>
      </c>
      <c r="N713" s="42" t="s">
        <v>23</v>
      </c>
      <c r="O713" s="43" t="s">
        <v>24</v>
      </c>
      <c r="P713" s="42" t="s">
        <v>25</v>
      </c>
      <c r="Q713" s="42" t="s">
        <v>21</v>
      </c>
      <c r="R713" s="44"/>
    </row>
    <row r="714" spans="1:18" x14ac:dyDescent="0.25">
      <c r="A714" t="str">
        <f t="shared" si="22"/>
        <v>Impianto elettrico_Quadro elettrico/Fusibile_ALR_FUSIBILE_DA_TR-Allarme fusibile da TR</v>
      </c>
      <c r="B714" t="str">
        <f t="shared" si="23"/>
        <v>ALR_FUSIBILE_DA_TR-Allarme fusibile da TR</v>
      </c>
      <c r="C714" t="str">
        <f>VLOOKUP(B714,'[2]Classi allarmi RMT-STIG_rev4'!$C:$C,1,0)</f>
        <v>ALR_FUSIBILE_DA_TR-Allarme fusibile da TR</v>
      </c>
      <c r="D714" t="str">
        <f>VLOOKUP(B714,'EXPORT IRIS PROD 13-11-2024'!A:A,1,0)</f>
        <v>ALR_FUSIBILE_DA_TR-Allarme fusibile da TR</v>
      </c>
      <c r="E714" t="str">
        <f>VLOOKUP(H714,'EXPORT IRIS PROD 13-11-2024'!F:F,1,0)</f>
        <v>ALR_FUSIBILE_DA_TR</v>
      </c>
      <c r="F714" t="str">
        <f>VLOOKUP(I714,'EXPORT IRIS PROD 13-11-2024'!D:D,1,0)</f>
        <v>Allarme fusibile da TR</v>
      </c>
      <c r="G714" s="37" t="s">
        <v>53</v>
      </c>
      <c r="H714" s="38" t="s">
        <v>1314</v>
      </c>
      <c r="I714" s="45" t="s">
        <v>1315</v>
      </c>
      <c r="J714" s="46" t="s">
        <v>1106</v>
      </c>
      <c r="K714" s="46" t="s">
        <v>1316</v>
      </c>
      <c r="L714" s="40" t="s">
        <v>21</v>
      </c>
      <c r="M714" s="41" t="s">
        <v>22</v>
      </c>
      <c r="N714" s="42" t="s">
        <v>23</v>
      </c>
      <c r="O714" s="43" t="s">
        <v>24</v>
      </c>
      <c r="P714" s="42" t="s">
        <v>25</v>
      </c>
      <c r="Q714" s="42" t="s">
        <v>21</v>
      </c>
      <c r="R714" s="44"/>
    </row>
    <row r="715" spans="1:18" x14ac:dyDescent="0.25">
      <c r="A715" t="str">
        <f t="shared" si="22"/>
        <v>Impianto Elettrico_Gruppo elettrogeno_ALR_GE_SOVRACCARICO-Allarme GE sovraccarico</v>
      </c>
      <c r="B715" t="str">
        <f t="shared" si="23"/>
        <v>ALR_GE_SOVRACCARICO-Allarme GE sovraccarico</v>
      </c>
      <c r="C715" t="str">
        <f>VLOOKUP(B715,'[2]Classi allarmi RMT-STIG_rev4'!$C:$C,1,0)</f>
        <v>ALR_GE_SOVRACCARICO-Allarme GE sovraccarico</v>
      </c>
      <c r="D715" t="str">
        <f>VLOOKUP(B715,'EXPORT IRIS PROD 13-11-2024'!A:A,1,0)</f>
        <v>ALR_GE_SOVRACCARICO-Allarme GE sovraccarico</v>
      </c>
      <c r="E715" t="str">
        <f>VLOOKUP(H715,'EXPORT IRIS PROD 13-11-2024'!F:F,1,0)</f>
        <v>ALR_GE_SOVRACCARICO</v>
      </c>
      <c r="F715" t="str">
        <f>VLOOKUP(I715,'EXPORT IRIS PROD 13-11-2024'!D:D,1,0)</f>
        <v>Allarme GE sovraccarico</v>
      </c>
      <c r="G715" s="37" t="s">
        <v>53</v>
      </c>
      <c r="H715" s="38" t="s">
        <v>1317</v>
      </c>
      <c r="I715" s="38" t="s">
        <v>1318</v>
      </c>
      <c r="J715" s="39" t="s">
        <v>56</v>
      </c>
      <c r="K715" s="39" t="s">
        <v>57</v>
      </c>
      <c r="L715" s="40" t="s">
        <v>21</v>
      </c>
      <c r="M715" s="41" t="s">
        <v>22</v>
      </c>
      <c r="N715" s="42" t="s">
        <v>23</v>
      </c>
      <c r="O715" s="43" t="s">
        <v>24</v>
      </c>
      <c r="P715" s="42" t="s">
        <v>25</v>
      </c>
      <c r="Q715" s="42" t="s">
        <v>21</v>
      </c>
      <c r="R715" s="44"/>
    </row>
    <row r="716" spans="1:18" x14ac:dyDescent="0.25">
      <c r="A716" t="str">
        <f t="shared" si="22"/>
        <v>Impianto ventilazione_Ventilatore_ALR_GENERALE_2_IMP-Allarme generale dispositivo</v>
      </c>
      <c r="B716" t="str">
        <f t="shared" si="23"/>
        <v>ALR_GENERALE_2_IMP-Allarme generale dispositivo</v>
      </c>
      <c r="C716" t="str">
        <f>VLOOKUP(B716,'[2]Classi allarmi RMT-STIG_rev4'!$C:$C,1,0)</f>
        <v>ALR_GENERALE_2_IMP-Allarme generale dispositivo</v>
      </c>
      <c r="D716" t="str">
        <f>VLOOKUP(B716,'EXPORT IRIS PROD 13-11-2024'!A:A,1,0)</f>
        <v>ALR_GENERALE_2_IMP-Allarme generale dispositivo</v>
      </c>
      <c r="E716" t="str">
        <f>VLOOKUP(H716,'EXPORT IRIS PROD 13-11-2024'!F:F,1,0)</f>
        <v>ALR_GENERALE_2_IMP</v>
      </c>
      <c r="F716" t="str">
        <f>VLOOKUP(I716,'EXPORT IRIS PROD 13-11-2024'!D:D,1,0)</f>
        <v>Allarme generale dispositivo</v>
      </c>
      <c r="G716" s="37" t="s">
        <v>85</v>
      </c>
      <c r="H716" s="38" t="s">
        <v>348</v>
      </c>
      <c r="I716" s="45" t="s">
        <v>347</v>
      </c>
      <c r="J716" s="46" t="s">
        <v>1319</v>
      </c>
      <c r="K716" s="46" t="s">
        <v>124</v>
      </c>
      <c r="L716" s="40" t="s">
        <v>21</v>
      </c>
      <c r="M716" s="41" t="s">
        <v>22</v>
      </c>
      <c r="N716" s="42" t="s">
        <v>23</v>
      </c>
      <c r="O716" s="43" t="s">
        <v>24</v>
      </c>
      <c r="P716" s="42" t="s">
        <v>25</v>
      </c>
      <c r="Q716" s="42" t="s">
        <v>21</v>
      </c>
      <c r="R716" s="44"/>
    </row>
    <row r="717" spans="1:18" x14ac:dyDescent="0.25">
      <c r="A717" t="str">
        <f t="shared" si="22"/>
        <v>Impianto Bypass_Centralina ril. Incendio bypass_ALR_GENERALE_2_IMP-Allarme generale dispositivo</v>
      </c>
      <c r="B717" t="str">
        <f t="shared" si="23"/>
        <v>ALR_GENERALE_2_IMP-Allarme generale dispositivo</v>
      </c>
      <c r="C717" t="str">
        <f>VLOOKUP(B717,'[2]Classi allarmi RMT-STIG_rev4'!$C:$C,1,0)</f>
        <v>ALR_GENERALE_2_IMP-Allarme generale dispositivo</v>
      </c>
      <c r="D717" t="str">
        <f>VLOOKUP(B717,'EXPORT IRIS PROD 13-11-2024'!A:A,1,0)</f>
        <v>ALR_GENERALE_2_IMP-Allarme generale dispositivo</v>
      </c>
      <c r="E717" t="str">
        <f>VLOOKUP(H717,'EXPORT IRIS PROD 13-11-2024'!F:F,1,0)</f>
        <v>ALR_GENERALE_2_IMP</v>
      </c>
      <c r="F717" t="str">
        <f>VLOOKUP(I717,'EXPORT IRIS PROD 13-11-2024'!D:D,1,0)</f>
        <v>Allarme generale dispositivo</v>
      </c>
      <c r="G717" s="37" t="s">
        <v>105</v>
      </c>
      <c r="H717" s="38" t="s">
        <v>348</v>
      </c>
      <c r="I717" s="45" t="s">
        <v>347</v>
      </c>
      <c r="J717" s="46" t="s">
        <v>274</v>
      </c>
      <c r="K717" s="46" t="s">
        <v>1258</v>
      </c>
      <c r="L717" s="40" t="s">
        <v>21</v>
      </c>
      <c r="M717" s="41" t="s">
        <v>22</v>
      </c>
      <c r="N717" s="42" t="s">
        <v>23</v>
      </c>
      <c r="O717" s="43" t="s">
        <v>24</v>
      </c>
      <c r="P717" s="42" t="s">
        <v>25</v>
      </c>
      <c r="Q717" s="42" t="s">
        <v>21</v>
      </c>
      <c r="R717" s="44"/>
    </row>
    <row r="718" spans="1:18" x14ac:dyDescent="0.25">
      <c r="A718" t="str">
        <f t="shared" si="22"/>
        <v>Impianto illuminazione_Picchetti luminosi_ALR_GENERALE_2_IMP-Allarme generale dispositivo</v>
      </c>
      <c r="B718" t="str">
        <f t="shared" si="23"/>
        <v>ALR_GENERALE_2_IMP-Allarme generale dispositivo</v>
      </c>
      <c r="C718" t="str">
        <f>VLOOKUP(B718,'[2]Classi allarmi RMT-STIG_rev4'!$C:$C,1,0)</f>
        <v>ALR_GENERALE_2_IMP-Allarme generale dispositivo</v>
      </c>
      <c r="D718" t="str">
        <f>VLOOKUP(B718,'EXPORT IRIS PROD 13-11-2024'!A:A,1,0)</f>
        <v>ALR_GENERALE_2_IMP-Allarme generale dispositivo</v>
      </c>
      <c r="E718" t="str">
        <f>VLOOKUP(H718,'EXPORT IRIS PROD 13-11-2024'!F:F,1,0)</f>
        <v>ALR_GENERALE_2_IMP</v>
      </c>
      <c r="F718" t="str">
        <f>VLOOKUP(I718,'EXPORT IRIS PROD 13-11-2024'!D:D,1,0)</f>
        <v>Allarme generale dispositivo</v>
      </c>
      <c r="G718" s="37" t="s">
        <v>115</v>
      </c>
      <c r="H718" s="38" t="s">
        <v>348</v>
      </c>
      <c r="I718" s="45" t="s">
        <v>347</v>
      </c>
      <c r="J718" s="46" t="s">
        <v>1142</v>
      </c>
      <c r="K718" s="46" t="s">
        <v>715</v>
      </c>
      <c r="L718" s="40" t="s">
        <v>21</v>
      </c>
      <c r="M718" s="41" t="s">
        <v>22</v>
      </c>
      <c r="N718" s="42" t="s">
        <v>23</v>
      </c>
      <c r="O718" s="43" t="s">
        <v>24</v>
      </c>
      <c r="P718" s="42" t="s">
        <v>25</v>
      </c>
      <c r="Q718" s="42" t="s">
        <v>21</v>
      </c>
      <c r="R718" s="44"/>
    </row>
    <row r="719" spans="1:18" x14ac:dyDescent="0.25">
      <c r="A719" t="str">
        <f t="shared" si="22"/>
        <v>Impianto illuminazione_Centralina illuminazione_ALR_GENERALE_2_IMP-Allarme generale dispositivo</v>
      </c>
      <c r="B719" t="str">
        <f t="shared" si="23"/>
        <v>ALR_GENERALE_2_IMP-Allarme generale dispositivo</v>
      </c>
      <c r="C719" t="str">
        <f>VLOOKUP(B719,'[2]Classi allarmi RMT-STIG_rev4'!$C:$C,1,0)</f>
        <v>ALR_GENERALE_2_IMP-Allarme generale dispositivo</v>
      </c>
      <c r="D719" t="str">
        <f>VLOOKUP(B719,'EXPORT IRIS PROD 13-11-2024'!A:A,1,0)</f>
        <v>ALR_GENERALE_2_IMP-Allarme generale dispositivo</v>
      </c>
      <c r="E719" t="str">
        <f>VLOOKUP(H719,'EXPORT IRIS PROD 13-11-2024'!F:F,1,0)</f>
        <v>ALR_GENERALE_2_IMP</v>
      </c>
      <c r="F719" t="str">
        <f>VLOOKUP(I719,'EXPORT IRIS PROD 13-11-2024'!D:D,1,0)</f>
        <v>Allarme generale dispositivo</v>
      </c>
      <c r="G719" s="37" t="s">
        <v>115</v>
      </c>
      <c r="H719" s="38" t="s">
        <v>348</v>
      </c>
      <c r="I719" s="45" t="s">
        <v>347</v>
      </c>
      <c r="J719" s="46" t="s">
        <v>1142</v>
      </c>
      <c r="K719" s="46" t="s">
        <v>1286</v>
      </c>
      <c r="L719" s="40" t="s">
        <v>21</v>
      </c>
      <c r="M719" s="41" t="s">
        <v>22</v>
      </c>
      <c r="N719" s="42" t="s">
        <v>23</v>
      </c>
      <c r="O719" s="43" t="s">
        <v>24</v>
      </c>
      <c r="P719" s="42" t="s">
        <v>25</v>
      </c>
      <c r="Q719" s="42" t="s">
        <v>21</v>
      </c>
      <c r="R719" s="44"/>
    </row>
    <row r="720" spans="1:18" x14ac:dyDescent="0.25">
      <c r="A720" t="str">
        <f t="shared" si="22"/>
        <v>Impianto SOS_Centrale VOIP_ALR_GENERALE_2_IMP-Allarme generale dispositivo</v>
      </c>
      <c r="B720" t="str">
        <f t="shared" si="23"/>
        <v>ALR_GENERALE_2_IMP-Allarme generale dispositivo</v>
      </c>
      <c r="C720" t="str">
        <f>VLOOKUP(B720,'[2]Classi allarmi RMT-STIG_rev4'!$C:$C,1,0)</f>
        <v>ALR_GENERALE_2_IMP-Allarme generale dispositivo</v>
      </c>
      <c r="D720" t="str">
        <f>VLOOKUP(B720,'EXPORT IRIS PROD 13-11-2024'!A:A,1,0)</f>
        <v>ALR_GENERALE_2_IMP-Allarme generale dispositivo</v>
      </c>
      <c r="E720" t="str">
        <f>VLOOKUP(H720,'EXPORT IRIS PROD 13-11-2024'!F:F,1,0)</f>
        <v>ALR_GENERALE_2_IMP</v>
      </c>
      <c r="F720" t="str">
        <f>VLOOKUP(I720,'EXPORT IRIS PROD 13-11-2024'!D:D,1,0)</f>
        <v>Allarme generale dispositivo</v>
      </c>
      <c r="G720" s="37" t="s">
        <v>89</v>
      </c>
      <c r="H720" s="38" t="s">
        <v>348</v>
      </c>
      <c r="I720" s="45" t="s">
        <v>347</v>
      </c>
      <c r="J720" s="46" t="s">
        <v>29</v>
      </c>
      <c r="K720" s="46" t="s">
        <v>1320</v>
      </c>
      <c r="L720" s="40" t="s">
        <v>21</v>
      </c>
      <c r="M720" s="41" t="s">
        <v>22</v>
      </c>
      <c r="N720" s="42" t="s">
        <v>23</v>
      </c>
      <c r="O720" s="43" t="s">
        <v>24</v>
      </c>
      <c r="P720" s="42" t="s">
        <v>25</v>
      </c>
      <c r="Q720" s="42" t="s">
        <v>21</v>
      </c>
      <c r="R720" s="44"/>
    </row>
    <row r="721" spans="1:18" x14ac:dyDescent="0.25">
      <c r="A721" t="str">
        <f t="shared" si="22"/>
        <v>Impianto SOS_SOS generale_ALR_GENERALE_2_IMP-Allarme generale dispositivo</v>
      </c>
      <c r="B721" t="str">
        <f t="shared" si="23"/>
        <v>ALR_GENERALE_2_IMP-Allarme generale dispositivo</v>
      </c>
      <c r="C721" t="str">
        <f>VLOOKUP(B721,'[2]Classi allarmi RMT-STIG_rev4'!$C:$C,1,0)</f>
        <v>ALR_GENERALE_2_IMP-Allarme generale dispositivo</v>
      </c>
      <c r="D721" t="str">
        <f>VLOOKUP(B721,'EXPORT IRIS PROD 13-11-2024'!A:A,1,0)</f>
        <v>ALR_GENERALE_2_IMP-Allarme generale dispositivo</v>
      </c>
      <c r="E721" t="str">
        <f>VLOOKUP(H721,'EXPORT IRIS PROD 13-11-2024'!F:F,1,0)</f>
        <v>ALR_GENERALE_2_IMP</v>
      </c>
      <c r="F721" t="str">
        <f>VLOOKUP(I721,'EXPORT IRIS PROD 13-11-2024'!D:D,1,0)</f>
        <v>Allarme generale dispositivo</v>
      </c>
      <c r="G721" s="37" t="s">
        <v>89</v>
      </c>
      <c r="H721" s="38" t="s">
        <v>348</v>
      </c>
      <c r="I721" s="45" t="s">
        <v>347</v>
      </c>
      <c r="J721" s="46" t="s">
        <v>29</v>
      </c>
      <c r="K721" s="46" t="s">
        <v>1067</v>
      </c>
      <c r="L721" s="40" t="s">
        <v>21</v>
      </c>
      <c r="M721" s="41" t="s">
        <v>22</v>
      </c>
      <c r="N721" s="42" t="s">
        <v>23</v>
      </c>
      <c r="O721" s="43" t="s">
        <v>24</v>
      </c>
      <c r="P721" s="42" t="s">
        <v>25</v>
      </c>
      <c r="Q721" s="42" t="s">
        <v>21</v>
      </c>
      <c r="R721" s="44"/>
    </row>
    <row r="722" spans="1:18" x14ac:dyDescent="0.25">
      <c r="A722" t="str">
        <f t="shared" si="22"/>
        <v>Impianto Canalizzazione_Semaforo_ALR_GENERALE_2_IMP-Allarme generale dispositivo</v>
      </c>
      <c r="B722" t="str">
        <f t="shared" si="23"/>
        <v>ALR_GENERALE_2_IMP-Allarme generale dispositivo</v>
      </c>
      <c r="C722" t="str">
        <f>VLOOKUP(B722,'[2]Classi allarmi RMT-STIG_rev4'!$C:$C,1,0)</f>
        <v>ALR_GENERALE_2_IMP-Allarme generale dispositivo</v>
      </c>
      <c r="D722" t="str">
        <f>VLOOKUP(B722,'EXPORT IRIS PROD 13-11-2024'!A:A,1,0)</f>
        <v>ALR_GENERALE_2_IMP-Allarme generale dispositivo</v>
      </c>
      <c r="E722" t="str">
        <f>VLOOKUP(H722,'EXPORT IRIS PROD 13-11-2024'!F:F,1,0)</f>
        <v>ALR_GENERALE_2_IMP</v>
      </c>
      <c r="F722" t="str">
        <f>VLOOKUP(I722,'EXPORT IRIS PROD 13-11-2024'!D:D,1,0)</f>
        <v>Allarme generale dispositivo</v>
      </c>
      <c r="G722" s="37" t="s">
        <v>109</v>
      </c>
      <c r="H722" s="38" t="s">
        <v>348</v>
      </c>
      <c r="I722" s="45" t="s">
        <v>347</v>
      </c>
      <c r="J722" s="46" t="s">
        <v>111</v>
      </c>
      <c r="K722" s="46" t="s">
        <v>376</v>
      </c>
      <c r="L722" s="40" t="s">
        <v>21</v>
      </c>
      <c r="M722" s="41" t="s">
        <v>22</v>
      </c>
      <c r="N722" s="42" t="s">
        <v>23</v>
      </c>
      <c r="O722" s="43" t="s">
        <v>24</v>
      </c>
      <c r="P722" s="42" t="s">
        <v>25</v>
      </c>
      <c r="Q722" s="42" t="s">
        <v>21</v>
      </c>
      <c r="R722" s="44"/>
    </row>
    <row r="723" spans="1:18" x14ac:dyDescent="0.25">
      <c r="A723" t="str">
        <f t="shared" si="22"/>
        <v>Impianto Bypass_Lampeggiante_ALR_GENERALE_2_IMP-Allarme generale dispositivo</v>
      </c>
      <c r="B723" t="str">
        <f t="shared" si="23"/>
        <v>ALR_GENERALE_2_IMP-Allarme generale dispositivo</v>
      </c>
      <c r="C723" t="str">
        <f>VLOOKUP(B723,'[2]Classi allarmi RMT-STIG_rev4'!$C:$C,1,0)</f>
        <v>ALR_GENERALE_2_IMP-Allarme generale dispositivo</v>
      </c>
      <c r="D723" t="str">
        <f>VLOOKUP(B723,'EXPORT IRIS PROD 13-11-2024'!A:A,1,0)</f>
        <v>ALR_GENERALE_2_IMP-Allarme generale dispositivo</v>
      </c>
      <c r="E723" t="str">
        <f>VLOOKUP(H723,'EXPORT IRIS PROD 13-11-2024'!F:F,1,0)</f>
        <v>ALR_GENERALE_2_IMP</v>
      </c>
      <c r="F723" t="str">
        <f>VLOOKUP(I723,'EXPORT IRIS PROD 13-11-2024'!D:D,1,0)</f>
        <v>Allarme generale dispositivo</v>
      </c>
      <c r="G723" s="37" t="s">
        <v>863</v>
      </c>
      <c r="H723" s="38" t="s">
        <v>348</v>
      </c>
      <c r="I723" s="45" t="s">
        <v>347</v>
      </c>
      <c r="J723" s="46" t="s">
        <v>274</v>
      </c>
      <c r="K723" s="46" t="s">
        <v>1245</v>
      </c>
      <c r="L723" s="40" t="s">
        <v>21</v>
      </c>
      <c r="M723" s="41" t="s">
        <v>22</v>
      </c>
      <c r="N723" s="42" t="s">
        <v>23</v>
      </c>
      <c r="O723" s="43" t="s">
        <v>24</v>
      </c>
      <c r="P723" s="42" t="s">
        <v>25</v>
      </c>
      <c r="Q723" s="42" t="s">
        <v>21</v>
      </c>
      <c r="R723" s="44"/>
    </row>
    <row r="724" spans="1:18" x14ac:dyDescent="0.25">
      <c r="A724" t="str">
        <f t="shared" si="22"/>
        <v>Impianto Bypass_Ventilatore bypass_ALR_GENERALE_2_IMP-Allarme generale dispositivo</v>
      </c>
      <c r="B724" t="str">
        <f t="shared" si="23"/>
        <v>ALR_GENERALE_2_IMP-Allarme generale dispositivo</v>
      </c>
      <c r="C724" t="str">
        <f>VLOOKUP(B724,'[2]Classi allarmi RMT-STIG_rev4'!$C:$C,1,0)</f>
        <v>ALR_GENERALE_2_IMP-Allarme generale dispositivo</v>
      </c>
      <c r="D724" t="str">
        <f>VLOOKUP(B724,'EXPORT IRIS PROD 13-11-2024'!A:A,1,0)</f>
        <v>ALR_GENERALE_2_IMP-Allarme generale dispositivo</v>
      </c>
      <c r="E724" t="str">
        <f>VLOOKUP(H724,'EXPORT IRIS PROD 13-11-2024'!F:F,1,0)</f>
        <v>ALR_GENERALE_2_IMP</v>
      </c>
      <c r="F724" t="str">
        <f>VLOOKUP(I724,'EXPORT IRIS PROD 13-11-2024'!D:D,1,0)</f>
        <v>Allarme generale dispositivo</v>
      </c>
      <c r="G724" s="37" t="s">
        <v>85</v>
      </c>
      <c r="H724" s="38" t="s">
        <v>348</v>
      </c>
      <c r="I724" s="45" t="s">
        <v>347</v>
      </c>
      <c r="J724" s="46" t="s">
        <v>274</v>
      </c>
      <c r="K724" s="46" t="s">
        <v>1293</v>
      </c>
      <c r="L724" s="40" t="s">
        <v>21</v>
      </c>
      <c r="M724" s="41" t="s">
        <v>22</v>
      </c>
      <c r="N724" s="42" t="s">
        <v>23</v>
      </c>
      <c r="O724" s="43" t="s">
        <v>24</v>
      </c>
      <c r="P724" s="42" t="s">
        <v>25</v>
      </c>
      <c r="Q724" s="42" t="s">
        <v>21</v>
      </c>
      <c r="R724" s="44"/>
    </row>
    <row r="725" spans="1:18" x14ac:dyDescent="0.25">
      <c r="A725" t="str">
        <f t="shared" si="22"/>
        <v>Impianto Bypass_Serranda bypass_ALR_GENERALE_2_IMP-Allarme generale dispositivo</v>
      </c>
      <c r="B725" t="str">
        <f t="shared" si="23"/>
        <v>ALR_GENERALE_2_IMP-Allarme generale dispositivo</v>
      </c>
      <c r="C725" t="str">
        <f>VLOOKUP(B725,'[2]Classi allarmi RMT-STIG_rev4'!$C:$C,1,0)</f>
        <v>ALR_GENERALE_2_IMP-Allarme generale dispositivo</v>
      </c>
      <c r="D725" t="str">
        <f>VLOOKUP(B725,'EXPORT IRIS PROD 13-11-2024'!A:A,1,0)</f>
        <v>ALR_GENERALE_2_IMP-Allarme generale dispositivo</v>
      </c>
      <c r="E725" t="str">
        <f>VLOOKUP(H725,'EXPORT IRIS PROD 13-11-2024'!F:F,1,0)</f>
        <v>ALR_GENERALE_2_IMP</v>
      </c>
      <c r="F725" t="str">
        <f>VLOOKUP(I725,'EXPORT IRIS PROD 13-11-2024'!D:D,1,0)</f>
        <v>Allarme generale dispositivo</v>
      </c>
      <c r="G725" s="37" t="s">
        <v>863</v>
      </c>
      <c r="H725" s="38" t="s">
        <v>348</v>
      </c>
      <c r="I725" s="45" t="s">
        <v>347</v>
      </c>
      <c r="J725" s="46" t="s">
        <v>274</v>
      </c>
      <c r="K725" s="46" t="s">
        <v>1294</v>
      </c>
      <c r="L725" s="40" t="s">
        <v>21</v>
      </c>
      <c r="M725" s="41" t="s">
        <v>22</v>
      </c>
      <c r="N725" s="42" t="s">
        <v>23</v>
      </c>
      <c r="O725" s="43" t="s">
        <v>24</v>
      </c>
      <c r="P725" s="42" t="s">
        <v>25</v>
      </c>
      <c r="Q725" s="42" t="s">
        <v>21</v>
      </c>
      <c r="R725" s="44"/>
    </row>
    <row r="726" spans="1:18" x14ac:dyDescent="0.25">
      <c r="A726" t="str">
        <f t="shared" si="22"/>
        <v>Impianto Canalizzazione_FC_ALR_GENERALE_2_IMP-Allarme generale dispositivo</v>
      </c>
      <c r="B726" t="str">
        <f t="shared" si="23"/>
        <v>ALR_GENERALE_2_IMP-Allarme generale dispositivo</v>
      </c>
      <c r="C726" t="str">
        <f>VLOOKUP(B726,'[2]Classi allarmi RMT-STIG_rev4'!$C:$C,1,0)</f>
        <v>ALR_GENERALE_2_IMP-Allarme generale dispositivo</v>
      </c>
      <c r="D726" t="str">
        <f>VLOOKUP(B726,'EXPORT IRIS PROD 13-11-2024'!A:A,1,0)</f>
        <v>ALR_GENERALE_2_IMP-Allarme generale dispositivo</v>
      </c>
      <c r="E726" t="str">
        <f>VLOOKUP(H726,'EXPORT IRIS PROD 13-11-2024'!F:F,1,0)</f>
        <v>ALR_GENERALE_2_IMP</v>
      </c>
      <c r="F726" t="str">
        <f>VLOOKUP(I726,'EXPORT IRIS PROD 13-11-2024'!D:D,1,0)</f>
        <v>Allarme generale dispositivo</v>
      </c>
      <c r="G726" s="37" t="s">
        <v>109</v>
      </c>
      <c r="H726" s="38" t="s">
        <v>348</v>
      </c>
      <c r="I726" s="45" t="s">
        <v>347</v>
      </c>
      <c r="J726" s="46" t="s">
        <v>111</v>
      </c>
      <c r="K726" s="46" t="s">
        <v>1100</v>
      </c>
      <c r="L726" s="40" t="s">
        <v>21</v>
      </c>
      <c r="M726" s="41" t="s">
        <v>22</v>
      </c>
      <c r="N726" s="42" t="s">
        <v>23</v>
      </c>
      <c r="O726" s="43" t="s">
        <v>24</v>
      </c>
      <c r="P726" s="42" t="s">
        <v>25</v>
      </c>
      <c r="Q726" s="42" t="s">
        <v>21</v>
      </c>
      <c r="R726" s="44"/>
    </row>
    <row r="727" spans="1:18" x14ac:dyDescent="0.25">
      <c r="A727" t="str">
        <f t="shared" si="22"/>
        <v>Impianto Videosorveglianza_Telecamera_ALR_GENERALE_2_IMP-Allarme generale dispositivo</v>
      </c>
      <c r="B727" t="str">
        <f t="shared" si="23"/>
        <v>ALR_GENERALE_2_IMP-Allarme generale dispositivo</v>
      </c>
      <c r="C727" t="str">
        <f>VLOOKUP(B727,'[2]Classi allarmi RMT-STIG_rev4'!$C:$C,1,0)</f>
        <v>ALR_GENERALE_2_IMP-Allarme generale dispositivo</v>
      </c>
      <c r="D727" t="str">
        <f>VLOOKUP(B727,'EXPORT IRIS PROD 13-11-2024'!A:A,1,0)</f>
        <v>ALR_GENERALE_2_IMP-Allarme generale dispositivo</v>
      </c>
      <c r="E727" t="str">
        <f>VLOOKUP(H727,'EXPORT IRIS PROD 13-11-2024'!F:F,1,0)</f>
        <v>ALR_GENERALE_2_IMP</v>
      </c>
      <c r="F727" t="str">
        <f>VLOOKUP(I727,'EXPORT IRIS PROD 13-11-2024'!D:D,1,0)</f>
        <v>Allarme generale dispositivo</v>
      </c>
      <c r="G727" s="37" t="s">
        <v>198</v>
      </c>
      <c r="H727" s="38" t="s">
        <v>348</v>
      </c>
      <c r="I727" s="45" t="s">
        <v>347</v>
      </c>
      <c r="J727" s="46" t="s">
        <v>201</v>
      </c>
      <c r="K727" s="46" t="s">
        <v>1321</v>
      </c>
      <c r="L727" s="40" t="s">
        <v>21</v>
      </c>
      <c r="M727" s="41" t="s">
        <v>22</v>
      </c>
      <c r="N727" s="42" t="s">
        <v>23</v>
      </c>
      <c r="O727" s="43" t="s">
        <v>24</v>
      </c>
      <c r="P727" s="42" t="s">
        <v>25</v>
      </c>
      <c r="Q727" s="42" t="s">
        <v>21</v>
      </c>
      <c r="R727" s="44"/>
    </row>
    <row r="728" spans="1:18" x14ac:dyDescent="0.25">
      <c r="A728" t="str">
        <f t="shared" si="22"/>
        <v>Impianto elettrico_Interruttore_ALR_GENERALE_UPS_QCA-Allarme generale UPS da QCA</v>
      </c>
      <c r="B728" t="str">
        <f t="shared" si="23"/>
        <v>ALR_GENERALE_UPS_QCA-Allarme generale UPS da QCA</v>
      </c>
      <c r="C728" t="str">
        <f>VLOOKUP(B728,'[2]Classi allarmi RMT-STIG_rev4'!$C:$C,1,0)</f>
        <v>ALR_GENERALE_UPS_QCA-Allarme generale UPS da QCA</v>
      </c>
      <c r="D728" t="str">
        <f>VLOOKUP(B728,'EXPORT IRIS PROD 13-11-2024'!A:A,1,0)</f>
        <v>ALR_GENERALE_UPS_QCA-Allarme generale UPS da QCA</v>
      </c>
      <c r="E728" t="str">
        <f>VLOOKUP(H728,'EXPORT IRIS PROD 13-11-2024'!F:F,1,0)</f>
        <v>ALR_GENERALE_UPS_QCA</v>
      </c>
      <c r="F728" t="str">
        <f>VLOOKUP(I728,'EXPORT IRIS PROD 13-11-2024'!D:D,1,0)</f>
        <v>Allarme generale UPS da QCA</v>
      </c>
      <c r="G728" s="37" t="s">
        <v>53</v>
      </c>
      <c r="H728" s="38" t="s">
        <v>1322</v>
      </c>
      <c r="I728" s="45" t="s">
        <v>1323</v>
      </c>
      <c r="J728" s="46" t="s">
        <v>1106</v>
      </c>
      <c r="K728" s="46" t="s">
        <v>355</v>
      </c>
      <c r="L728" s="40" t="s">
        <v>21</v>
      </c>
      <c r="M728" s="41" t="s">
        <v>22</v>
      </c>
      <c r="N728" s="42" t="s">
        <v>23</v>
      </c>
      <c r="O728" s="43" t="s">
        <v>24</v>
      </c>
      <c r="P728" s="42" t="s">
        <v>25</v>
      </c>
      <c r="Q728" s="42" t="s">
        <v>21</v>
      </c>
      <c r="R728" s="44"/>
    </row>
    <row r="729" spans="1:18" x14ac:dyDescent="0.25">
      <c r="A729" t="str">
        <f t="shared" si="22"/>
        <v>Impianto Ventilazione_Centralina sensori qualità aria/AIR_ALR_GUASTO_CENTRALINA_SENSORI-Allarme guasto centralina sensori</v>
      </c>
      <c r="B729" t="str">
        <f t="shared" si="23"/>
        <v>ALR_GUASTO_CENTRALINA_SENSORI-Allarme guasto centralina sensori</v>
      </c>
      <c r="C729" t="str">
        <f>VLOOKUP(B729,'[2]Classi allarmi RMT-STIG_rev4'!$C:$C,1,0)</f>
        <v>ALR_GUASTO_CENTRALINA_SENSORI-Allarme guasto centralina sensori</v>
      </c>
      <c r="D729" t="str">
        <f>VLOOKUP(B729,'EXPORT IRIS PROD 13-11-2024'!A:A,1,0)</f>
        <v>ALR_GUASTO_CENTRALINA_SENSORI-Allarme guasto centralina sensori</v>
      </c>
      <c r="E729" t="str">
        <f>VLOOKUP(H729,'EXPORT IRIS PROD 13-11-2024'!F:F,1,0)</f>
        <v>ALR_GUASTO_CENTRALINA_SENSORI</v>
      </c>
      <c r="F729" t="str">
        <f>VLOOKUP(I729,'EXPORT IRIS PROD 13-11-2024'!D:D,1,0)</f>
        <v>Allarme guasto centralina sensori</v>
      </c>
      <c r="G729" s="37" t="s">
        <v>85</v>
      </c>
      <c r="H729" s="38" t="s">
        <v>1324</v>
      </c>
      <c r="I729" s="45" t="s">
        <v>1325</v>
      </c>
      <c r="J729" s="46" t="s">
        <v>50</v>
      </c>
      <c r="K729" s="46" t="s">
        <v>1326</v>
      </c>
      <c r="L729" s="40" t="s">
        <v>21</v>
      </c>
      <c r="M729" s="41" t="s">
        <v>22</v>
      </c>
      <c r="N729" s="42" t="s">
        <v>23</v>
      </c>
      <c r="O729" s="43" t="s">
        <v>24</v>
      </c>
      <c r="P729" s="42" t="s">
        <v>25</v>
      </c>
      <c r="Q729" s="42" t="s">
        <v>21</v>
      </c>
      <c r="R729" s="44"/>
    </row>
    <row r="730" spans="1:18" x14ac:dyDescent="0.25">
      <c r="A730" t="str">
        <f t="shared" si="22"/>
        <v>Impianto illuminazione_Centralina illuminazione_ALR_GUASTO_DRIVER-Allarme guasto driver</v>
      </c>
      <c r="B730" t="str">
        <f t="shared" si="23"/>
        <v>ALR_GUASTO_DRIVER-Allarme guasto driver</v>
      </c>
      <c r="C730" t="str">
        <f>VLOOKUP(B730,'[2]Classi allarmi RMT-STIG_rev4'!$C:$C,1,0)</f>
        <v>ALR_GUASTO_DRIVER-Allarme guasto driver</v>
      </c>
      <c r="D730" t="str">
        <f>VLOOKUP(B730,'EXPORT IRIS PROD 13-11-2024'!A:A,1,0)</f>
        <v>ALR_GUASTO_DRIVER-Allarme guasto driver</v>
      </c>
      <c r="E730" t="str">
        <f>VLOOKUP(H730,'EXPORT IRIS PROD 13-11-2024'!F:F,1,0)</f>
        <v>ALR_GUASTO_DRIVER</v>
      </c>
      <c r="F730" t="str">
        <f>VLOOKUP(I730,'EXPORT IRIS PROD 13-11-2024'!D:D,1,0)</f>
        <v>Allarme guasto driver</v>
      </c>
      <c r="G730" s="37" t="s">
        <v>115</v>
      </c>
      <c r="H730" s="38" t="s">
        <v>1327</v>
      </c>
      <c r="I730" s="45" t="s">
        <v>1328</v>
      </c>
      <c r="J730" s="46" t="s">
        <v>1142</v>
      </c>
      <c r="K730" s="46" t="s">
        <v>1286</v>
      </c>
      <c r="L730" s="40" t="s">
        <v>21</v>
      </c>
      <c r="M730" s="41" t="s">
        <v>22</v>
      </c>
      <c r="N730" s="42" t="s">
        <v>23</v>
      </c>
      <c r="O730" s="43" t="s">
        <v>24</v>
      </c>
      <c r="P730" s="42" t="s">
        <v>25</v>
      </c>
      <c r="Q730" s="42" t="s">
        <v>21</v>
      </c>
      <c r="R730" s="44"/>
    </row>
    <row r="731" spans="1:18" x14ac:dyDescent="0.25">
      <c r="A731" t="str">
        <f t="shared" si="22"/>
        <v>Impianto illuminazione_Centralina illuminazione_ALR_GUASTO_LAMPADE-Allarme guasto lampade</v>
      </c>
      <c r="B731" t="str">
        <f t="shared" si="23"/>
        <v>ALR_GUASTO_LAMPADE-Allarme guasto lampade</v>
      </c>
      <c r="C731" t="str">
        <f>VLOOKUP(B731,'[2]Classi allarmi RMT-STIG_rev4'!$C:$C,1,0)</f>
        <v>ALR_GUASTO_LAMPADE-Allarme guasto lampade</v>
      </c>
      <c r="D731" t="str">
        <f>VLOOKUP(B731,'EXPORT IRIS PROD 13-11-2024'!A:A,1,0)</f>
        <v>ALR_GUASTO_LAMPADE-Allarme guasto lampade</v>
      </c>
      <c r="E731" t="str">
        <f>VLOOKUP(H731,'EXPORT IRIS PROD 13-11-2024'!F:F,1,0)</f>
        <v>ALR_GUASTO_LAMPADE</v>
      </c>
      <c r="F731" t="str">
        <f>VLOOKUP(I731,'EXPORT IRIS PROD 13-11-2024'!D:D,1,0)</f>
        <v>Allarme guasto lampade</v>
      </c>
      <c r="G731" s="37" t="s">
        <v>115</v>
      </c>
      <c r="H731" s="38" t="s">
        <v>1329</v>
      </c>
      <c r="I731" s="45" t="s">
        <v>1330</v>
      </c>
      <c r="J731" s="46" t="s">
        <v>1142</v>
      </c>
      <c r="K731" s="46" t="s">
        <v>1286</v>
      </c>
      <c r="L731" s="40" t="s">
        <v>21</v>
      </c>
      <c r="M731" s="41" t="s">
        <v>22</v>
      </c>
      <c r="N731" s="42" t="s">
        <v>23</v>
      </c>
      <c r="O731" s="43" t="s">
        <v>24</v>
      </c>
      <c r="P731" s="42" t="s">
        <v>25</v>
      </c>
      <c r="Q731" s="42" t="s">
        <v>21</v>
      </c>
      <c r="R731" s="44"/>
    </row>
    <row r="732" spans="1:18" x14ac:dyDescent="0.25">
      <c r="A732" t="str">
        <f t="shared" si="22"/>
        <v>Impianto bypass_Lampeggiante _ALR_GUASTO_LAMPADE-Allarme guasto lampade</v>
      </c>
      <c r="B732" t="str">
        <f t="shared" si="23"/>
        <v>ALR_GUASTO_LAMPADE-Allarme guasto lampade</v>
      </c>
      <c r="C732" t="str">
        <f>VLOOKUP(B732,'[2]Classi allarmi RMT-STIG_rev4'!$C:$C,1,0)</f>
        <v>ALR_GUASTO_LAMPADE-Allarme guasto lampade</v>
      </c>
      <c r="D732" t="str">
        <f>VLOOKUP(B732,'EXPORT IRIS PROD 13-11-2024'!A:A,1,0)</f>
        <v>ALR_GUASTO_LAMPADE-Allarme guasto lampade</v>
      </c>
      <c r="E732" t="str">
        <f>VLOOKUP(H732,'EXPORT IRIS PROD 13-11-2024'!F:F,1,0)</f>
        <v>ALR_GUASTO_LAMPADE</v>
      </c>
      <c r="F732" t="str">
        <f>VLOOKUP(I732,'EXPORT IRIS PROD 13-11-2024'!D:D,1,0)</f>
        <v>Allarme guasto lampade</v>
      </c>
      <c r="G732" s="37" t="s">
        <v>863</v>
      </c>
      <c r="H732" s="38" t="s">
        <v>1329</v>
      </c>
      <c r="I732" s="45" t="s">
        <v>1330</v>
      </c>
      <c r="J732" s="46" t="s">
        <v>1331</v>
      </c>
      <c r="K732" s="46" t="s">
        <v>1332</v>
      </c>
      <c r="L732" s="40" t="s">
        <v>21</v>
      </c>
      <c r="M732" s="41" t="s">
        <v>22</v>
      </c>
      <c r="N732" s="42" t="s">
        <v>23</v>
      </c>
      <c r="O732" s="43" t="s">
        <v>24</v>
      </c>
      <c r="P732" s="42" t="s">
        <v>25</v>
      </c>
      <c r="Q732" s="42" t="s">
        <v>21</v>
      </c>
      <c r="R732" s="44"/>
    </row>
    <row r="733" spans="1:18" x14ac:dyDescent="0.25">
      <c r="A733" t="str">
        <f t="shared" si="22"/>
        <v>Impianto Rilevazione Incendio_Centralina rilevazione incendio in cabina_ALR_GUASTO_SIRENA-Allarme guasto sirena</v>
      </c>
      <c r="B733" t="str">
        <f t="shared" si="23"/>
        <v>ALR_GUASTO_SIRENA-Allarme guasto sirena</v>
      </c>
      <c r="C733" t="str">
        <f>VLOOKUP(B733,'[2]Classi allarmi RMT-STIG_rev4'!$C:$C,1,0)</f>
        <v>ALR_GUASTO_SIRENA-Allarme guasto sirena</v>
      </c>
      <c r="D733" t="str">
        <f>VLOOKUP(B733,'EXPORT IRIS PROD 13-11-2024'!A:A,1,0)</f>
        <v>ALR_GUASTO_SIRENA-Allarme guasto sirena</v>
      </c>
      <c r="E733" t="str">
        <f>VLOOKUP(H733,'EXPORT IRIS PROD 13-11-2024'!F:F,1,0)</f>
        <v>ALR_GUASTO_SIRENA</v>
      </c>
      <c r="F733" t="str">
        <f>VLOOKUP(I733,'EXPORT IRIS PROD 13-11-2024'!D:D,1,0)</f>
        <v>Allarme guasto sirena</v>
      </c>
      <c r="G733" s="37" t="s">
        <v>105</v>
      </c>
      <c r="H733" s="38" t="s">
        <v>1333</v>
      </c>
      <c r="I733" s="45" t="s">
        <v>1334</v>
      </c>
      <c r="J733" s="46" t="s">
        <v>43</v>
      </c>
      <c r="K733" s="46" t="s">
        <v>44</v>
      </c>
      <c r="L733" s="40" t="s">
        <v>21</v>
      </c>
      <c r="M733" s="41" t="s">
        <v>22</v>
      </c>
      <c r="N733" s="42" t="s">
        <v>23</v>
      </c>
      <c r="O733" s="43" t="s">
        <v>157</v>
      </c>
      <c r="P733" s="42" t="s">
        <v>158</v>
      </c>
      <c r="Q733" s="42" t="s">
        <v>21</v>
      </c>
      <c r="R733" s="44"/>
    </row>
    <row r="734" spans="1:18" x14ac:dyDescent="0.25">
      <c r="A734" t="str">
        <f t="shared" si="22"/>
        <v>Impianto videosorveglianza_TVCC generale_ALR_GUASTO_TVCC-Allarme guasto telecamera</v>
      </c>
      <c r="B734" t="str">
        <f t="shared" si="23"/>
        <v>ALR_GUASTO_TVCC-Allarme guasto telecamera</v>
      </c>
      <c r="C734" t="str">
        <f>VLOOKUP(B734,'[2]Classi allarmi RMT-STIG_rev4'!$C:$C,1,0)</f>
        <v>ALR_GUASTO_TVCC-Allarme guasto telecamera</v>
      </c>
      <c r="D734" t="str">
        <f>VLOOKUP(B734,'EXPORT IRIS PROD 13-11-2024'!A:A,1,0)</f>
        <v>ALR_GUASTO_TVCC-Allarme guasto telecamera</v>
      </c>
      <c r="E734" t="str">
        <f>VLOOKUP(H734,'EXPORT IRIS PROD 13-11-2024'!F:F,1,0)</f>
        <v>ALR_GUASTO_TVCC</v>
      </c>
      <c r="F734" t="str">
        <f>VLOOKUP(I734,'EXPORT IRIS PROD 13-11-2024'!D:D,1,0)</f>
        <v>Allarme guasto telecamera</v>
      </c>
      <c r="G734" s="37" t="s">
        <v>198</v>
      </c>
      <c r="H734" s="38" t="s">
        <v>1335</v>
      </c>
      <c r="I734" s="45" t="s">
        <v>1336</v>
      </c>
      <c r="J734" s="46" t="s">
        <v>1337</v>
      </c>
      <c r="K734" s="46" t="s">
        <v>1338</v>
      </c>
      <c r="L734" s="40" t="s">
        <v>21</v>
      </c>
      <c r="M734" s="41" t="s">
        <v>22</v>
      </c>
      <c r="N734" s="42" t="s">
        <v>23</v>
      </c>
      <c r="O734" s="43" t="s">
        <v>24</v>
      </c>
      <c r="P734" s="42" t="s">
        <v>25</v>
      </c>
      <c r="Q734" s="42" t="s">
        <v>21</v>
      </c>
      <c r="R734" s="44"/>
    </row>
    <row r="735" spans="1:18" x14ac:dyDescent="0.25">
      <c r="A735" t="str">
        <f t="shared" si="22"/>
        <v>Impianto illuminazione_Picchetti luminosi_ALR_GUASTO_VERSO_CE_NORD-Allarme guasto dispositivo verso cabina nord</v>
      </c>
      <c r="B735" t="str">
        <f t="shared" si="23"/>
        <v>ALR_GUASTO_VERSO_CE_NORD-Allarme guasto dispositivo verso cabina nord</v>
      </c>
      <c r="C735" t="str">
        <f>VLOOKUP(B735,'[2]Classi allarmi RMT-STIG_rev4'!$C:$C,1,0)</f>
        <v>ALR_GUASTO_VERSO_CE_NORD-Allarme guasto dispositivo verso cabina nord</v>
      </c>
      <c r="D735" t="str">
        <f>VLOOKUP(B735,'EXPORT IRIS PROD 13-11-2024'!A:A,1,0)</f>
        <v>ALR_GUASTO_VERSO_CE_NORD-Allarme guasto dispositivo verso cabina nord</v>
      </c>
      <c r="E735" t="str">
        <f>VLOOKUP(H735,'EXPORT IRIS PROD 13-11-2024'!F:F,1,0)</f>
        <v>ALR_GUASTO_VERSO_CE_NORD</v>
      </c>
      <c r="F735" t="str">
        <f>VLOOKUP(I735,'EXPORT IRIS PROD 13-11-2024'!D:D,1,0)</f>
        <v>Allarme guasto dispositivo verso cabina nord</v>
      </c>
      <c r="G735" s="37" t="s">
        <v>115</v>
      </c>
      <c r="H735" s="38" t="s">
        <v>1339</v>
      </c>
      <c r="I735" s="45" t="s">
        <v>1340</v>
      </c>
      <c r="J735" s="46" t="s">
        <v>1142</v>
      </c>
      <c r="K735" s="46" t="s">
        <v>715</v>
      </c>
      <c r="L735" s="40" t="s">
        <v>21</v>
      </c>
      <c r="M735" s="41" t="s">
        <v>22</v>
      </c>
      <c r="N735" s="42" t="s">
        <v>23</v>
      </c>
      <c r="O735" s="43" t="s">
        <v>24</v>
      </c>
      <c r="P735" s="42" t="s">
        <v>25</v>
      </c>
      <c r="Q735" s="42" t="s">
        <v>21</v>
      </c>
      <c r="R735" s="44"/>
    </row>
    <row r="736" spans="1:18" x14ac:dyDescent="0.25">
      <c r="A736" t="str">
        <f t="shared" si="22"/>
        <v>Impianto rete dati_PLC bypass_ALR_GUASTO_VERSO_CE_NORD-Allarme guasto dispositivo verso cabina nord</v>
      </c>
      <c r="B736" t="str">
        <f t="shared" si="23"/>
        <v>ALR_GUASTO_VERSO_CE_NORD-Allarme guasto dispositivo verso cabina nord</v>
      </c>
      <c r="C736" t="str">
        <f>VLOOKUP(B736,'[2]Classi allarmi RMT-STIG_rev4'!$C:$C,1,0)</f>
        <v>ALR_GUASTO_VERSO_CE_NORD-Allarme guasto dispositivo verso cabina nord</v>
      </c>
      <c r="D736" t="str">
        <f>VLOOKUP(B736,'EXPORT IRIS PROD 13-11-2024'!A:A,1,0)</f>
        <v>ALR_GUASTO_VERSO_CE_NORD-Allarme guasto dispositivo verso cabina nord</v>
      </c>
      <c r="E736" t="str">
        <f>VLOOKUP(H736,'EXPORT IRIS PROD 13-11-2024'!F:F,1,0)</f>
        <v>ALR_GUASTO_VERSO_CE_NORD</v>
      </c>
      <c r="F736" t="str">
        <f>VLOOKUP(I736,'EXPORT IRIS PROD 13-11-2024'!D:D,1,0)</f>
        <v>Allarme guasto dispositivo verso cabina nord</v>
      </c>
      <c r="G736" s="37" t="s">
        <v>16</v>
      </c>
      <c r="H736" s="38" t="s">
        <v>1339</v>
      </c>
      <c r="I736" s="45" t="s">
        <v>1340</v>
      </c>
      <c r="J736" s="46" t="s">
        <v>1156</v>
      </c>
      <c r="K736" s="46" t="s">
        <v>1147</v>
      </c>
      <c r="L736" s="40" t="s">
        <v>21</v>
      </c>
      <c r="M736" s="41" t="s">
        <v>22</v>
      </c>
      <c r="N736" s="42" t="s">
        <v>23</v>
      </c>
      <c r="O736" s="43" t="s">
        <v>24</v>
      </c>
      <c r="P736" s="42" t="s">
        <v>25</v>
      </c>
      <c r="Q736" s="42" t="s">
        <v>21</v>
      </c>
      <c r="R736" s="44"/>
    </row>
    <row r="737" spans="1:18" x14ac:dyDescent="0.25">
      <c r="A737" t="str">
        <f t="shared" si="22"/>
        <v>Impianto illuminazione_Picchetti luminosi_ALR_GUASTO_VERSO_CE_SUD-Allarme guasto dispositivo verso cabina sud</v>
      </c>
      <c r="B737" t="str">
        <f t="shared" si="23"/>
        <v>ALR_GUASTO_VERSO_CE_SUD-Allarme guasto dispositivo verso cabina sud</v>
      </c>
      <c r="C737" t="str">
        <f>VLOOKUP(B737,'[2]Classi allarmi RMT-STIG_rev4'!$C:$C,1,0)</f>
        <v>ALR_GUASTO_VERSO_CE_SUD-Allarme guasto dispositivo verso cabina sud</v>
      </c>
      <c r="D737" t="str">
        <f>VLOOKUP(B737,'EXPORT IRIS PROD 13-11-2024'!A:A,1,0)</f>
        <v>ALR_GUASTO_VERSO_CE_SUD-Allarme guasto dispositivo verso cabina sud</v>
      </c>
      <c r="E737" t="str">
        <f>VLOOKUP(H737,'EXPORT IRIS PROD 13-11-2024'!F:F,1,0)</f>
        <v>ALR_GUASTO_VERSO_CE_SUD</v>
      </c>
      <c r="F737" t="str">
        <f>VLOOKUP(I737,'EXPORT IRIS PROD 13-11-2024'!D:D,1,0)</f>
        <v>Allarme guasto dispositivo verso cabina sud</v>
      </c>
      <c r="G737" s="37" t="s">
        <v>115</v>
      </c>
      <c r="H737" s="38" t="s">
        <v>1341</v>
      </c>
      <c r="I737" s="45" t="s">
        <v>1342</v>
      </c>
      <c r="J737" s="46" t="s">
        <v>1142</v>
      </c>
      <c r="K737" s="46" t="s">
        <v>715</v>
      </c>
      <c r="L737" s="40" t="s">
        <v>21</v>
      </c>
      <c r="M737" s="41" t="s">
        <v>22</v>
      </c>
      <c r="N737" s="42" t="s">
        <v>23</v>
      </c>
      <c r="O737" s="43" t="s">
        <v>24</v>
      </c>
      <c r="P737" s="42" t="s">
        <v>25</v>
      </c>
      <c r="Q737" s="42" t="s">
        <v>21</v>
      </c>
      <c r="R737" s="44"/>
    </row>
    <row r="738" spans="1:18" x14ac:dyDescent="0.25">
      <c r="A738" t="str">
        <f t="shared" si="22"/>
        <v>Impianto rete dati_PLC bypass_ALR_GUASTO_VERSO_CE_SUD-Allarme guasto dispositivo verso cabina sud</v>
      </c>
      <c r="B738" t="str">
        <f t="shared" si="23"/>
        <v>ALR_GUASTO_VERSO_CE_SUD-Allarme guasto dispositivo verso cabina sud</v>
      </c>
      <c r="C738" t="str">
        <f>VLOOKUP(B738,'[2]Classi allarmi RMT-STIG_rev4'!$C:$C,1,0)</f>
        <v>ALR_GUASTO_VERSO_CE_SUD-Allarme guasto dispositivo verso cabina sud</v>
      </c>
      <c r="D738" t="str">
        <f>VLOOKUP(B738,'EXPORT IRIS PROD 13-11-2024'!A:A,1,0)</f>
        <v>ALR_GUASTO_VERSO_CE_SUD-Allarme guasto dispositivo verso cabina sud</v>
      </c>
      <c r="E738" t="str">
        <f>VLOOKUP(H738,'EXPORT IRIS PROD 13-11-2024'!F:F,1,0)</f>
        <v>ALR_GUASTO_VERSO_CE_SUD</v>
      </c>
      <c r="F738" t="str">
        <f>VLOOKUP(I738,'EXPORT IRIS PROD 13-11-2024'!D:D,1,0)</f>
        <v>Allarme guasto dispositivo verso cabina sud</v>
      </c>
      <c r="G738" s="37" t="s">
        <v>16</v>
      </c>
      <c r="H738" s="38" t="s">
        <v>1341</v>
      </c>
      <c r="I738" s="45" t="s">
        <v>1342</v>
      </c>
      <c r="J738" s="46" t="s">
        <v>1156</v>
      </c>
      <c r="K738" s="46" t="s">
        <v>1147</v>
      </c>
      <c r="L738" s="40" t="s">
        <v>21</v>
      </c>
      <c r="M738" s="41" t="s">
        <v>22</v>
      </c>
      <c r="N738" s="42" t="s">
        <v>23</v>
      </c>
      <c r="O738" s="43" t="s">
        <v>24</v>
      </c>
      <c r="P738" s="42" t="s">
        <v>25</v>
      </c>
      <c r="Q738" s="42" t="s">
        <v>21</v>
      </c>
      <c r="R738" s="44"/>
    </row>
    <row r="739" spans="1:18" x14ac:dyDescent="0.25">
      <c r="A739" t="str">
        <f t="shared" si="22"/>
        <v>Impianto Rilevazione Incendio_Centralina rilevazione incendio/fibrolaser_ALR_INCENDIO_ALTRA_CANNA-Allarme incendio altra canna</v>
      </c>
      <c r="B739" t="str">
        <f t="shared" si="23"/>
        <v>ALR_INCENDIO_ALTRA_CANNA-Allarme incendio altra canna</v>
      </c>
      <c r="C739" t="str">
        <f>VLOOKUP(B739,'[2]Classi allarmi RMT-STIG_rev4'!$C:$C,1,0)</f>
        <v>ALR_INCENDIO_ALTRA_CANNA-Allarme incendio altra canna</v>
      </c>
      <c r="D739" t="str">
        <f>VLOOKUP(B739,'EXPORT IRIS PROD 13-11-2024'!A:A,1,0)</f>
        <v>ALR_INCENDIO_ALTRA_CANNA-Allarme incendio altra canna</v>
      </c>
      <c r="E739" t="str">
        <f>VLOOKUP(H739,'EXPORT IRIS PROD 13-11-2024'!F:F,1,0)</f>
        <v>ALR_INCENDIO_ALTRA_CANNA</v>
      </c>
      <c r="F739" t="str">
        <f>VLOOKUP(I739,'EXPORT IRIS PROD 13-11-2024'!D:D,1,0)</f>
        <v>Allarme incendio altra canna</v>
      </c>
      <c r="G739" s="37" t="s">
        <v>40</v>
      </c>
      <c r="H739" s="38" t="s">
        <v>1343</v>
      </c>
      <c r="I739" s="45" t="s">
        <v>1344</v>
      </c>
      <c r="J739" s="46" t="s">
        <v>43</v>
      </c>
      <c r="K739" s="46" t="s">
        <v>394</v>
      </c>
      <c r="L739" s="47" t="s">
        <v>31</v>
      </c>
      <c r="M739" s="48" t="s">
        <v>32</v>
      </c>
      <c r="N739" s="43">
        <v>2</v>
      </c>
      <c r="O739" s="43" t="s">
        <v>45</v>
      </c>
      <c r="P739" s="43" t="s">
        <v>46</v>
      </c>
      <c r="Q739" s="43" t="s">
        <v>31</v>
      </c>
      <c r="R739" s="49"/>
    </row>
    <row r="740" spans="1:18" x14ac:dyDescent="0.25">
      <c r="A740" t="str">
        <f t="shared" si="22"/>
        <v>Impianto Rilevazione Incendio_Zona incendio_ALR_INCENDIO_DA_FORZATURA-Allarme incendio in galleria da forzatura</v>
      </c>
      <c r="B740" t="str">
        <f t="shared" si="23"/>
        <v>ALR_INCENDIO_DA_FORZATURA-Allarme incendio in galleria da forzatura</v>
      </c>
      <c r="C740" t="str">
        <f>VLOOKUP(B740,'[2]Classi allarmi RMT-STIG_rev4'!$C:$C,1,0)</f>
        <v>ALR_INCENDIO_DA_FORZATURA-Allarme incendio in galleria da forzatura</v>
      </c>
      <c r="D740" t="str">
        <f>VLOOKUP(B740,'EXPORT IRIS PROD 13-11-2024'!A:A,1,0)</f>
        <v>ALR_INCENDIO_DA_FORZATURA-Allarme incendio in galleria da forzatura</v>
      </c>
      <c r="E740" t="str">
        <f>VLOOKUP(H740,'EXPORT IRIS PROD 13-11-2024'!F:F,1,0)</f>
        <v>ALR_INCENDIO_DA_FORZATURA</v>
      </c>
      <c r="F740" t="str">
        <f>VLOOKUP(I740,'EXPORT IRIS PROD 13-11-2024'!D:D,1,0)</f>
        <v>Allarme incendio in galleria da forzatura</v>
      </c>
      <c r="G740" s="37" t="s">
        <v>40</v>
      </c>
      <c r="H740" s="38" t="s">
        <v>1345</v>
      </c>
      <c r="I740" s="45" t="s">
        <v>1346</v>
      </c>
      <c r="J740" s="46" t="s">
        <v>43</v>
      </c>
      <c r="K740" s="46" t="s">
        <v>1347</v>
      </c>
      <c r="L740" s="47" t="s">
        <v>31</v>
      </c>
      <c r="M740" s="48" t="s">
        <v>32</v>
      </c>
      <c r="N740" s="43">
        <v>2</v>
      </c>
      <c r="O740" s="43" t="s">
        <v>45</v>
      </c>
      <c r="P740" s="43" t="s">
        <v>46</v>
      </c>
      <c r="Q740" s="43" t="s">
        <v>31</v>
      </c>
      <c r="R740" s="49"/>
    </row>
    <row r="741" spans="1:18" x14ac:dyDescent="0.25">
      <c r="A741" t="str">
        <f t="shared" si="22"/>
        <v>Impianto Ventilazione_Ventilatore_ALR_INCENDIO_VENTILATORE-Allarme incendio ventilatore</v>
      </c>
      <c r="B741" t="str">
        <f t="shared" si="23"/>
        <v>ALR_INCENDIO_VENTILATORE-Allarme incendio ventilatore</v>
      </c>
      <c r="C741" t="str">
        <f>VLOOKUP(B741,'[2]Classi allarmi RMT-STIG_rev4'!$C:$C,1,0)</f>
        <v>ALR_INCENDIO_VENTILATORE-Allarme incendio ventilatore</v>
      </c>
      <c r="D741" t="str">
        <f>VLOOKUP(B741,'EXPORT IRIS PROD 13-11-2024'!A:A,1,0)</f>
        <v>ALR_INCENDIO_VENTILATORE-Allarme incendio ventilatore</v>
      </c>
      <c r="E741" t="str">
        <f>VLOOKUP(H741,'EXPORT IRIS PROD 13-11-2024'!F:F,1,0)</f>
        <v>ALR_INCENDIO_VENTILATORE</v>
      </c>
      <c r="F741" t="str">
        <f>VLOOKUP(I741,'EXPORT IRIS PROD 13-11-2024'!D:D,1,0)</f>
        <v>Allarme incendio ventilatore</v>
      </c>
      <c r="G741" s="37" t="s">
        <v>280</v>
      </c>
      <c r="H741" s="38" t="s">
        <v>1348</v>
      </c>
      <c r="I741" s="45" t="s">
        <v>1349</v>
      </c>
      <c r="J741" s="46" t="s">
        <v>50</v>
      </c>
      <c r="K741" s="46" t="s">
        <v>124</v>
      </c>
      <c r="L741" s="40" t="s">
        <v>21</v>
      </c>
      <c r="M741" s="41" t="s">
        <v>22</v>
      </c>
      <c r="N741" s="42" t="s">
        <v>23</v>
      </c>
      <c r="O741" s="43" t="s">
        <v>24</v>
      </c>
      <c r="P741" s="42" t="s">
        <v>25</v>
      </c>
      <c r="Q741" s="42" t="s">
        <v>21</v>
      </c>
      <c r="R741" s="44"/>
    </row>
    <row r="742" spans="1:18" x14ac:dyDescent="0.25">
      <c r="A742" t="str">
        <f t="shared" si="22"/>
        <v xml:space="preserve">Impianto SOS_SOS generale_ALR_INCIDENTE_CORSIA_NORD-Allarme incidente corsia Nord </v>
      </c>
      <c r="B742" t="str">
        <f t="shared" si="23"/>
        <v xml:space="preserve">ALR_INCIDENTE_CORSIA_NORD-Allarme incidente corsia Nord </v>
      </c>
      <c r="C742" t="str">
        <f>VLOOKUP(B742,'[2]Classi allarmi RMT-STIG_rev4'!$C:$C,1,0)</f>
        <v xml:space="preserve">ALR_INCIDENTE_CORSIA_NORD-Allarme incidente corsia Nord </v>
      </c>
      <c r="D742" t="str">
        <f>VLOOKUP(B742,'EXPORT IRIS PROD 13-11-2024'!A:A,1,0)</f>
        <v xml:space="preserve">ALR_INCIDENTE_CORSIA_NORD-Allarme incidente corsia Nord </v>
      </c>
      <c r="E742" t="str">
        <f>VLOOKUP(H742,'EXPORT IRIS PROD 13-11-2024'!F:F,1,0)</f>
        <v>ALR_INCIDENTE_CORSIA_NORD</v>
      </c>
      <c r="F742" t="str">
        <f>VLOOKUP(I742,'EXPORT IRIS PROD 13-11-2024'!D:D,1,0)</f>
        <v xml:space="preserve">Allarme incidente corsia Nord </v>
      </c>
      <c r="G742" s="37" t="s">
        <v>26</v>
      </c>
      <c r="H742" s="38" t="s">
        <v>1350</v>
      </c>
      <c r="I742" s="45" t="s">
        <v>1351</v>
      </c>
      <c r="J742" s="46" t="s">
        <v>29</v>
      </c>
      <c r="K742" s="46" t="s">
        <v>1067</v>
      </c>
      <c r="L742" s="47" t="s">
        <v>31</v>
      </c>
      <c r="M742" s="48" t="s">
        <v>32</v>
      </c>
      <c r="N742" s="43">
        <v>1</v>
      </c>
      <c r="O742" s="43" t="s">
        <v>33</v>
      </c>
      <c r="P742" s="43" t="s">
        <v>34</v>
      </c>
      <c r="Q742" s="43" t="s">
        <v>31</v>
      </c>
      <c r="R742" s="44"/>
    </row>
    <row r="743" spans="1:18" x14ac:dyDescent="0.25">
      <c r="A743" t="str">
        <f t="shared" si="22"/>
        <v xml:space="preserve">Impianto SOS_SOS generale_ALR_INCIDENTE_CORSIA_SUD-Allarme incidente corsia Sud </v>
      </c>
      <c r="B743" t="str">
        <f t="shared" si="23"/>
        <v xml:space="preserve">ALR_INCIDENTE_CORSIA_SUD-Allarme incidente corsia Sud </v>
      </c>
      <c r="C743" t="str">
        <f>VLOOKUP(B743,'[2]Classi allarmi RMT-STIG_rev4'!$C:$C,1,0)</f>
        <v xml:space="preserve">ALR_INCIDENTE_CORSIA_SUD-Allarme incidente corsia Sud </v>
      </c>
      <c r="D743" t="str">
        <f>VLOOKUP(B743,'EXPORT IRIS PROD 13-11-2024'!A:A,1,0)</f>
        <v xml:space="preserve">ALR_INCIDENTE_CORSIA_SUD-Allarme incidente corsia Sud </v>
      </c>
      <c r="E743" t="str">
        <f>VLOOKUP(H743,'EXPORT IRIS PROD 13-11-2024'!F:F,1,0)</f>
        <v>ALR_INCIDENTE_CORSIA_SUD</v>
      </c>
      <c r="F743" t="str">
        <f>VLOOKUP(I743,'EXPORT IRIS PROD 13-11-2024'!D:D,1,0)</f>
        <v xml:space="preserve">Allarme incidente corsia Sud </v>
      </c>
      <c r="G743" s="37" t="s">
        <v>26</v>
      </c>
      <c r="H743" s="38" t="s">
        <v>1352</v>
      </c>
      <c r="I743" s="45" t="s">
        <v>1353</v>
      </c>
      <c r="J743" s="46" t="s">
        <v>29</v>
      </c>
      <c r="K743" s="46" t="s">
        <v>1067</v>
      </c>
      <c r="L743" s="47" t="s">
        <v>31</v>
      </c>
      <c r="M743" s="48" t="s">
        <v>32</v>
      </c>
      <c r="N743" s="43">
        <v>1</v>
      </c>
      <c r="O743" s="43" t="s">
        <v>33</v>
      </c>
      <c r="P743" s="43" t="s">
        <v>34</v>
      </c>
      <c r="Q743" s="43" t="s">
        <v>31</v>
      </c>
      <c r="R743" s="44"/>
    </row>
    <row r="744" spans="1:18" x14ac:dyDescent="0.25">
      <c r="A744" t="str">
        <f t="shared" si="22"/>
        <v>Impianto SOS_SOS generale_ALR_INCIDENTE_DX-Allarme incidente lato destro</v>
      </c>
      <c r="B744" t="str">
        <f t="shared" si="23"/>
        <v>ALR_INCIDENTE_DX-Allarme incidente lato destro</v>
      </c>
      <c r="C744" t="str">
        <f>VLOOKUP(B744,'[2]Classi allarmi RMT-STIG_rev4'!$C:$C,1,0)</f>
        <v>ALR_INCIDENTE_DX-Allarme incidente lato destro</v>
      </c>
      <c r="D744" t="str">
        <f>VLOOKUP(B744,'EXPORT IRIS PROD 13-11-2024'!A:A,1,0)</f>
        <v>ALR_INCIDENTE_DX-Allarme incidente lato destro</v>
      </c>
      <c r="E744" t="str">
        <f>VLOOKUP(H744,'EXPORT IRIS PROD 13-11-2024'!F:F,1,0)</f>
        <v>ALR_INCIDENTE_DX</v>
      </c>
      <c r="F744" t="str">
        <f>VLOOKUP(I744,'EXPORT IRIS PROD 13-11-2024'!D:D,1,0)</f>
        <v>Allarme incidente lato destro</v>
      </c>
      <c r="G744" s="37" t="s">
        <v>26</v>
      </c>
      <c r="H744" s="38" t="s">
        <v>1354</v>
      </c>
      <c r="I744" s="45" t="s">
        <v>1355</v>
      </c>
      <c r="J744" s="46" t="s">
        <v>29</v>
      </c>
      <c r="K744" s="46" t="s">
        <v>1067</v>
      </c>
      <c r="L744" s="47" t="s">
        <v>31</v>
      </c>
      <c r="M744" s="48" t="s">
        <v>32</v>
      </c>
      <c r="N744" s="43">
        <v>1</v>
      </c>
      <c r="O744" s="43" t="s">
        <v>33</v>
      </c>
      <c r="P744" s="43" t="s">
        <v>34</v>
      </c>
      <c r="Q744" s="43" t="s">
        <v>31</v>
      </c>
      <c r="R744" s="44"/>
    </row>
    <row r="745" spans="1:18" x14ac:dyDescent="0.25">
      <c r="A745" t="str">
        <f t="shared" si="22"/>
        <v>Impianto SOS_SOS generale_ALR_INCIDENTE_DX_QUADRI-Allarme incidente lato destro quadri</v>
      </c>
      <c r="B745" t="str">
        <f t="shared" si="23"/>
        <v>ALR_INCIDENTE_DX_QUADRI-Allarme incidente lato destro quadri</v>
      </c>
      <c r="C745" t="str">
        <f>VLOOKUP(B745,'[2]Classi allarmi RMT-STIG_rev4'!$C:$C,1,0)</f>
        <v>ALR_INCIDENTE_DX_QUADRI-Allarme incidente lato destro quadri</v>
      </c>
      <c r="D745" t="str">
        <f>VLOOKUP(B745,'EXPORT IRIS PROD 13-11-2024'!A:A,1,0)</f>
        <v>ALR_INCIDENTE_DX_QUADRI-Allarme incidente lato destro quadri</v>
      </c>
      <c r="E745" t="str">
        <f>VLOOKUP(H745,'EXPORT IRIS PROD 13-11-2024'!F:F,1,0)</f>
        <v>ALR_INCIDENTE_DX_QUADRI</v>
      </c>
      <c r="F745" t="str">
        <f>VLOOKUP(I745,'EXPORT IRIS PROD 13-11-2024'!D:D,1,0)</f>
        <v>Allarme incidente lato destro quadri</v>
      </c>
      <c r="G745" s="37" t="s">
        <v>26</v>
      </c>
      <c r="H745" s="38" t="s">
        <v>1356</v>
      </c>
      <c r="I745" s="45" t="s">
        <v>1357</v>
      </c>
      <c r="J745" s="46" t="s">
        <v>29</v>
      </c>
      <c r="K745" s="46" t="s">
        <v>1067</v>
      </c>
      <c r="L745" s="47" t="s">
        <v>31</v>
      </c>
      <c r="M745" s="48" t="s">
        <v>32</v>
      </c>
      <c r="N745" s="43">
        <v>1</v>
      </c>
      <c r="O745" s="43" t="s">
        <v>33</v>
      </c>
      <c r="P745" s="43" t="s">
        <v>34</v>
      </c>
      <c r="Q745" s="43" t="s">
        <v>31</v>
      </c>
      <c r="R745" s="44"/>
    </row>
    <row r="746" spans="1:18" x14ac:dyDescent="0.25">
      <c r="A746" t="str">
        <f t="shared" si="22"/>
        <v>Impianto SOS_SOS generale_ALR_INCIDENTE_SX-Allarme incidente lato sinistro</v>
      </c>
      <c r="B746" t="str">
        <f t="shared" si="23"/>
        <v>ALR_INCIDENTE_SX-Allarme incidente lato sinistro</v>
      </c>
      <c r="C746" t="str">
        <f>VLOOKUP(B746,'[2]Classi allarmi RMT-STIG_rev4'!$C:$C,1,0)</f>
        <v>ALR_INCIDENTE_SX-Allarme incidente lato sinistro</v>
      </c>
      <c r="D746" t="str">
        <f>VLOOKUP(B746,'EXPORT IRIS PROD 13-11-2024'!A:A,1,0)</f>
        <v>ALR_INCIDENTE_SX-Allarme incidente lato sinistro</v>
      </c>
      <c r="E746" t="str">
        <f>VLOOKUP(H746,'EXPORT IRIS PROD 13-11-2024'!F:F,1,0)</f>
        <v>ALR_INCIDENTE_SX</v>
      </c>
      <c r="F746" t="str">
        <f>VLOOKUP(I746,'EXPORT IRIS PROD 13-11-2024'!D:D,1,0)</f>
        <v>Allarme incidente lato sinistro</v>
      </c>
      <c r="G746" s="37" t="s">
        <v>26</v>
      </c>
      <c r="H746" s="38" t="s">
        <v>1358</v>
      </c>
      <c r="I746" s="45" t="s">
        <v>1359</v>
      </c>
      <c r="J746" s="46" t="s">
        <v>29</v>
      </c>
      <c r="K746" s="46" t="s">
        <v>1067</v>
      </c>
      <c r="L746" s="47" t="s">
        <v>31</v>
      </c>
      <c r="M746" s="48" t="s">
        <v>32</v>
      </c>
      <c r="N746" s="43">
        <v>1</v>
      </c>
      <c r="O746" s="43" t="s">
        <v>33</v>
      </c>
      <c r="P746" s="43" t="s">
        <v>34</v>
      </c>
      <c r="Q746" s="43" t="s">
        <v>31</v>
      </c>
      <c r="R746" s="44"/>
    </row>
    <row r="747" spans="1:18" x14ac:dyDescent="0.25">
      <c r="A747" t="str">
        <f t="shared" si="22"/>
        <v>Impianto SOS_SOS generale_ALR_INCIDENTE_SX_QUADRI-Allarme incidente lato sinistro quadri</v>
      </c>
      <c r="B747" t="str">
        <f t="shared" si="23"/>
        <v>ALR_INCIDENTE_SX_QUADRI-Allarme incidente lato sinistro quadri</v>
      </c>
      <c r="C747" t="str">
        <f>VLOOKUP(B747,'[2]Classi allarmi RMT-STIG_rev4'!$C:$C,1,0)</f>
        <v>ALR_INCIDENTE_SX_QUADRI-Allarme incidente lato sinistro quadri</v>
      </c>
      <c r="D747" t="str">
        <f>VLOOKUP(B747,'EXPORT IRIS PROD 13-11-2024'!A:A,1,0)</f>
        <v>ALR_INCIDENTE_SX_QUADRI-Allarme incidente lato sinistro quadri</v>
      </c>
      <c r="E747" t="str">
        <f>VLOOKUP(H747,'EXPORT IRIS PROD 13-11-2024'!F:F,1,0)</f>
        <v>ALR_INCIDENTE_SX_QUADRI</v>
      </c>
      <c r="F747" t="str">
        <f>VLOOKUP(I747,'EXPORT IRIS PROD 13-11-2024'!D:D,1,0)</f>
        <v>Allarme incidente lato sinistro quadri</v>
      </c>
      <c r="G747" s="37" t="s">
        <v>26</v>
      </c>
      <c r="H747" s="38" t="s">
        <v>1360</v>
      </c>
      <c r="I747" s="45" t="s">
        <v>1361</v>
      </c>
      <c r="J747" s="46" t="s">
        <v>29</v>
      </c>
      <c r="K747" s="46" t="s">
        <v>1067</v>
      </c>
      <c r="L747" s="47" t="s">
        <v>31</v>
      </c>
      <c r="M747" s="48" t="s">
        <v>32</v>
      </c>
      <c r="N747" s="43">
        <v>1</v>
      </c>
      <c r="O747" s="43" t="s">
        <v>33</v>
      </c>
      <c r="P747" s="43" t="s">
        <v>34</v>
      </c>
      <c r="Q747" s="43" t="s">
        <v>31</v>
      </c>
      <c r="R747" s="44"/>
    </row>
    <row r="748" spans="1:18" x14ac:dyDescent="0.25">
      <c r="A748" t="str">
        <f t="shared" si="22"/>
        <v>Impianto Ventilazione_Sensori qualità aria CO/OP/NO/AN_ALR_INGR_ANALOGICO-Allarme ingresso analogico</v>
      </c>
      <c r="B748" t="str">
        <f t="shared" si="23"/>
        <v>ALR_INGR_ANALOGICO-Allarme ingresso analogico</v>
      </c>
      <c r="C748" t="str">
        <f>VLOOKUP(B748,'[2]Classi allarmi RMT-STIG_rev4'!$C:$C,1,0)</f>
        <v>ALR_INGR_ANALOGICO-Allarme ingresso analogico</v>
      </c>
      <c r="D748" t="str">
        <f>VLOOKUP(B748,'EXPORT IRIS PROD 13-11-2024'!A:A,1,0)</f>
        <v>ALR_INGR_ANALOGICO-Allarme ingresso analogico</v>
      </c>
      <c r="E748" t="str">
        <f>VLOOKUP(H748,'EXPORT IRIS PROD 13-11-2024'!F:F,1,0)</f>
        <v>ALR_INGR_ANALOGICO</v>
      </c>
      <c r="F748" t="str">
        <f>VLOOKUP(I748,'EXPORT IRIS PROD 13-11-2024'!D:D,1,0)</f>
        <v>Allarme ingresso analogico</v>
      </c>
      <c r="G748" s="37" t="s">
        <v>85</v>
      </c>
      <c r="H748" s="38" t="s">
        <v>1362</v>
      </c>
      <c r="I748" s="45" t="s">
        <v>1363</v>
      </c>
      <c r="J748" s="46" t="s">
        <v>50</v>
      </c>
      <c r="K748" s="46" t="s">
        <v>1189</v>
      </c>
      <c r="L748" s="40" t="s">
        <v>21</v>
      </c>
      <c r="M748" s="41" t="s">
        <v>22</v>
      </c>
      <c r="N748" s="42" t="s">
        <v>23</v>
      </c>
      <c r="O748" s="43" t="s">
        <v>24</v>
      </c>
      <c r="P748" s="42" t="s">
        <v>25</v>
      </c>
      <c r="Q748" s="42" t="s">
        <v>21</v>
      </c>
      <c r="R748" s="44"/>
    </row>
    <row r="749" spans="1:18" x14ac:dyDescent="0.25">
      <c r="A749" t="str">
        <f t="shared" si="22"/>
        <v>Impianto Ventilazione_Ventilatore_ALR_INGR_ANALOGICO-Allarme ingresso analogico</v>
      </c>
      <c r="B749" t="str">
        <f t="shared" si="23"/>
        <v>ALR_INGR_ANALOGICO-Allarme ingresso analogico</v>
      </c>
      <c r="C749" t="str">
        <f>VLOOKUP(B749,'[2]Classi allarmi RMT-STIG_rev4'!$C:$C,1,0)</f>
        <v>ALR_INGR_ANALOGICO-Allarme ingresso analogico</v>
      </c>
      <c r="D749" t="str">
        <f>VLOOKUP(B749,'EXPORT IRIS PROD 13-11-2024'!A:A,1,0)</f>
        <v>ALR_INGR_ANALOGICO-Allarme ingresso analogico</v>
      </c>
      <c r="E749" t="str">
        <f>VLOOKUP(H749,'EXPORT IRIS PROD 13-11-2024'!F:F,1,0)</f>
        <v>ALR_INGR_ANALOGICO</v>
      </c>
      <c r="F749" t="str">
        <f>VLOOKUP(I749,'EXPORT IRIS PROD 13-11-2024'!D:D,1,0)</f>
        <v>Allarme ingresso analogico</v>
      </c>
      <c r="G749" s="37" t="s">
        <v>85</v>
      </c>
      <c r="H749" s="38" t="s">
        <v>1362</v>
      </c>
      <c r="I749" s="45" t="s">
        <v>1363</v>
      </c>
      <c r="J749" s="46" t="s">
        <v>50</v>
      </c>
      <c r="K749" s="46" t="s">
        <v>124</v>
      </c>
      <c r="L749" s="40" t="s">
        <v>21</v>
      </c>
      <c r="M749" s="41" t="s">
        <v>22</v>
      </c>
      <c r="N749" s="42" t="s">
        <v>23</v>
      </c>
      <c r="O749" s="43" t="s">
        <v>24</v>
      </c>
      <c r="P749" s="42" t="s">
        <v>25</v>
      </c>
      <c r="Q749" s="42" t="s">
        <v>21</v>
      </c>
      <c r="R749" s="44"/>
    </row>
    <row r="750" spans="1:18" x14ac:dyDescent="0.25">
      <c r="A750" t="str">
        <f t="shared" si="22"/>
        <v>Impianto rete dati_PLC_ALR_INSERIMENTO_UNITA-Allarme inserimento unità</v>
      </c>
      <c r="B750" t="str">
        <f t="shared" si="23"/>
        <v>ALR_INSERIMENTO_UNITA-Allarme inserimento unità</v>
      </c>
      <c r="C750" t="str">
        <f>VLOOKUP(B750,'[2]Classi allarmi RMT-STIG_rev4'!$C:$C,1,0)</f>
        <v>ALR_INSERIMENTO_UNITA-Allarme inserimento unità</v>
      </c>
      <c r="D750" t="str">
        <f>VLOOKUP(B750,'EXPORT IRIS PROD 13-11-2024'!A:A,1,0)</f>
        <v>ALR_INSERIMENTO_UNITA-Allarme inserimento unità</v>
      </c>
      <c r="E750" t="str">
        <f>VLOOKUP(H750,'EXPORT IRIS PROD 13-11-2024'!F:F,1,0)</f>
        <v>ALR_INSERIMENTO_UNITA</v>
      </c>
      <c r="F750" t="str">
        <f>VLOOKUP(I750,'EXPORT IRIS PROD 13-11-2024'!D:D,1,0)</f>
        <v>Allarme inserimento unità</v>
      </c>
      <c r="G750" s="37" t="s">
        <v>16</v>
      </c>
      <c r="H750" s="38" t="s">
        <v>1364</v>
      </c>
      <c r="I750" s="45" t="s">
        <v>1365</v>
      </c>
      <c r="J750" s="46" t="s">
        <v>1156</v>
      </c>
      <c r="K750" s="46" t="s">
        <v>167</v>
      </c>
      <c r="L750" s="40" t="s">
        <v>21</v>
      </c>
      <c r="M750" s="41" t="s">
        <v>22</v>
      </c>
      <c r="N750" s="42" t="s">
        <v>23</v>
      </c>
      <c r="O750" s="43" t="s">
        <v>24</v>
      </c>
      <c r="P750" s="42" t="s">
        <v>25</v>
      </c>
      <c r="Q750" s="42" t="s">
        <v>21</v>
      </c>
      <c r="R750" s="44"/>
    </row>
    <row r="751" spans="1:18" x14ac:dyDescent="0.25">
      <c r="A751" t="str">
        <f t="shared" si="22"/>
        <v xml:space="preserve">Impianto elettrico_Interruttore_ALR_INT-Allarme Interruttore </v>
      </c>
      <c r="B751" t="str">
        <f t="shared" si="23"/>
        <v xml:space="preserve">ALR_INT-Allarme Interruttore </v>
      </c>
      <c r="C751" t="str">
        <f>VLOOKUP(B751,'[2]Classi allarmi RMT-STIG_rev4'!$C:$C,1,0)</f>
        <v xml:space="preserve">ALR_INT-Allarme Interruttore </v>
      </c>
      <c r="D751" t="str">
        <f>VLOOKUP(B751,'EXPORT IRIS PROD 13-11-2024'!A:A,1,0)</f>
        <v xml:space="preserve">ALR_INT-Allarme Interruttore </v>
      </c>
      <c r="E751" t="str">
        <f>VLOOKUP(H751,'EXPORT IRIS PROD 13-11-2024'!F:F,1,0)</f>
        <v>ALR_INT</v>
      </c>
      <c r="F751" t="str">
        <f>VLOOKUP(I751,'EXPORT IRIS PROD 13-11-2024'!D:D,1,0)</f>
        <v xml:space="preserve">Allarme Interruttore </v>
      </c>
      <c r="G751" s="37" t="s">
        <v>53</v>
      </c>
      <c r="H751" s="38" t="s">
        <v>1366</v>
      </c>
      <c r="I751" s="45" t="s">
        <v>1367</v>
      </c>
      <c r="J751" s="46" t="s">
        <v>1106</v>
      </c>
      <c r="K751" s="46" t="s">
        <v>355</v>
      </c>
      <c r="L751" s="40" t="s">
        <v>21</v>
      </c>
      <c r="M751" s="41" t="s">
        <v>22</v>
      </c>
      <c r="N751" s="42" t="s">
        <v>23</v>
      </c>
      <c r="O751" s="43" t="s">
        <v>157</v>
      </c>
      <c r="P751" s="42" t="s">
        <v>158</v>
      </c>
      <c r="Q751" s="42" t="s">
        <v>21</v>
      </c>
      <c r="R751" s="44"/>
    </row>
    <row r="752" spans="1:18" x14ac:dyDescent="0.25">
      <c r="A752" t="str">
        <f t="shared" si="22"/>
        <v>Impianto Ventilazione_Ventilatore_ALR_INVERTER_GUASTO-Allarme Inverter guasto</v>
      </c>
      <c r="B752" t="str">
        <f t="shared" si="23"/>
        <v>ALR_INVERTER_GUASTO-Allarme Inverter guasto</v>
      </c>
      <c r="C752" t="str">
        <f>VLOOKUP(B752,'[2]Classi allarmi RMT-STIG_rev4'!$C:$C,1,0)</f>
        <v>ALR_INVERTER_GUASTO-Allarme Inverter guasto</v>
      </c>
      <c r="D752" t="str">
        <f>VLOOKUP(B752,'EXPORT IRIS PROD 13-11-2024'!A:A,1,0)</f>
        <v>ALR_INVERTER_GUASTO-Allarme Inverter guasto</v>
      </c>
      <c r="E752" t="str">
        <f>VLOOKUP(H752,'EXPORT IRIS PROD 13-11-2024'!F:F,1,0)</f>
        <v>ALR_INVERTER_GUASTO</v>
      </c>
      <c r="F752" t="str">
        <f>VLOOKUP(I752,'EXPORT IRIS PROD 13-11-2024'!D:D,1,0)</f>
        <v>Allarme Inverter guasto</v>
      </c>
      <c r="G752" s="37" t="s">
        <v>85</v>
      </c>
      <c r="H752" s="38" t="s">
        <v>1368</v>
      </c>
      <c r="I752" s="45" t="s">
        <v>1369</v>
      </c>
      <c r="J752" s="46" t="s">
        <v>50</v>
      </c>
      <c r="K752" s="46" t="s">
        <v>124</v>
      </c>
      <c r="L752" s="40" t="s">
        <v>21</v>
      </c>
      <c r="M752" s="41" t="s">
        <v>22</v>
      </c>
      <c r="N752" s="42" t="s">
        <v>23</v>
      </c>
      <c r="O752" s="43" t="s">
        <v>24</v>
      </c>
      <c r="P752" s="42" t="s">
        <v>25</v>
      </c>
      <c r="Q752" s="42" t="s">
        <v>21</v>
      </c>
      <c r="R752" s="44"/>
    </row>
    <row r="753" spans="1:18" x14ac:dyDescent="0.25">
      <c r="A753" t="str">
        <f t="shared" si="22"/>
        <v>Impianto elettrico_UPS_ALR_INVERTER_GUASTO-Allarme Inverter guasto</v>
      </c>
      <c r="B753" t="str">
        <f t="shared" si="23"/>
        <v>ALR_INVERTER_GUASTO-Allarme Inverter guasto</v>
      </c>
      <c r="C753" t="str">
        <f>VLOOKUP(B753,'[2]Classi allarmi RMT-STIG_rev4'!$C:$C,1,0)</f>
        <v>ALR_INVERTER_GUASTO-Allarme Inverter guasto</v>
      </c>
      <c r="D753" t="str">
        <f>VLOOKUP(B753,'EXPORT IRIS PROD 13-11-2024'!A:A,1,0)</f>
        <v>ALR_INVERTER_GUASTO-Allarme Inverter guasto</v>
      </c>
      <c r="E753" t="str">
        <f>VLOOKUP(H753,'EXPORT IRIS PROD 13-11-2024'!F:F,1,0)</f>
        <v>ALR_INVERTER_GUASTO</v>
      </c>
      <c r="F753" t="str">
        <f>VLOOKUP(I753,'EXPORT IRIS PROD 13-11-2024'!D:D,1,0)</f>
        <v>Allarme Inverter guasto</v>
      </c>
      <c r="G753" s="37" t="s">
        <v>53</v>
      </c>
      <c r="H753" s="38" t="s">
        <v>1368</v>
      </c>
      <c r="I753" s="45" t="s">
        <v>1369</v>
      </c>
      <c r="J753" s="46" t="s">
        <v>1106</v>
      </c>
      <c r="K753" s="46" t="s">
        <v>104</v>
      </c>
      <c r="L753" s="40" t="s">
        <v>21</v>
      </c>
      <c r="M753" s="41" t="s">
        <v>22</v>
      </c>
      <c r="N753" s="42" t="s">
        <v>23</v>
      </c>
      <c r="O753" s="43" t="s">
        <v>24</v>
      </c>
      <c r="P753" s="42" t="s">
        <v>25</v>
      </c>
      <c r="Q753" s="42" t="s">
        <v>21</v>
      </c>
      <c r="R753" s="44"/>
    </row>
    <row r="754" spans="1:18" x14ac:dyDescent="0.25">
      <c r="A754" t="str">
        <f t="shared" si="22"/>
        <v>Impianto Ventilazione_Ventilazione generale_ALR_LAVAGGIO_CASO_1_NORD-Allarme lavaggio caso 1 Nord</v>
      </c>
      <c r="B754" t="str">
        <f t="shared" si="23"/>
        <v>ALR_LAVAGGIO_CASO_1_NORD-Allarme lavaggio caso 1 Nord</v>
      </c>
      <c r="C754" t="str">
        <f>VLOOKUP(B754,'[2]Classi allarmi RMT-STIG_rev4'!$C:$C,1,0)</f>
        <v>ALR_LAVAGGIO_CASO_1_NORD-Allarme lavaggio caso 1 Nord</v>
      </c>
      <c r="D754" t="str">
        <f>VLOOKUP(B754,'EXPORT IRIS PROD 13-11-2024'!A:A,1,0)</f>
        <v>ALR_LAVAGGIO_CASO_1_NORD-Allarme lavaggio caso 1 Nord</v>
      </c>
      <c r="E754" t="str">
        <f>VLOOKUP(H754,'EXPORT IRIS PROD 13-11-2024'!F:F,1,0)</f>
        <v>ALR_LAVAGGIO_CASO_1_NORD</v>
      </c>
      <c r="F754" t="str">
        <f>VLOOKUP(I754,'EXPORT IRIS PROD 13-11-2024'!D:D,1,0)</f>
        <v>Allarme lavaggio caso 1 Nord</v>
      </c>
      <c r="G754" s="37" t="s">
        <v>280</v>
      </c>
      <c r="H754" s="38" t="s">
        <v>1370</v>
      </c>
      <c r="I754" s="45" t="s">
        <v>1371</v>
      </c>
      <c r="J754" s="46" t="s">
        <v>50</v>
      </c>
      <c r="K754" s="46" t="s">
        <v>445</v>
      </c>
      <c r="L754" s="40" t="s">
        <v>21</v>
      </c>
      <c r="M754" s="41" t="s">
        <v>22</v>
      </c>
      <c r="N754" s="42" t="s">
        <v>23</v>
      </c>
      <c r="O754" s="43" t="s">
        <v>24</v>
      </c>
      <c r="P754" s="42" t="s">
        <v>25</v>
      </c>
      <c r="Q754" s="42" t="s">
        <v>21</v>
      </c>
      <c r="R754" s="44"/>
    </row>
    <row r="755" spans="1:18" x14ac:dyDescent="0.25">
      <c r="A755" t="str">
        <f t="shared" si="22"/>
        <v>Impianto Ventilazione_Ventilazione generale_ALR_LAVAGGIO_CASO_1_SUD-Allarme lavaggio caso 1 Sud</v>
      </c>
      <c r="B755" t="str">
        <f t="shared" si="23"/>
        <v>ALR_LAVAGGIO_CASO_1_SUD-Allarme lavaggio caso 1 Sud</v>
      </c>
      <c r="C755" t="str">
        <f>VLOOKUP(B755,'[2]Classi allarmi RMT-STIG_rev4'!$C:$C,1,0)</f>
        <v>ALR_LAVAGGIO_CASO_1_SUD-Allarme lavaggio caso 1 Sud</v>
      </c>
      <c r="D755" t="str">
        <f>VLOOKUP(B755,'EXPORT IRIS PROD 13-11-2024'!A:A,1,0)</f>
        <v>ALR_LAVAGGIO_CASO_1_SUD-Allarme lavaggio caso 1 Sud</v>
      </c>
      <c r="E755" t="str">
        <f>VLOOKUP(H755,'EXPORT IRIS PROD 13-11-2024'!F:F,1,0)</f>
        <v>ALR_LAVAGGIO_CASO_1_SUD</v>
      </c>
      <c r="F755" t="str">
        <f>VLOOKUP(I755,'EXPORT IRIS PROD 13-11-2024'!D:D,1,0)</f>
        <v>Allarme lavaggio caso 1 Sud</v>
      </c>
      <c r="G755" s="37" t="s">
        <v>280</v>
      </c>
      <c r="H755" s="38" t="s">
        <v>1372</v>
      </c>
      <c r="I755" s="45" t="s">
        <v>1373</v>
      </c>
      <c r="J755" s="46" t="s">
        <v>50</v>
      </c>
      <c r="K755" s="46" t="s">
        <v>445</v>
      </c>
      <c r="L755" s="40" t="s">
        <v>21</v>
      </c>
      <c r="M755" s="41" t="s">
        <v>22</v>
      </c>
      <c r="N755" s="42" t="s">
        <v>23</v>
      </c>
      <c r="O755" s="43" t="s">
        <v>24</v>
      </c>
      <c r="P755" s="42" t="s">
        <v>25</v>
      </c>
      <c r="Q755" s="42" t="s">
        <v>21</v>
      </c>
      <c r="R755" s="44"/>
    </row>
    <row r="756" spans="1:18" x14ac:dyDescent="0.25">
      <c r="A756" t="str">
        <f t="shared" si="22"/>
        <v>Impianto Ventilazione_Ventilazione generale_ALR_LAVAGGIO_CASO_2_NORD-Allarme lavaggio caso 2 Nord</v>
      </c>
      <c r="B756" t="str">
        <f t="shared" si="23"/>
        <v>ALR_LAVAGGIO_CASO_2_NORD-Allarme lavaggio caso 2 Nord</v>
      </c>
      <c r="C756" t="str">
        <f>VLOOKUP(B756,'[2]Classi allarmi RMT-STIG_rev4'!$C:$C,1,0)</f>
        <v>ALR_LAVAGGIO_CASO_2_NORD-Allarme lavaggio caso 2 Nord</v>
      </c>
      <c r="D756" t="str">
        <f>VLOOKUP(B756,'EXPORT IRIS PROD 13-11-2024'!A:A,1,0)</f>
        <v>ALR_LAVAGGIO_CASO_2_NORD-Allarme lavaggio caso 2 Nord</v>
      </c>
      <c r="E756" t="str">
        <f>VLOOKUP(H756,'EXPORT IRIS PROD 13-11-2024'!F:F,1,0)</f>
        <v>ALR_LAVAGGIO_CASO_2_NORD</v>
      </c>
      <c r="F756" t="str">
        <f>VLOOKUP(I756,'EXPORT IRIS PROD 13-11-2024'!D:D,1,0)</f>
        <v>Allarme lavaggio caso 2 Nord</v>
      </c>
      <c r="G756" s="37" t="s">
        <v>280</v>
      </c>
      <c r="H756" s="38" t="s">
        <v>1374</v>
      </c>
      <c r="I756" s="45" t="s">
        <v>1375</v>
      </c>
      <c r="J756" s="46" t="s">
        <v>50</v>
      </c>
      <c r="K756" s="46" t="s">
        <v>445</v>
      </c>
      <c r="L756" s="40" t="s">
        <v>21</v>
      </c>
      <c r="M756" s="41" t="s">
        <v>22</v>
      </c>
      <c r="N756" s="42" t="s">
        <v>23</v>
      </c>
      <c r="O756" s="43" t="s">
        <v>24</v>
      </c>
      <c r="P756" s="42" t="s">
        <v>25</v>
      </c>
      <c r="Q756" s="42" t="s">
        <v>21</v>
      </c>
      <c r="R756" s="44"/>
    </row>
    <row r="757" spans="1:18" x14ac:dyDescent="0.25">
      <c r="A757" t="str">
        <f t="shared" si="22"/>
        <v>Impianto Ventilazione_Ventilazione generale_ALR_LAVAGGIO_CASO_2_SUD-Allarme lavaggio caso 2 Sud</v>
      </c>
      <c r="B757" t="str">
        <f t="shared" si="23"/>
        <v>ALR_LAVAGGIO_CASO_2_SUD-Allarme lavaggio caso 2 Sud</v>
      </c>
      <c r="C757" t="str">
        <f>VLOOKUP(B757,'[2]Classi allarmi RMT-STIG_rev4'!$C:$C,1,0)</f>
        <v>ALR_LAVAGGIO_CASO_2_SUD-Allarme lavaggio caso 2 Sud</v>
      </c>
      <c r="D757" t="str">
        <f>VLOOKUP(B757,'EXPORT IRIS PROD 13-11-2024'!A:A,1,0)</f>
        <v>ALR_LAVAGGIO_CASO_2_SUD-Allarme lavaggio caso 2 Sud</v>
      </c>
      <c r="E757" t="str">
        <f>VLOOKUP(H757,'EXPORT IRIS PROD 13-11-2024'!F:F,1,0)</f>
        <v>ALR_LAVAGGIO_CASO_2_SUD</v>
      </c>
      <c r="F757" t="str">
        <f>VLOOKUP(I757,'EXPORT IRIS PROD 13-11-2024'!D:D,1,0)</f>
        <v>Allarme lavaggio caso 2 Sud</v>
      </c>
      <c r="G757" s="37" t="s">
        <v>280</v>
      </c>
      <c r="H757" s="38" t="s">
        <v>1376</v>
      </c>
      <c r="I757" s="45" t="s">
        <v>1377</v>
      </c>
      <c r="J757" s="46" t="s">
        <v>50</v>
      </c>
      <c r="K757" s="46" t="s">
        <v>445</v>
      </c>
      <c r="L757" s="40" t="s">
        <v>21</v>
      </c>
      <c r="M757" s="41" t="s">
        <v>22</v>
      </c>
      <c r="N757" s="42" t="s">
        <v>23</v>
      </c>
      <c r="O757" s="43" t="s">
        <v>24</v>
      </c>
      <c r="P757" s="42" t="s">
        <v>25</v>
      </c>
      <c r="Q757" s="42" t="s">
        <v>21</v>
      </c>
      <c r="R757" s="44"/>
    </row>
    <row r="758" spans="1:18" x14ac:dyDescent="0.25">
      <c r="A758" t="str">
        <f t="shared" si="22"/>
        <v>Impianto Ventilazione_Ventilazione generale_ALR_LAVAGGIO_CASO_3_NORD-Allarme lavaggio caso 3 Nord</v>
      </c>
      <c r="B758" t="str">
        <f t="shared" si="23"/>
        <v>ALR_LAVAGGIO_CASO_3_NORD-Allarme lavaggio caso 3 Nord</v>
      </c>
      <c r="C758" t="str">
        <f>VLOOKUP(B758,'[2]Classi allarmi RMT-STIG_rev4'!$C:$C,1,0)</f>
        <v>ALR_LAVAGGIO_CASO_3_NORD-Allarme lavaggio caso 3 Nord</v>
      </c>
      <c r="D758" t="str">
        <f>VLOOKUP(B758,'EXPORT IRIS PROD 13-11-2024'!A:A,1,0)</f>
        <v>ALR_LAVAGGIO_CASO_3_NORD-Allarme lavaggio caso 3 Nord</v>
      </c>
      <c r="E758" t="str">
        <f>VLOOKUP(H758,'EXPORT IRIS PROD 13-11-2024'!F:F,1,0)</f>
        <v>ALR_LAVAGGIO_CASO_3_NORD</v>
      </c>
      <c r="F758" t="str">
        <f>VLOOKUP(I758,'EXPORT IRIS PROD 13-11-2024'!D:D,1,0)</f>
        <v>Allarme lavaggio caso 3 Nord</v>
      </c>
      <c r="G758" s="37" t="s">
        <v>280</v>
      </c>
      <c r="H758" s="38" t="s">
        <v>1378</v>
      </c>
      <c r="I758" s="45" t="s">
        <v>1379</v>
      </c>
      <c r="J758" s="46" t="s">
        <v>50</v>
      </c>
      <c r="K758" s="46" t="s">
        <v>445</v>
      </c>
      <c r="L758" s="40" t="s">
        <v>21</v>
      </c>
      <c r="M758" s="41" t="s">
        <v>22</v>
      </c>
      <c r="N758" s="42" t="s">
        <v>23</v>
      </c>
      <c r="O758" s="43" t="s">
        <v>24</v>
      </c>
      <c r="P758" s="42" t="s">
        <v>25</v>
      </c>
      <c r="Q758" s="42" t="s">
        <v>21</v>
      </c>
      <c r="R758" s="44"/>
    </row>
    <row r="759" spans="1:18" x14ac:dyDescent="0.25">
      <c r="A759" t="str">
        <f t="shared" si="22"/>
        <v>Impianto Ventilazione_Ventilazione generale_ALR_LAVAGGIO_CASO_3_SUD-Allarme lavaggio caso 3 Sud</v>
      </c>
      <c r="B759" t="str">
        <f t="shared" si="23"/>
        <v>ALR_LAVAGGIO_CASO_3_SUD-Allarme lavaggio caso 3 Sud</v>
      </c>
      <c r="C759" t="str">
        <f>VLOOKUP(B759,'[2]Classi allarmi RMT-STIG_rev4'!$C:$C,1,0)</f>
        <v>ALR_LAVAGGIO_CASO_3_SUD-Allarme lavaggio caso 3 Sud</v>
      </c>
      <c r="D759" t="str">
        <f>VLOOKUP(B759,'EXPORT IRIS PROD 13-11-2024'!A:A,1,0)</f>
        <v>ALR_LAVAGGIO_CASO_3_SUD-Allarme lavaggio caso 3 Sud</v>
      </c>
      <c r="E759" t="str">
        <f>VLOOKUP(H759,'EXPORT IRIS PROD 13-11-2024'!F:F,1,0)</f>
        <v>ALR_LAVAGGIO_CASO_3_SUD</v>
      </c>
      <c r="F759" t="str">
        <f>VLOOKUP(I759,'EXPORT IRIS PROD 13-11-2024'!D:D,1,0)</f>
        <v>Allarme lavaggio caso 3 Sud</v>
      </c>
      <c r="G759" s="37" t="s">
        <v>280</v>
      </c>
      <c r="H759" s="38" t="s">
        <v>1380</v>
      </c>
      <c r="I759" s="45" t="s">
        <v>1381</v>
      </c>
      <c r="J759" s="46" t="s">
        <v>50</v>
      </c>
      <c r="K759" s="46" t="s">
        <v>445</v>
      </c>
      <c r="L759" s="40" t="s">
        <v>21</v>
      </c>
      <c r="M759" s="41" t="s">
        <v>22</v>
      </c>
      <c r="N759" s="42" t="s">
        <v>23</v>
      </c>
      <c r="O759" s="43" t="s">
        <v>24</v>
      </c>
      <c r="P759" s="42" t="s">
        <v>25</v>
      </c>
      <c r="Q759" s="42" t="s">
        <v>21</v>
      </c>
      <c r="R759" s="44"/>
    </row>
    <row r="760" spans="1:18" x14ac:dyDescent="0.25">
      <c r="A760" t="str">
        <f t="shared" si="22"/>
        <v>Impianto Antincendio_Serbatoio acqua_ALR_LIVELLO_ACQUA_MINIMO-Allarme livello acqua minimo</v>
      </c>
      <c r="B760" t="str">
        <f t="shared" si="23"/>
        <v>ALR_LIVELLO_ACQUA_MINIMO-Allarme livello acqua minimo</v>
      </c>
      <c r="C760" t="str">
        <f>VLOOKUP(B760,'[2]Classi allarmi RMT-STIG_rev4'!$C:$C,1,0)</f>
        <v>ALR_LIVELLO_ACQUA_MINIMO-Allarme livello acqua minimo</v>
      </c>
      <c r="D760" t="str">
        <f>VLOOKUP(B760,'EXPORT IRIS PROD 13-11-2024'!A:A,1,0)</f>
        <v>ALR_LIVELLO_ACQUA_MINIMO-Allarme livello acqua minimo</v>
      </c>
      <c r="E760" t="str">
        <f>VLOOKUP(H760,'EXPORT IRIS PROD 13-11-2024'!F:F,1,0)</f>
        <v>ALR_LIVELLO_ACQUA_MINIMO</v>
      </c>
      <c r="F760" t="str">
        <f>VLOOKUP(I760,'EXPORT IRIS PROD 13-11-2024'!D:D,1,0)</f>
        <v>Allarme livello acqua minimo</v>
      </c>
      <c r="G760" s="37" t="s">
        <v>35</v>
      </c>
      <c r="H760" s="38" t="s">
        <v>1382</v>
      </c>
      <c r="I760" s="45" t="s">
        <v>1383</v>
      </c>
      <c r="J760" s="46" t="s">
        <v>38</v>
      </c>
      <c r="K760" s="46" t="s">
        <v>480</v>
      </c>
      <c r="L760" s="40" t="s">
        <v>21</v>
      </c>
      <c r="M760" s="41" t="s">
        <v>22</v>
      </c>
      <c r="N760" s="42" t="s">
        <v>23</v>
      </c>
      <c r="O760" s="43" t="s">
        <v>24</v>
      </c>
      <c r="P760" s="42" t="s">
        <v>25</v>
      </c>
      <c r="Q760" s="42" t="s">
        <v>21</v>
      </c>
      <c r="R760" s="44"/>
    </row>
    <row r="761" spans="1:18" x14ac:dyDescent="0.25">
      <c r="A761" t="str">
        <f t="shared" si="22"/>
        <v>Impianto Antincendio_Serbatoio acqua_ALR_LIVELLO_ACQUA_PIENO-Allarme livello acqua pieno</v>
      </c>
      <c r="B761" t="str">
        <f t="shared" si="23"/>
        <v>ALR_LIVELLO_ACQUA_PIENO-Allarme livello acqua pieno</v>
      </c>
      <c r="C761" t="str">
        <f>VLOOKUP(B761,'[2]Classi allarmi RMT-STIG_rev4'!$C:$C,1,0)</f>
        <v>ALR_LIVELLO_ACQUA_PIENO-Allarme livello acqua pieno</v>
      </c>
      <c r="D761" t="str">
        <f>VLOOKUP(B761,'EXPORT IRIS PROD 13-11-2024'!A:A,1,0)</f>
        <v>ALR_LIVELLO_ACQUA_PIENO-Allarme livello acqua pieno</v>
      </c>
      <c r="E761" t="str">
        <f>VLOOKUP(H761,'EXPORT IRIS PROD 13-11-2024'!F:F,1,0)</f>
        <v>ALR_LIVELLO_ACQUA_PIENO</v>
      </c>
      <c r="F761" t="str">
        <f>VLOOKUP(I761,'EXPORT IRIS PROD 13-11-2024'!D:D,1,0)</f>
        <v>Allarme livello acqua pieno</v>
      </c>
      <c r="G761" s="37" t="s">
        <v>35</v>
      </c>
      <c r="H761" s="38" t="s">
        <v>1384</v>
      </c>
      <c r="I761" s="45" t="s">
        <v>1385</v>
      </c>
      <c r="J761" s="46" t="s">
        <v>38</v>
      </c>
      <c r="K761" s="46" t="s">
        <v>480</v>
      </c>
      <c r="L761" s="40" t="s">
        <v>21</v>
      </c>
      <c r="M761" s="41" t="s">
        <v>22</v>
      </c>
      <c r="N761" s="42" t="s">
        <v>23</v>
      </c>
      <c r="O761" s="43" t="s">
        <v>24</v>
      </c>
      <c r="P761" s="42" t="s">
        <v>25</v>
      </c>
      <c r="Q761" s="42" t="s">
        <v>21</v>
      </c>
      <c r="R761" s="44"/>
    </row>
    <row r="762" spans="1:18" x14ac:dyDescent="0.25">
      <c r="A762" t="str">
        <f t="shared" si="22"/>
        <v>Impianto Antincendio_Pompa_ALR_LIVELLO_ACQUA_PIENO-Allarme livello acqua pieno</v>
      </c>
      <c r="B762" t="str">
        <f t="shared" si="23"/>
        <v>ALR_LIVELLO_ACQUA_PIENO-Allarme livello acqua pieno</v>
      </c>
      <c r="C762" t="str">
        <f>VLOOKUP(B762,'[2]Classi allarmi RMT-STIG_rev4'!$C:$C,1,0)</f>
        <v>ALR_LIVELLO_ACQUA_PIENO-Allarme livello acqua pieno</v>
      </c>
      <c r="D762" t="str">
        <f>VLOOKUP(B762,'EXPORT IRIS PROD 13-11-2024'!A:A,1,0)</f>
        <v>ALR_LIVELLO_ACQUA_PIENO-Allarme livello acqua pieno</v>
      </c>
      <c r="E762" t="str">
        <f>VLOOKUP(H762,'EXPORT IRIS PROD 13-11-2024'!F:F,1,0)</f>
        <v>ALR_LIVELLO_ACQUA_PIENO</v>
      </c>
      <c r="F762" t="str">
        <f>VLOOKUP(I762,'EXPORT IRIS PROD 13-11-2024'!D:D,1,0)</f>
        <v>Allarme livello acqua pieno</v>
      </c>
      <c r="G762" s="37" t="s">
        <v>35</v>
      </c>
      <c r="H762" s="38" t="s">
        <v>1384</v>
      </c>
      <c r="I762" s="45" t="s">
        <v>1385</v>
      </c>
      <c r="J762" s="46" t="s">
        <v>38</v>
      </c>
      <c r="K762" s="46" t="s">
        <v>39</v>
      </c>
      <c r="L762" s="40" t="s">
        <v>21</v>
      </c>
      <c r="M762" s="41" t="s">
        <v>22</v>
      </c>
      <c r="N762" s="42" t="s">
        <v>23</v>
      </c>
      <c r="O762" s="43" t="s">
        <v>24</v>
      </c>
      <c r="P762" s="42" t="s">
        <v>25</v>
      </c>
      <c r="Q762" s="42" t="s">
        <v>21</v>
      </c>
      <c r="R762" s="44"/>
    </row>
    <row r="763" spans="1:18" x14ac:dyDescent="0.25">
      <c r="A763" t="str">
        <f t="shared" si="22"/>
        <v>Impianto Elettrico_Centrale scambio rete-gruppo_ALR_LOGICA_BLOCCATA-Allarme logica bloccata</v>
      </c>
      <c r="B763" t="str">
        <f t="shared" si="23"/>
        <v>ALR_LOGICA_BLOCCATA-Allarme logica bloccata</v>
      </c>
      <c r="C763" t="str">
        <f>VLOOKUP(B763,'[2]Classi allarmi RMT-STIG_rev4'!$C:$C,1,0)</f>
        <v>ALR_LOGICA_BLOCCATA-Allarme logica bloccata</v>
      </c>
      <c r="D763" t="str">
        <f>VLOOKUP(B763,'EXPORT IRIS PROD 13-11-2024'!A:A,1,0)</f>
        <v>ALR_LOGICA_BLOCCATA-Allarme logica bloccata</v>
      </c>
      <c r="E763" t="str">
        <f>VLOOKUP(H763,'EXPORT IRIS PROD 13-11-2024'!F:F,1,0)</f>
        <v>ALR_LOGICA_BLOCCATA</v>
      </c>
      <c r="F763" t="str">
        <f>VLOOKUP(I763,'EXPORT IRIS PROD 13-11-2024'!D:D,1,0)</f>
        <v>Allarme logica bloccata</v>
      </c>
      <c r="G763" s="37" t="s">
        <v>53</v>
      </c>
      <c r="H763" s="38" t="s">
        <v>1386</v>
      </c>
      <c r="I763" s="45" t="s">
        <v>1387</v>
      </c>
      <c r="J763" s="46" t="s">
        <v>56</v>
      </c>
      <c r="K763" s="46" t="s">
        <v>1198</v>
      </c>
      <c r="L763" s="40" t="s">
        <v>21</v>
      </c>
      <c r="M763" s="41" t="s">
        <v>22</v>
      </c>
      <c r="N763" s="42" t="s">
        <v>23</v>
      </c>
      <c r="O763" s="43" t="s">
        <v>24</v>
      </c>
      <c r="P763" s="42" t="s">
        <v>25</v>
      </c>
      <c r="Q763" s="42" t="s">
        <v>21</v>
      </c>
      <c r="R763" s="44"/>
    </row>
    <row r="764" spans="1:18" x14ac:dyDescent="0.25">
      <c r="A764" t="str">
        <f t="shared" si="22"/>
        <v>Impianto Videosorveglianza_Telecamera_ALR_MANCANZA_SEGNALE_VIDEO-Allarme mancanza segnale video</v>
      </c>
      <c r="B764" t="str">
        <f t="shared" si="23"/>
        <v>ALR_MANCANZA_SEGNALE_VIDEO-Allarme mancanza segnale video</v>
      </c>
      <c r="C764" t="str">
        <f>VLOOKUP(B764,'[2]Classi allarmi RMT-STIG_rev4'!$C:$C,1,0)</f>
        <v>ALR_MANCANZA_SEGNALE_VIDEO-Allarme mancanza segnale video</v>
      </c>
      <c r="D764" t="str">
        <f>VLOOKUP(B764,'EXPORT IRIS PROD 13-11-2024'!A:A,1,0)</f>
        <v>ALR_MANCANZA_SEGNALE_VIDEO-Allarme mancanza segnale video</v>
      </c>
      <c r="E764" t="str">
        <f>VLOOKUP(H764,'EXPORT IRIS PROD 13-11-2024'!F:F,1,0)</f>
        <v>ALR_MANCANZA_SEGNALE_VIDEO</v>
      </c>
      <c r="F764" t="str">
        <f>VLOOKUP(I764,'EXPORT IRIS PROD 13-11-2024'!D:D,1,0)</f>
        <v>Allarme mancanza segnale video</v>
      </c>
      <c r="G764" s="37" t="s">
        <v>198</v>
      </c>
      <c r="H764" s="38" t="s">
        <v>1388</v>
      </c>
      <c r="I764" s="45" t="s">
        <v>1389</v>
      </c>
      <c r="J764" s="46" t="s">
        <v>201</v>
      </c>
      <c r="K764" s="46" t="s">
        <v>1321</v>
      </c>
      <c r="L764" s="40" t="s">
        <v>21</v>
      </c>
      <c r="M764" s="41" t="s">
        <v>22</v>
      </c>
      <c r="N764" s="42" t="s">
        <v>23</v>
      </c>
      <c r="O764" s="43" t="s">
        <v>24</v>
      </c>
      <c r="P764" s="42" t="s">
        <v>25</v>
      </c>
      <c r="Q764" s="42" t="s">
        <v>21</v>
      </c>
      <c r="R764" s="44"/>
    </row>
    <row r="765" spans="1:18" x14ac:dyDescent="0.25">
      <c r="A765" t="str">
        <f t="shared" si="22"/>
        <v>Impianto Videosorveglianza_DVR_ALR_MANCANZA_SEGNALE_VIDEO-Allarme mancanza segnale video</v>
      </c>
      <c r="B765" t="str">
        <f t="shared" si="23"/>
        <v>ALR_MANCANZA_SEGNALE_VIDEO-Allarme mancanza segnale video</v>
      </c>
      <c r="C765" t="str">
        <f>VLOOKUP(B765,'[2]Classi allarmi RMT-STIG_rev4'!$C:$C,1,0)</f>
        <v>ALR_MANCANZA_SEGNALE_VIDEO-Allarme mancanza segnale video</v>
      </c>
      <c r="D765" t="str">
        <f>VLOOKUP(B765,'EXPORT IRIS PROD 13-11-2024'!A:A,1,0)</f>
        <v>ALR_MANCANZA_SEGNALE_VIDEO-Allarme mancanza segnale video</v>
      </c>
      <c r="E765" t="str">
        <f>VLOOKUP(H765,'EXPORT IRIS PROD 13-11-2024'!F:F,1,0)</f>
        <v>ALR_MANCANZA_SEGNALE_VIDEO</v>
      </c>
      <c r="F765" t="str">
        <f>VLOOKUP(I765,'EXPORT IRIS PROD 13-11-2024'!D:D,1,0)</f>
        <v>Allarme mancanza segnale video</v>
      </c>
      <c r="G765" s="37" t="s">
        <v>198</v>
      </c>
      <c r="H765" s="38" t="s">
        <v>1388</v>
      </c>
      <c r="I765" s="45" t="s">
        <v>1389</v>
      </c>
      <c r="J765" s="46" t="s">
        <v>201</v>
      </c>
      <c r="K765" s="46" t="s">
        <v>1390</v>
      </c>
      <c r="L765" s="40" t="s">
        <v>21</v>
      </c>
      <c r="M765" s="41" t="s">
        <v>22</v>
      </c>
      <c r="N765" s="42" t="s">
        <v>23</v>
      </c>
      <c r="O765" s="43" t="s">
        <v>24</v>
      </c>
      <c r="P765" s="42" t="s">
        <v>25</v>
      </c>
      <c r="Q765" s="42" t="s">
        <v>21</v>
      </c>
      <c r="R765" s="44"/>
    </row>
    <row r="766" spans="1:18" x14ac:dyDescent="0.25">
      <c r="A766" t="str">
        <f t="shared" si="22"/>
        <v>Impianto Videosorveglianza_Videosorveglianza generale_ALR_MANCANZA_SEGNALE_VIDEO-Allarme mancanza segnale video</v>
      </c>
      <c r="B766" t="str">
        <f t="shared" si="23"/>
        <v>ALR_MANCANZA_SEGNALE_VIDEO-Allarme mancanza segnale video</v>
      </c>
      <c r="C766" t="str">
        <f>VLOOKUP(B766,'[2]Classi allarmi RMT-STIG_rev4'!$C:$C,1,0)</f>
        <v>ALR_MANCANZA_SEGNALE_VIDEO-Allarme mancanza segnale video</v>
      </c>
      <c r="D766" t="str">
        <f>VLOOKUP(B766,'EXPORT IRIS PROD 13-11-2024'!A:A,1,0)</f>
        <v>ALR_MANCANZA_SEGNALE_VIDEO-Allarme mancanza segnale video</v>
      </c>
      <c r="E766" t="str">
        <f>VLOOKUP(H766,'EXPORT IRIS PROD 13-11-2024'!F:F,1,0)</f>
        <v>ALR_MANCANZA_SEGNALE_VIDEO</v>
      </c>
      <c r="F766" t="str">
        <f>VLOOKUP(I766,'EXPORT IRIS PROD 13-11-2024'!D:D,1,0)</f>
        <v>Allarme mancanza segnale video</v>
      </c>
      <c r="G766" s="37" t="s">
        <v>198</v>
      </c>
      <c r="H766" s="38" t="s">
        <v>1388</v>
      </c>
      <c r="I766" s="45" t="s">
        <v>1389</v>
      </c>
      <c r="J766" s="46" t="s">
        <v>201</v>
      </c>
      <c r="K766" s="46" t="s">
        <v>1391</v>
      </c>
      <c r="L766" s="40" t="s">
        <v>21</v>
      </c>
      <c r="M766" s="41" t="s">
        <v>22</v>
      </c>
      <c r="N766" s="42" t="s">
        <v>23</v>
      </c>
      <c r="O766" s="43" t="s">
        <v>24</v>
      </c>
      <c r="P766" s="42" t="s">
        <v>25</v>
      </c>
      <c r="Q766" s="42" t="s">
        <v>21</v>
      </c>
      <c r="R766" s="44"/>
    </row>
    <row r="767" spans="1:18" x14ac:dyDescent="0.25">
      <c r="A767" t="str">
        <f t="shared" si="22"/>
        <v>Impianto Elettrico_Interruttore_ALR_MANCATA_APERTURA_INTERRUTTORE-Allarme mancata apertura interruttore</v>
      </c>
      <c r="B767" t="str">
        <f t="shared" si="23"/>
        <v>ALR_MANCATA_APERTURA_INTERRUTTORE-Allarme mancata apertura interruttore</v>
      </c>
      <c r="C767" t="str">
        <f>VLOOKUP(B767,'[2]Classi allarmi RMT-STIG_rev4'!$C:$C,1,0)</f>
        <v>ALR_MANCATA_APERTURA_INTERRUTTORE-Allarme mancata apertura interruttore</v>
      </c>
      <c r="D767" t="str">
        <f>VLOOKUP(B767,'EXPORT IRIS PROD 13-11-2024'!A:A,1,0)</f>
        <v>ALR_MANCATA_APERTURA_INTERRUTTORE-Allarme mancata apertura interruttore</v>
      </c>
      <c r="E767" t="str">
        <f>VLOOKUP(H767,'EXPORT IRIS PROD 13-11-2024'!F:F,1,0)</f>
        <v>ALR_MANCATA_APERTURA_INTERRUTTORE</v>
      </c>
      <c r="F767" t="str">
        <f>VLOOKUP(I767,'EXPORT IRIS PROD 13-11-2024'!D:D,1,0)</f>
        <v>Allarme mancata apertura interruttore</v>
      </c>
      <c r="G767" s="37" t="s">
        <v>53</v>
      </c>
      <c r="H767" s="38" t="s">
        <v>1392</v>
      </c>
      <c r="I767" s="45" t="s">
        <v>1393</v>
      </c>
      <c r="J767" s="46" t="s">
        <v>56</v>
      </c>
      <c r="K767" s="46" t="s">
        <v>355</v>
      </c>
      <c r="L767" s="40" t="s">
        <v>21</v>
      </c>
      <c r="M767" s="41" t="s">
        <v>22</v>
      </c>
      <c r="N767" s="42" t="s">
        <v>23</v>
      </c>
      <c r="O767" s="43" t="s">
        <v>157</v>
      </c>
      <c r="P767" s="42" t="s">
        <v>158</v>
      </c>
      <c r="Q767" s="42" t="s">
        <v>21</v>
      </c>
      <c r="R767" s="44"/>
    </row>
    <row r="768" spans="1:18" x14ac:dyDescent="0.25">
      <c r="A768" t="str">
        <f t="shared" si="22"/>
        <v>Impianto Antincendio_Cavo scaldante_ALR_MANCATA_ATTIVAZIONE-Allarme mancata attivazione</v>
      </c>
      <c r="B768" t="str">
        <f t="shared" si="23"/>
        <v>ALR_MANCATA_ATTIVAZIONE-Allarme mancata attivazione</v>
      </c>
      <c r="C768" t="str">
        <f>VLOOKUP(B768,'[2]Classi allarmi RMT-STIG_rev4'!$C:$C,1,0)</f>
        <v>ALR_MANCATA_ATTIVAZIONE-Allarme mancata attivazione</v>
      </c>
      <c r="D768" t="str">
        <f>VLOOKUP(B768,'EXPORT IRIS PROD 13-11-2024'!A:A,1,0)</f>
        <v>ALR_MANCATA_ATTIVAZIONE-Allarme mancata attivazione</v>
      </c>
      <c r="E768" t="str">
        <f>VLOOKUP(H768,'EXPORT IRIS PROD 13-11-2024'!F:F,1,0)</f>
        <v>ALR_MANCATA_ATTIVAZIONE</v>
      </c>
      <c r="F768" t="str">
        <f>VLOOKUP(I768,'EXPORT IRIS PROD 13-11-2024'!D:D,1,0)</f>
        <v>Allarme mancata attivazione</v>
      </c>
      <c r="G768" s="37" t="s">
        <v>35</v>
      </c>
      <c r="H768" s="38" t="s">
        <v>1394</v>
      </c>
      <c r="I768" s="45" t="s">
        <v>1395</v>
      </c>
      <c r="J768" s="46" t="s">
        <v>38</v>
      </c>
      <c r="K768" s="46" t="s">
        <v>1396</v>
      </c>
      <c r="L768" s="40" t="s">
        <v>21</v>
      </c>
      <c r="M768" s="41" t="s">
        <v>22</v>
      </c>
      <c r="N768" s="42" t="s">
        <v>23</v>
      </c>
      <c r="O768" s="43" t="s">
        <v>24</v>
      </c>
      <c r="P768" s="42" t="s">
        <v>25</v>
      </c>
      <c r="Q768" s="42" t="s">
        <v>21</v>
      </c>
      <c r="R768" s="44"/>
    </row>
    <row r="769" spans="1:18" x14ac:dyDescent="0.25">
      <c r="A769" t="str">
        <f t="shared" si="22"/>
        <v>Impianto Antincendio_Resistenza serbatoio_ALR_MANCATA_ATTIVAZIONE-Allarme mancata attivazione</v>
      </c>
      <c r="B769" t="str">
        <f t="shared" si="23"/>
        <v>ALR_MANCATA_ATTIVAZIONE-Allarme mancata attivazione</v>
      </c>
      <c r="C769" t="str">
        <f>VLOOKUP(B769,'[2]Classi allarmi RMT-STIG_rev4'!$C:$C,1,0)</f>
        <v>ALR_MANCATA_ATTIVAZIONE-Allarme mancata attivazione</v>
      </c>
      <c r="D769" t="str">
        <f>VLOOKUP(B769,'EXPORT IRIS PROD 13-11-2024'!A:A,1,0)</f>
        <v>ALR_MANCATA_ATTIVAZIONE-Allarme mancata attivazione</v>
      </c>
      <c r="E769" t="str">
        <f>VLOOKUP(H769,'EXPORT IRIS PROD 13-11-2024'!F:F,1,0)</f>
        <v>ALR_MANCATA_ATTIVAZIONE</v>
      </c>
      <c r="F769" t="str">
        <f>VLOOKUP(I769,'EXPORT IRIS PROD 13-11-2024'!D:D,1,0)</f>
        <v>Allarme mancata attivazione</v>
      </c>
      <c r="G769" s="37" t="s">
        <v>35</v>
      </c>
      <c r="H769" s="38" t="s">
        <v>1394</v>
      </c>
      <c r="I769" s="45" t="s">
        <v>1395</v>
      </c>
      <c r="J769" s="46" t="s">
        <v>38</v>
      </c>
      <c r="K769" s="46" t="s">
        <v>1397</v>
      </c>
      <c r="L769" s="40" t="s">
        <v>21</v>
      </c>
      <c r="M769" s="41" t="s">
        <v>22</v>
      </c>
      <c r="N769" s="42" t="s">
        <v>23</v>
      </c>
      <c r="O769" s="43" t="s">
        <v>24</v>
      </c>
      <c r="P769" s="42" t="s">
        <v>25</v>
      </c>
      <c r="Q769" s="42" t="s">
        <v>21</v>
      </c>
      <c r="R769" s="44"/>
    </row>
    <row r="770" spans="1:18" x14ac:dyDescent="0.25">
      <c r="A770" t="str">
        <f t="shared" ref="A770:A833" si="24">CONCATENATE(J770,"_",K770,"_",B770)</f>
        <v>Impianto Bypass_Lampeggiante_ALR_MANCATA_ATTIVAZIONE-Allarme mancata attivazione</v>
      </c>
      <c r="B770" t="str">
        <f t="shared" si="23"/>
        <v>ALR_MANCATA_ATTIVAZIONE-Allarme mancata attivazione</v>
      </c>
      <c r="C770" t="str">
        <f>VLOOKUP(B770,'[2]Classi allarmi RMT-STIG_rev4'!$C:$C,1,0)</f>
        <v>ALR_MANCATA_ATTIVAZIONE-Allarme mancata attivazione</v>
      </c>
      <c r="D770" t="str">
        <f>VLOOKUP(B770,'EXPORT IRIS PROD 13-11-2024'!A:A,1,0)</f>
        <v>ALR_MANCATA_ATTIVAZIONE-Allarme mancata attivazione</v>
      </c>
      <c r="E770" t="str">
        <f>VLOOKUP(H770,'EXPORT IRIS PROD 13-11-2024'!F:F,1,0)</f>
        <v>ALR_MANCATA_ATTIVAZIONE</v>
      </c>
      <c r="F770" t="str">
        <f>VLOOKUP(I770,'EXPORT IRIS PROD 13-11-2024'!D:D,1,0)</f>
        <v>Allarme mancata attivazione</v>
      </c>
      <c r="G770" s="37" t="s">
        <v>863</v>
      </c>
      <c r="H770" s="38" t="s">
        <v>1394</v>
      </c>
      <c r="I770" s="45" t="s">
        <v>1395</v>
      </c>
      <c r="J770" s="46" t="s">
        <v>274</v>
      </c>
      <c r="K770" s="46" t="s">
        <v>1245</v>
      </c>
      <c r="L770" s="40" t="s">
        <v>21</v>
      </c>
      <c r="M770" s="41" t="s">
        <v>22</v>
      </c>
      <c r="N770" s="42" t="s">
        <v>23</v>
      </c>
      <c r="O770" s="43" t="s">
        <v>24</v>
      </c>
      <c r="P770" s="42" t="s">
        <v>25</v>
      </c>
      <c r="Q770" s="42" t="s">
        <v>21</v>
      </c>
      <c r="R770" s="44"/>
    </row>
    <row r="771" spans="1:18" x14ac:dyDescent="0.25">
      <c r="A771" t="str">
        <f t="shared" si="24"/>
        <v>Impianto illuminazione_Picchetti luminosi_ALR_MANCATA_ATTIVAZIONE_CE1-Allarme mancata attivazione CE1</v>
      </c>
      <c r="B771" t="str">
        <f t="shared" ref="B771:B834" si="25">CONCATENATE(H771,"-",I771)</f>
        <v>ALR_MANCATA_ATTIVAZIONE_CE1-Allarme mancata attivazione CE1</v>
      </c>
      <c r="C771" t="str">
        <f>VLOOKUP(B771,'[2]Classi allarmi RMT-STIG_rev4'!$C:$C,1,0)</f>
        <v>ALR_MANCATA_ATTIVAZIONE_CE1-Allarme mancata attivazione CE1</v>
      </c>
      <c r="D771" t="str">
        <f>VLOOKUP(B771,'EXPORT IRIS PROD 13-11-2024'!A:A,1,0)</f>
        <v>ALR_MANCATA_ATTIVAZIONE_CE1-Allarme mancata attivazione CE1</v>
      </c>
      <c r="E771" t="str">
        <f>VLOOKUP(H771,'EXPORT IRIS PROD 13-11-2024'!F:F,1,0)</f>
        <v>ALR_MANCATA_ATTIVAZIONE_CE1</v>
      </c>
      <c r="F771" t="str">
        <f>VLOOKUP(I771,'EXPORT IRIS PROD 13-11-2024'!D:D,1,0)</f>
        <v>Allarme mancata attivazione CE1</v>
      </c>
      <c r="G771" s="37" t="s">
        <v>115</v>
      </c>
      <c r="H771" s="38" t="s">
        <v>1398</v>
      </c>
      <c r="I771" s="45" t="s">
        <v>1399</v>
      </c>
      <c r="J771" s="46" t="s">
        <v>1142</v>
      </c>
      <c r="K771" s="46" t="s">
        <v>715</v>
      </c>
      <c r="L771" s="40" t="s">
        <v>21</v>
      </c>
      <c r="M771" s="41" t="s">
        <v>22</v>
      </c>
      <c r="N771" s="42" t="s">
        <v>23</v>
      </c>
      <c r="O771" s="43" t="s">
        <v>24</v>
      </c>
      <c r="P771" s="42" t="s">
        <v>25</v>
      </c>
      <c r="Q771" s="42" t="s">
        <v>21</v>
      </c>
      <c r="R771" s="44"/>
    </row>
    <row r="772" spans="1:18" x14ac:dyDescent="0.25">
      <c r="A772" t="str">
        <f t="shared" si="24"/>
        <v>Impianto illuminazione_Picchetti luminosi_ALR_MANCATA_ATTIVAZIONE_CE2-Allarme mancata attivazione CE2</v>
      </c>
      <c r="B772" t="str">
        <f t="shared" si="25"/>
        <v>ALR_MANCATA_ATTIVAZIONE_CE2-Allarme mancata attivazione CE2</v>
      </c>
      <c r="C772" t="str">
        <f>VLOOKUP(B772,'[2]Classi allarmi RMT-STIG_rev4'!$C:$C,1,0)</f>
        <v>ALR_MANCATA_ATTIVAZIONE_CE2-Allarme mancata attivazione CE2</v>
      </c>
      <c r="D772" t="str">
        <f>VLOOKUP(B772,'EXPORT IRIS PROD 13-11-2024'!A:A,1,0)</f>
        <v>ALR_MANCATA_ATTIVAZIONE_CE2-Allarme mancata attivazione CE2</v>
      </c>
      <c r="E772" t="str">
        <f>VLOOKUP(H772,'EXPORT IRIS PROD 13-11-2024'!F:F,1,0)</f>
        <v>ALR_MANCATA_ATTIVAZIONE_CE2</v>
      </c>
      <c r="F772" t="str">
        <f>VLOOKUP(I772,'EXPORT IRIS PROD 13-11-2024'!D:D,1,0)</f>
        <v>Allarme mancata attivazione CE2</v>
      </c>
      <c r="G772" s="37" t="s">
        <v>115</v>
      </c>
      <c r="H772" s="38" t="s">
        <v>1400</v>
      </c>
      <c r="I772" s="45" t="s">
        <v>1401</v>
      </c>
      <c r="J772" s="46" t="s">
        <v>1142</v>
      </c>
      <c r="K772" s="46" t="s">
        <v>715</v>
      </c>
      <c r="L772" s="40" t="s">
        <v>21</v>
      </c>
      <c r="M772" s="41" t="s">
        <v>22</v>
      </c>
      <c r="N772" s="42" t="s">
        <v>23</v>
      </c>
      <c r="O772" s="43" t="s">
        <v>24</v>
      </c>
      <c r="P772" s="42" t="s">
        <v>25</v>
      </c>
      <c r="Q772" s="42" t="s">
        <v>21</v>
      </c>
      <c r="R772" s="44"/>
    </row>
    <row r="773" spans="1:18" x14ac:dyDescent="0.25">
      <c r="A773" t="str">
        <f t="shared" si="24"/>
        <v>Impianto Elettrico_Interruttore_ALR_MANCATA_CHIUSURA_INTERRUTTORE-Allarme mancata interruttore</v>
      </c>
      <c r="B773" t="str">
        <f t="shared" si="25"/>
        <v>ALR_MANCATA_CHIUSURA_INTERRUTTORE-Allarme mancata interruttore</v>
      </c>
      <c r="C773" t="str">
        <f>VLOOKUP(B773,'[2]Classi allarmi RMT-STIG_rev4'!$C:$C,1,0)</f>
        <v>ALR_MANCATA_CHIUSURA_INTERRUTTORE-Allarme mancata interruttore</v>
      </c>
      <c r="D773" t="str">
        <f>VLOOKUP(B773,'EXPORT IRIS PROD 13-11-2024'!A:A,1,0)</f>
        <v>ALR_MANCATA_CHIUSURA_INTERRUTTORE-Allarme mancata interruttore</v>
      </c>
      <c r="E773" t="str">
        <f>VLOOKUP(H773,'EXPORT IRIS PROD 13-11-2024'!F:F,1,0)</f>
        <v>ALR_MANCATA_CHIUSURA_INTERRUTTORE</v>
      </c>
      <c r="F773" t="str">
        <f>VLOOKUP(I773,'EXPORT IRIS PROD 13-11-2024'!D:D,1,0)</f>
        <v>Allarme mancata interruttore</v>
      </c>
      <c r="G773" s="37" t="s">
        <v>53</v>
      </c>
      <c r="H773" s="38" t="s">
        <v>1402</v>
      </c>
      <c r="I773" s="45" t="s">
        <v>1403</v>
      </c>
      <c r="J773" s="46" t="s">
        <v>56</v>
      </c>
      <c r="K773" s="46" t="s">
        <v>355</v>
      </c>
      <c r="L773" s="40" t="s">
        <v>21</v>
      </c>
      <c r="M773" s="41" t="s">
        <v>22</v>
      </c>
      <c r="N773" s="42" t="s">
        <v>23</v>
      </c>
      <c r="O773" s="43" t="s">
        <v>157</v>
      </c>
      <c r="P773" s="42" t="s">
        <v>158</v>
      </c>
      <c r="Q773" s="42" t="s">
        <v>21</v>
      </c>
      <c r="R773" s="44"/>
    </row>
    <row r="774" spans="1:18" x14ac:dyDescent="0.25">
      <c r="A774" t="str">
        <f t="shared" si="24"/>
        <v>Impianto Antincendio_Cavo scaldante_ALR_MANCATA_DISATTIVAZIONE-Allarme mancata disattivazione</v>
      </c>
      <c r="B774" t="str">
        <f t="shared" si="25"/>
        <v>ALR_MANCATA_DISATTIVAZIONE-Allarme mancata disattivazione</v>
      </c>
      <c r="C774" t="str">
        <f>VLOOKUP(B774,'[2]Classi allarmi RMT-STIG_rev4'!$C:$C,1,0)</f>
        <v>ALR_MANCATA_DISATTIVAZIONE-Allarme mancata disattivazione</v>
      </c>
      <c r="D774" t="str">
        <f>VLOOKUP(B774,'EXPORT IRIS PROD 13-11-2024'!A:A,1,0)</f>
        <v>ALR_MANCATA_DISATTIVAZIONE-Allarme mancata disattivazione</v>
      </c>
      <c r="E774" t="str">
        <f>VLOOKUP(H774,'EXPORT IRIS PROD 13-11-2024'!F:F,1,0)</f>
        <v>ALR_MANCATA_DISATTIVAZIONE</v>
      </c>
      <c r="F774" t="str">
        <f>VLOOKUP(I774,'EXPORT IRIS PROD 13-11-2024'!D:D,1,0)</f>
        <v>Allarme mancata disattivazione</v>
      </c>
      <c r="G774" s="37" t="s">
        <v>35</v>
      </c>
      <c r="H774" s="38" t="s">
        <v>1404</v>
      </c>
      <c r="I774" s="45" t="s">
        <v>1405</v>
      </c>
      <c r="J774" s="46" t="s">
        <v>38</v>
      </c>
      <c r="K774" s="46" t="s">
        <v>1396</v>
      </c>
      <c r="L774" s="40" t="s">
        <v>21</v>
      </c>
      <c r="M774" s="41" t="s">
        <v>22</v>
      </c>
      <c r="N774" s="42" t="s">
        <v>23</v>
      </c>
      <c r="O774" s="43" t="s">
        <v>24</v>
      </c>
      <c r="P774" s="42" t="s">
        <v>25</v>
      </c>
      <c r="Q774" s="42" t="s">
        <v>21</v>
      </c>
      <c r="R774" s="44"/>
    </row>
    <row r="775" spans="1:18" x14ac:dyDescent="0.25">
      <c r="A775" t="str">
        <f t="shared" si="24"/>
        <v>Impianto Antincendio_Resistenza serbatoio_ALR_MANCATA_DISATTIVAZIONE-Allarme mancata disattivazione</v>
      </c>
      <c r="B775" t="str">
        <f t="shared" si="25"/>
        <v>ALR_MANCATA_DISATTIVAZIONE-Allarme mancata disattivazione</v>
      </c>
      <c r="C775" t="str">
        <f>VLOOKUP(B775,'[2]Classi allarmi RMT-STIG_rev4'!$C:$C,1,0)</f>
        <v>ALR_MANCATA_DISATTIVAZIONE-Allarme mancata disattivazione</v>
      </c>
      <c r="D775" t="str">
        <f>VLOOKUP(B775,'EXPORT IRIS PROD 13-11-2024'!A:A,1,0)</f>
        <v>ALR_MANCATA_DISATTIVAZIONE-Allarme mancata disattivazione</v>
      </c>
      <c r="E775" t="str">
        <f>VLOOKUP(H775,'EXPORT IRIS PROD 13-11-2024'!F:F,1,0)</f>
        <v>ALR_MANCATA_DISATTIVAZIONE</v>
      </c>
      <c r="F775" t="str">
        <f>VLOOKUP(I775,'EXPORT IRIS PROD 13-11-2024'!D:D,1,0)</f>
        <v>Allarme mancata disattivazione</v>
      </c>
      <c r="G775" s="37" t="s">
        <v>35</v>
      </c>
      <c r="H775" s="38" t="s">
        <v>1404</v>
      </c>
      <c r="I775" s="45" t="s">
        <v>1405</v>
      </c>
      <c r="J775" s="46" t="s">
        <v>38</v>
      </c>
      <c r="K775" s="46" t="s">
        <v>1397</v>
      </c>
      <c r="L775" s="40" t="s">
        <v>21</v>
      </c>
      <c r="M775" s="41" t="s">
        <v>22</v>
      </c>
      <c r="N775" s="42" t="s">
        <v>23</v>
      </c>
      <c r="O775" s="43" t="s">
        <v>24</v>
      </c>
      <c r="P775" s="42" t="s">
        <v>25</v>
      </c>
      <c r="Q775" s="42" t="s">
        <v>21</v>
      </c>
      <c r="R775" s="44"/>
    </row>
    <row r="776" spans="1:18" x14ac:dyDescent="0.25">
      <c r="A776" t="str">
        <f t="shared" si="24"/>
        <v>Impianto Bypass_Lampeggiante_ALR_MANCATA_DISATTIVAZIONE-Allarme mancata disattivazione</v>
      </c>
      <c r="B776" t="str">
        <f t="shared" si="25"/>
        <v>ALR_MANCATA_DISATTIVAZIONE-Allarme mancata disattivazione</v>
      </c>
      <c r="C776" t="str">
        <f>VLOOKUP(B776,'[2]Classi allarmi RMT-STIG_rev4'!$C:$C,1,0)</f>
        <v>ALR_MANCATA_DISATTIVAZIONE-Allarme mancata disattivazione</v>
      </c>
      <c r="D776" t="str">
        <f>VLOOKUP(B776,'EXPORT IRIS PROD 13-11-2024'!A:A,1,0)</f>
        <v>ALR_MANCATA_DISATTIVAZIONE-Allarme mancata disattivazione</v>
      </c>
      <c r="E776" t="str">
        <f>VLOOKUP(H776,'EXPORT IRIS PROD 13-11-2024'!F:F,1,0)</f>
        <v>ALR_MANCATA_DISATTIVAZIONE</v>
      </c>
      <c r="F776" t="str">
        <f>VLOOKUP(I776,'EXPORT IRIS PROD 13-11-2024'!D:D,1,0)</f>
        <v>Allarme mancata disattivazione</v>
      </c>
      <c r="G776" s="37" t="s">
        <v>863</v>
      </c>
      <c r="H776" s="38" t="s">
        <v>1404</v>
      </c>
      <c r="I776" s="45" t="s">
        <v>1405</v>
      </c>
      <c r="J776" s="46" t="s">
        <v>274</v>
      </c>
      <c r="K776" s="46" t="s">
        <v>1245</v>
      </c>
      <c r="L776" s="40" t="s">
        <v>21</v>
      </c>
      <c r="M776" s="41" t="s">
        <v>22</v>
      </c>
      <c r="N776" s="42" t="s">
        <v>23</v>
      </c>
      <c r="O776" s="43" t="s">
        <v>24</v>
      </c>
      <c r="P776" s="42" t="s">
        <v>25</v>
      </c>
      <c r="Q776" s="42" t="s">
        <v>21</v>
      </c>
      <c r="R776" s="44"/>
    </row>
    <row r="777" spans="1:18" x14ac:dyDescent="0.25">
      <c r="A777" t="str">
        <f t="shared" si="24"/>
        <v>Impianto illuminazione_Picchetti luminosi_ALR_MANCATA_DISATTIVAZIONE_CE1-Allarme mancata disattivazione CE1</v>
      </c>
      <c r="B777" t="str">
        <f t="shared" si="25"/>
        <v>ALR_MANCATA_DISATTIVAZIONE_CE1-Allarme mancata disattivazione CE1</v>
      </c>
      <c r="C777" t="str">
        <f>VLOOKUP(B777,'[2]Classi allarmi RMT-STIG_rev4'!$C:$C,1,0)</f>
        <v>ALR_MANCATA_DISATTIVAZIONE_CE1-Allarme mancata disattivazione CE1</v>
      </c>
      <c r="D777" t="str">
        <f>VLOOKUP(B777,'EXPORT IRIS PROD 13-11-2024'!A:A,1,0)</f>
        <v>ALR_MANCATA_DISATTIVAZIONE_CE1-Allarme mancata disattivazione CE1</v>
      </c>
      <c r="E777" t="str">
        <f>VLOOKUP(H777,'EXPORT IRIS PROD 13-11-2024'!F:F,1,0)</f>
        <v>ALR_MANCATA_DISATTIVAZIONE_CE1</v>
      </c>
      <c r="F777" t="str">
        <f>VLOOKUP(I777,'EXPORT IRIS PROD 13-11-2024'!D:D,1,0)</f>
        <v>Allarme mancata disattivazione CE1</v>
      </c>
      <c r="G777" s="37" t="s">
        <v>115</v>
      </c>
      <c r="H777" s="38" t="s">
        <v>1406</v>
      </c>
      <c r="I777" s="45" t="s">
        <v>1407</v>
      </c>
      <c r="J777" s="46" t="s">
        <v>1142</v>
      </c>
      <c r="K777" s="46" t="s">
        <v>715</v>
      </c>
      <c r="L777" s="40" t="s">
        <v>21</v>
      </c>
      <c r="M777" s="41" t="s">
        <v>22</v>
      </c>
      <c r="N777" s="42" t="s">
        <v>23</v>
      </c>
      <c r="O777" s="43" t="s">
        <v>24</v>
      </c>
      <c r="P777" s="42" t="s">
        <v>25</v>
      </c>
      <c r="Q777" s="42" t="s">
        <v>21</v>
      </c>
      <c r="R777" s="44"/>
    </row>
    <row r="778" spans="1:18" x14ac:dyDescent="0.25">
      <c r="A778" t="str">
        <f t="shared" si="24"/>
        <v>Impianto illuminazione_Picchetti luminosi_ALR_MANCATA_DISATTIVAZIONE_CE2-Allarme mancata disattivazione CE2</v>
      </c>
      <c r="B778" t="str">
        <f t="shared" si="25"/>
        <v>ALR_MANCATA_DISATTIVAZIONE_CE2-Allarme mancata disattivazione CE2</v>
      </c>
      <c r="C778" t="str">
        <f>VLOOKUP(B778,'[2]Classi allarmi RMT-STIG_rev4'!$C:$C,1,0)</f>
        <v>ALR_MANCATA_DISATTIVAZIONE_CE2-Allarme mancata disattivazione CE2</v>
      </c>
      <c r="D778" t="str">
        <f>VLOOKUP(B778,'EXPORT IRIS PROD 13-11-2024'!A:A,1,0)</f>
        <v>ALR_MANCATA_DISATTIVAZIONE_CE2-Allarme mancata disattivazione CE2</v>
      </c>
      <c r="E778" t="str">
        <f>VLOOKUP(H778,'EXPORT IRIS PROD 13-11-2024'!F:F,1,0)</f>
        <v>ALR_MANCATA_DISATTIVAZIONE_CE2</v>
      </c>
      <c r="F778" t="str">
        <f>VLOOKUP(I778,'EXPORT IRIS PROD 13-11-2024'!D:D,1,0)</f>
        <v>Allarme mancata disattivazione CE2</v>
      </c>
      <c r="G778" s="37" t="s">
        <v>115</v>
      </c>
      <c r="H778" s="38" t="s">
        <v>1408</v>
      </c>
      <c r="I778" s="45" t="s">
        <v>1409</v>
      </c>
      <c r="J778" s="46" t="s">
        <v>1142</v>
      </c>
      <c r="K778" s="46" t="s">
        <v>715</v>
      </c>
      <c r="L778" s="40" t="s">
        <v>21</v>
      </c>
      <c r="M778" s="41" t="s">
        <v>22</v>
      </c>
      <c r="N778" s="42" t="s">
        <v>23</v>
      </c>
      <c r="O778" s="43" t="s">
        <v>24</v>
      </c>
      <c r="P778" s="42" t="s">
        <v>25</v>
      </c>
      <c r="Q778" s="42" t="s">
        <v>21</v>
      </c>
      <c r="R778" s="44"/>
    </row>
    <row r="779" spans="1:18" x14ac:dyDescent="0.25">
      <c r="A779" t="str">
        <f t="shared" si="24"/>
        <v>Impianto Ventilazione_Ventilatore_ALR_MANCATO_COMANDO_ACCENSIONE-Allarme mancato comando accensione</v>
      </c>
      <c r="B779" t="str">
        <f t="shared" si="25"/>
        <v>ALR_MANCATO_COMANDO_ACCENSIONE-Allarme mancato comando accensione</v>
      </c>
      <c r="C779" t="str">
        <f>VLOOKUP(B779,'[2]Classi allarmi RMT-STIG_rev4'!$C:$C,1,0)</f>
        <v>ALR_MANCATO_COMANDO_ACCENSIONE-Allarme mancato comando accensione</v>
      </c>
      <c r="D779" t="str">
        <f>VLOOKUP(B779,'EXPORT IRIS PROD 13-11-2024'!A:A,1,0)</f>
        <v>ALR_MANCATO_COMANDO_ACCENSIONE-Allarme mancato comando accensione</v>
      </c>
      <c r="E779" t="str">
        <f>VLOOKUP(H779,'EXPORT IRIS PROD 13-11-2024'!F:F,1,0)</f>
        <v>ALR_MANCATO_COMANDO_ACCENSIONE</v>
      </c>
      <c r="F779" t="str">
        <f>VLOOKUP(I779,'EXPORT IRIS PROD 13-11-2024'!D:D,1,0)</f>
        <v>Allarme mancato comando accensione</v>
      </c>
      <c r="G779" s="37" t="s">
        <v>85</v>
      </c>
      <c r="H779" s="38" t="s">
        <v>1410</v>
      </c>
      <c r="I779" s="45" t="s">
        <v>1411</v>
      </c>
      <c r="J779" s="46" t="s">
        <v>50</v>
      </c>
      <c r="K779" s="46" t="s">
        <v>124</v>
      </c>
      <c r="L779" s="40" t="s">
        <v>21</v>
      </c>
      <c r="M779" s="41" t="s">
        <v>22</v>
      </c>
      <c r="N779" s="42" t="s">
        <v>23</v>
      </c>
      <c r="O779" s="43" t="s">
        <v>24</v>
      </c>
      <c r="P779" s="42" t="s">
        <v>25</v>
      </c>
      <c r="Q779" s="42" t="s">
        <v>21</v>
      </c>
      <c r="R779" s="44"/>
    </row>
    <row r="780" spans="1:18" x14ac:dyDescent="0.25">
      <c r="A780" t="str">
        <f t="shared" si="24"/>
        <v>Impianto Bypass_Lampeggiante_ALR_MANCATO_COMANDO_ACCENSIONE-Allarme mancato comando accensione</v>
      </c>
      <c r="B780" t="str">
        <f t="shared" si="25"/>
        <v>ALR_MANCATO_COMANDO_ACCENSIONE-Allarme mancato comando accensione</v>
      </c>
      <c r="C780" t="str">
        <f>VLOOKUP(B780,'[2]Classi allarmi RMT-STIG_rev4'!$C:$C,1,0)</f>
        <v>ALR_MANCATO_COMANDO_ACCENSIONE-Allarme mancato comando accensione</v>
      </c>
      <c r="D780" t="str">
        <f>VLOOKUP(B780,'EXPORT IRIS PROD 13-11-2024'!A:A,1,0)</f>
        <v>ALR_MANCATO_COMANDO_ACCENSIONE-Allarme mancato comando accensione</v>
      </c>
      <c r="E780" t="str">
        <f>VLOOKUP(H780,'EXPORT IRIS PROD 13-11-2024'!F:F,1,0)</f>
        <v>ALR_MANCATO_COMANDO_ACCENSIONE</v>
      </c>
      <c r="F780" t="str">
        <f>VLOOKUP(I780,'EXPORT IRIS PROD 13-11-2024'!D:D,1,0)</f>
        <v>Allarme mancato comando accensione</v>
      </c>
      <c r="G780" s="37" t="s">
        <v>863</v>
      </c>
      <c r="H780" s="38" t="s">
        <v>1410</v>
      </c>
      <c r="I780" s="45" t="s">
        <v>1411</v>
      </c>
      <c r="J780" s="46" t="s">
        <v>274</v>
      </c>
      <c r="K780" s="46" t="s">
        <v>1245</v>
      </c>
      <c r="L780" s="40" t="s">
        <v>21</v>
      </c>
      <c r="M780" s="41" t="s">
        <v>22</v>
      </c>
      <c r="N780" s="42" t="s">
        <v>23</v>
      </c>
      <c r="O780" s="43" t="s">
        <v>24</v>
      </c>
      <c r="P780" s="42" t="s">
        <v>25</v>
      </c>
      <c r="Q780" s="42" t="s">
        <v>21</v>
      </c>
      <c r="R780" s="44"/>
    </row>
    <row r="781" spans="1:18" x14ac:dyDescent="0.25">
      <c r="A781" t="str">
        <f t="shared" si="24"/>
        <v>Impianto Antincendio_Pompa_ALR_MANCATO_COMANDO_ACCENSIONE-Allarme mancato comando accensione</v>
      </c>
      <c r="B781" t="str">
        <f t="shared" si="25"/>
        <v>ALR_MANCATO_COMANDO_ACCENSIONE-Allarme mancato comando accensione</v>
      </c>
      <c r="C781" t="str">
        <f>VLOOKUP(B781,'[2]Classi allarmi RMT-STIG_rev4'!$C:$C,1,0)</f>
        <v>ALR_MANCATO_COMANDO_ACCENSIONE-Allarme mancato comando accensione</v>
      </c>
      <c r="D781" t="str">
        <f>VLOOKUP(B781,'EXPORT IRIS PROD 13-11-2024'!A:A,1,0)</f>
        <v>ALR_MANCATO_COMANDO_ACCENSIONE-Allarme mancato comando accensione</v>
      </c>
      <c r="E781" t="str">
        <f>VLOOKUP(H781,'EXPORT IRIS PROD 13-11-2024'!F:F,1,0)</f>
        <v>ALR_MANCATO_COMANDO_ACCENSIONE</v>
      </c>
      <c r="F781" t="str">
        <f>VLOOKUP(I781,'EXPORT IRIS PROD 13-11-2024'!D:D,1,0)</f>
        <v>Allarme mancato comando accensione</v>
      </c>
      <c r="G781" s="37" t="s">
        <v>35</v>
      </c>
      <c r="H781" s="38" t="s">
        <v>1410</v>
      </c>
      <c r="I781" s="45" t="s">
        <v>1411</v>
      </c>
      <c r="J781" s="46" t="s">
        <v>38</v>
      </c>
      <c r="K781" s="46" t="s">
        <v>39</v>
      </c>
      <c r="L781" s="40" t="s">
        <v>21</v>
      </c>
      <c r="M781" s="41" t="s">
        <v>22</v>
      </c>
      <c r="N781" s="42" t="s">
        <v>23</v>
      </c>
      <c r="O781" s="43" t="s">
        <v>24</v>
      </c>
      <c r="P781" s="42" t="s">
        <v>25</v>
      </c>
      <c r="Q781" s="42" t="s">
        <v>21</v>
      </c>
      <c r="R781" s="44"/>
    </row>
    <row r="782" spans="1:18" x14ac:dyDescent="0.25">
      <c r="A782" t="str">
        <f t="shared" si="24"/>
        <v>Impianto illuminazione_Regolatore_ALR_MANCATO_COMANDO_ACCENSIONE-Allarme mancato comando accensione</v>
      </c>
      <c r="B782" t="str">
        <f t="shared" si="25"/>
        <v>ALR_MANCATO_COMANDO_ACCENSIONE-Allarme mancato comando accensione</v>
      </c>
      <c r="C782" t="str">
        <f>VLOOKUP(B782,'[2]Classi allarmi RMT-STIG_rev4'!$C:$C,1,0)</f>
        <v>ALR_MANCATO_COMANDO_ACCENSIONE-Allarme mancato comando accensione</v>
      </c>
      <c r="D782" t="str">
        <f>VLOOKUP(B782,'EXPORT IRIS PROD 13-11-2024'!A:A,1,0)</f>
        <v>ALR_MANCATO_COMANDO_ACCENSIONE-Allarme mancato comando accensione</v>
      </c>
      <c r="E782" t="str">
        <f>VLOOKUP(H782,'EXPORT IRIS PROD 13-11-2024'!F:F,1,0)</f>
        <v>ALR_MANCATO_COMANDO_ACCENSIONE</v>
      </c>
      <c r="F782" t="str">
        <f>VLOOKUP(I782,'EXPORT IRIS PROD 13-11-2024'!D:D,1,0)</f>
        <v>Allarme mancato comando accensione</v>
      </c>
      <c r="G782" s="37" t="s">
        <v>115</v>
      </c>
      <c r="H782" s="38" t="s">
        <v>1410</v>
      </c>
      <c r="I782" s="45" t="s">
        <v>1411</v>
      </c>
      <c r="J782" s="46" t="s">
        <v>1142</v>
      </c>
      <c r="K782" s="46" t="s">
        <v>1204</v>
      </c>
      <c r="L782" s="40" t="s">
        <v>21</v>
      </c>
      <c r="M782" s="41" t="s">
        <v>22</v>
      </c>
      <c r="N782" s="42" t="s">
        <v>23</v>
      </c>
      <c r="O782" s="43" t="s">
        <v>24</v>
      </c>
      <c r="P782" s="42" t="s">
        <v>25</v>
      </c>
      <c r="Q782" s="42" t="s">
        <v>21</v>
      </c>
      <c r="R782" s="44"/>
    </row>
    <row r="783" spans="1:18" x14ac:dyDescent="0.25">
      <c r="A783" t="str">
        <f t="shared" si="24"/>
        <v>Impianto illuminazione_Crepuscolare_ALR_MANCATO_COMANDO_ACCENSIONE-Allarme mancato comando accensione</v>
      </c>
      <c r="B783" t="str">
        <f t="shared" si="25"/>
        <v>ALR_MANCATO_COMANDO_ACCENSIONE-Allarme mancato comando accensione</v>
      </c>
      <c r="C783" t="str">
        <f>VLOOKUP(B783,'[2]Classi allarmi RMT-STIG_rev4'!$C:$C,1,0)</f>
        <v>ALR_MANCATO_COMANDO_ACCENSIONE-Allarme mancato comando accensione</v>
      </c>
      <c r="D783" t="str">
        <f>VLOOKUP(B783,'EXPORT IRIS PROD 13-11-2024'!A:A,1,0)</f>
        <v>ALR_MANCATO_COMANDO_ACCENSIONE-Allarme mancato comando accensione</v>
      </c>
      <c r="E783" t="str">
        <f>VLOOKUP(H783,'EXPORT IRIS PROD 13-11-2024'!F:F,1,0)</f>
        <v>ALR_MANCATO_COMANDO_ACCENSIONE</v>
      </c>
      <c r="F783" t="str">
        <f>VLOOKUP(I783,'EXPORT IRIS PROD 13-11-2024'!D:D,1,0)</f>
        <v>Allarme mancato comando accensione</v>
      </c>
      <c r="G783" s="37" t="s">
        <v>115</v>
      </c>
      <c r="H783" s="38" t="s">
        <v>1410</v>
      </c>
      <c r="I783" s="45" t="s">
        <v>1411</v>
      </c>
      <c r="J783" s="46" t="s">
        <v>1142</v>
      </c>
      <c r="K783" s="46" t="s">
        <v>1412</v>
      </c>
      <c r="L783" s="40" t="s">
        <v>21</v>
      </c>
      <c r="M783" s="41" t="s">
        <v>22</v>
      </c>
      <c r="N783" s="42" t="s">
        <v>23</v>
      </c>
      <c r="O783" s="43" t="s">
        <v>24</v>
      </c>
      <c r="P783" s="42" t="s">
        <v>25</v>
      </c>
      <c r="Q783" s="42" t="s">
        <v>21</v>
      </c>
      <c r="R783" s="44"/>
    </row>
    <row r="784" spans="1:18" x14ac:dyDescent="0.25">
      <c r="A784" t="str">
        <f t="shared" si="24"/>
        <v>Impianto illuminazione_Illuminazione permanente_ALR_MANCATO_COMANDO_ACCENSIONE-Allarme mancato comando accensione</v>
      </c>
      <c r="B784" t="str">
        <f t="shared" si="25"/>
        <v>ALR_MANCATO_COMANDO_ACCENSIONE-Allarme mancato comando accensione</v>
      </c>
      <c r="C784" t="str">
        <f>VLOOKUP(B784,'[2]Classi allarmi RMT-STIG_rev4'!$C:$C,1,0)</f>
        <v>ALR_MANCATO_COMANDO_ACCENSIONE-Allarme mancato comando accensione</v>
      </c>
      <c r="D784" t="str">
        <f>VLOOKUP(B784,'EXPORT IRIS PROD 13-11-2024'!A:A,1,0)</f>
        <v>ALR_MANCATO_COMANDO_ACCENSIONE-Allarme mancato comando accensione</v>
      </c>
      <c r="E784" t="str">
        <f>VLOOKUP(H784,'EXPORT IRIS PROD 13-11-2024'!F:F,1,0)</f>
        <v>ALR_MANCATO_COMANDO_ACCENSIONE</v>
      </c>
      <c r="F784" t="str">
        <f>VLOOKUP(I784,'EXPORT IRIS PROD 13-11-2024'!D:D,1,0)</f>
        <v>Allarme mancato comando accensione</v>
      </c>
      <c r="G784" s="37" t="s">
        <v>115</v>
      </c>
      <c r="H784" s="38" t="s">
        <v>1410</v>
      </c>
      <c r="I784" s="45" t="s">
        <v>1411</v>
      </c>
      <c r="J784" s="46" t="s">
        <v>1142</v>
      </c>
      <c r="K784" s="46" t="s">
        <v>1413</v>
      </c>
      <c r="L784" s="40" t="s">
        <v>21</v>
      </c>
      <c r="M784" s="41" t="s">
        <v>22</v>
      </c>
      <c r="N784" s="42" t="s">
        <v>23</v>
      </c>
      <c r="O784" s="43" t="s">
        <v>24</v>
      </c>
      <c r="P784" s="42" t="s">
        <v>25</v>
      </c>
      <c r="Q784" s="42" t="s">
        <v>21</v>
      </c>
      <c r="R784" s="44"/>
    </row>
    <row r="785" spans="1:18" x14ac:dyDescent="0.25">
      <c r="A785" t="str">
        <f t="shared" si="24"/>
        <v>Impianto Ventilazione_Ventilatore_ALR_MANCATO_COMANDO_DIR_DX-Allarme mancato comando dx</v>
      </c>
      <c r="B785" t="str">
        <f t="shared" si="25"/>
        <v>ALR_MANCATO_COMANDO_DIR_DX-Allarme mancato comando dx</v>
      </c>
      <c r="C785" t="str">
        <f>VLOOKUP(B785,'[2]Classi allarmi RMT-STIG_rev4'!$C:$C,1,0)</f>
        <v>ALR_MANCATO_COMANDO_DIR_DX-Allarme mancato comando dx</v>
      </c>
      <c r="D785" t="str">
        <f>VLOOKUP(B785,'EXPORT IRIS PROD 13-11-2024'!A:A,1,0)</f>
        <v>ALR_MANCATO_COMANDO_DIR_DX-Allarme mancato comando dx</v>
      </c>
      <c r="E785" t="str">
        <f>VLOOKUP(H785,'EXPORT IRIS PROD 13-11-2024'!F:F,1,0)</f>
        <v>ALR_MANCATO_COMANDO_DIR_DX</v>
      </c>
      <c r="F785" t="str">
        <f>VLOOKUP(I785,'EXPORT IRIS PROD 13-11-2024'!D:D,1,0)</f>
        <v>Allarme mancato comando dx</v>
      </c>
      <c r="G785" s="37" t="s">
        <v>85</v>
      </c>
      <c r="H785" s="38" t="s">
        <v>1414</v>
      </c>
      <c r="I785" s="45" t="s">
        <v>1415</v>
      </c>
      <c r="J785" s="46" t="s">
        <v>50</v>
      </c>
      <c r="K785" s="46" t="s">
        <v>124</v>
      </c>
      <c r="L785" s="40" t="s">
        <v>21</v>
      </c>
      <c r="M785" s="41" t="s">
        <v>22</v>
      </c>
      <c r="N785" s="42" t="s">
        <v>23</v>
      </c>
      <c r="O785" s="43" t="s">
        <v>24</v>
      </c>
      <c r="P785" s="42" t="s">
        <v>25</v>
      </c>
      <c r="Q785" s="42" t="s">
        <v>21</v>
      </c>
      <c r="R785" s="44"/>
    </row>
    <row r="786" spans="1:18" x14ac:dyDescent="0.25">
      <c r="A786" t="str">
        <f t="shared" si="24"/>
        <v>Impianto Ventilazione_Ventilatore_ALR_MANCATO_COMANDO_DIR_SX-Allarme mancato comando sx</v>
      </c>
      <c r="B786" t="str">
        <f t="shared" si="25"/>
        <v>ALR_MANCATO_COMANDO_DIR_SX-Allarme mancato comando sx</v>
      </c>
      <c r="C786" t="str">
        <f>VLOOKUP(B786,'[2]Classi allarmi RMT-STIG_rev4'!$C:$C,1,0)</f>
        <v>ALR_MANCATO_COMANDO_DIR_SX-Allarme mancato comando sx</v>
      </c>
      <c r="D786" t="str">
        <f>VLOOKUP(B786,'EXPORT IRIS PROD 13-11-2024'!A:A,1,0)</f>
        <v>ALR_MANCATO_COMANDO_DIR_SX-Allarme mancato comando sx</v>
      </c>
      <c r="E786" t="str">
        <f>VLOOKUP(H786,'EXPORT IRIS PROD 13-11-2024'!F:F,1,0)</f>
        <v>ALR_MANCATO_COMANDO_DIR_SX</v>
      </c>
      <c r="F786" t="str">
        <f>VLOOKUP(I786,'EXPORT IRIS PROD 13-11-2024'!D:D,1,0)</f>
        <v>Allarme mancato comando sx</v>
      </c>
      <c r="G786" s="37" t="s">
        <v>85</v>
      </c>
      <c r="H786" s="38" t="s">
        <v>1416</v>
      </c>
      <c r="I786" s="45" t="s">
        <v>1417</v>
      </c>
      <c r="J786" s="46" t="s">
        <v>50</v>
      </c>
      <c r="K786" s="46" t="s">
        <v>124</v>
      </c>
      <c r="L786" s="40" t="s">
        <v>21</v>
      </c>
      <c r="M786" s="41" t="s">
        <v>22</v>
      </c>
      <c r="N786" s="42" t="s">
        <v>23</v>
      </c>
      <c r="O786" s="43" t="s">
        <v>24</v>
      </c>
      <c r="P786" s="42" t="s">
        <v>25</v>
      </c>
      <c r="Q786" s="42" t="s">
        <v>21</v>
      </c>
      <c r="R786" s="44"/>
    </row>
    <row r="787" spans="1:18" x14ac:dyDescent="0.25">
      <c r="A787" t="str">
        <f t="shared" si="24"/>
        <v>Impianto Ventilazione_Ventilatore_ALR_MANCATO_COMANDO_SPEGNIMENTO-Allarme mancato comando spegnimento</v>
      </c>
      <c r="B787" t="str">
        <f t="shared" si="25"/>
        <v>ALR_MANCATO_COMANDO_SPEGNIMENTO-Allarme mancato comando spegnimento</v>
      </c>
      <c r="C787" t="str">
        <f>VLOOKUP(B787,'[2]Classi allarmi RMT-STIG_rev4'!$C:$C,1,0)</f>
        <v>ALR_MANCATO_COMANDO_SPEGNIMENTO-Allarme mancato comando spegnimento</v>
      </c>
      <c r="D787" t="str">
        <f>VLOOKUP(B787,'EXPORT IRIS PROD 13-11-2024'!A:A,1,0)</f>
        <v>ALR_MANCATO_COMANDO_SPEGNIMENTO-Allarme mancato comando spegnimento</v>
      </c>
      <c r="E787" t="str">
        <f>VLOOKUP(H787,'EXPORT IRIS PROD 13-11-2024'!F:F,1,0)</f>
        <v>ALR_MANCATO_COMANDO_SPEGNIMENTO</v>
      </c>
      <c r="F787" t="str">
        <f>VLOOKUP(I787,'EXPORT IRIS PROD 13-11-2024'!D:D,1,0)</f>
        <v>Allarme mancato comando spegnimento</v>
      </c>
      <c r="G787" s="37" t="s">
        <v>85</v>
      </c>
      <c r="H787" s="38" t="s">
        <v>1418</v>
      </c>
      <c r="I787" s="45" t="s">
        <v>1419</v>
      </c>
      <c r="J787" s="46" t="s">
        <v>50</v>
      </c>
      <c r="K787" s="46" t="s">
        <v>124</v>
      </c>
      <c r="L787" s="40" t="s">
        <v>21</v>
      </c>
      <c r="M787" s="41" t="s">
        <v>22</v>
      </c>
      <c r="N787" s="42" t="s">
        <v>23</v>
      </c>
      <c r="O787" s="43" t="s">
        <v>24</v>
      </c>
      <c r="P787" s="42" t="s">
        <v>25</v>
      </c>
      <c r="Q787" s="42" t="s">
        <v>21</v>
      </c>
      <c r="R787" s="44"/>
    </row>
    <row r="788" spans="1:18" x14ac:dyDescent="0.25">
      <c r="A788" t="str">
        <f t="shared" si="24"/>
        <v>Impianto Antincendio_Pompa_ALR_MANCATO_COMANDO_SPEGNIMENTO-Allarme mancato comando spegnimento</v>
      </c>
      <c r="B788" t="str">
        <f t="shared" si="25"/>
        <v>ALR_MANCATO_COMANDO_SPEGNIMENTO-Allarme mancato comando spegnimento</v>
      </c>
      <c r="C788" t="str">
        <f>VLOOKUP(B788,'[2]Classi allarmi RMT-STIG_rev4'!$C:$C,1,0)</f>
        <v>ALR_MANCATO_COMANDO_SPEGNIMENTO-Allarme mancato comando spegnimento</v>
      </c>
      <c r="D788" t="str">
        <f>VLOOKUP(B788,'EXPORT IRIS PROD 13-11-2024'!A:A,1,0)</f>
        <v>ALR_MANCATO_COMANDO_SPEGNIMENTO-Allarme mancato comando spegnimento</v>
      </c>
      <c r="E788" t="str">
        <f>VLOOKUP(H788,'EXPORT IRIS PROD 13-11-2024'!F:F,1,0)</f>
        <v>ALR_MANCATO_COMANDO_SPEGNIMENTO</v>
      </c>
      <c r="F788" t="str">
        <f>VLOOKUP(I788,'EXPORT IRIS PROD 13-11-2024'!D:D,1,0)</f>
        <v>Allarme mancato comando spegnimento</v>
      </c>
      <c r="G788" s="37" t="s">
        <v>35</v>
      </c>
      <c r="H788" s="38" t="s">
        <v>1418</v>
      </c>
      <c r="I788" s="45" t="s">
        <v>1419</v>
      </c>
      <c r="J788" s="46" t="s">
        <v>38</v>
      </c>
      <c r="K788" s="46" t="s">
        <v>39</v>
      </c>
      <c r="L788" s="40" t="s">
        <v>21</v>
      </c>
      <c r="M788" s="41" t="s">
        <v>22</v>
      </c>
      <c r="N788" s="42" t="s">
        <v>23</v>
      </c>
      <c r="O788" s="43" t="s">
        <v>24</v>
      </c>
      <c r="P788" s="42" t="s">
        <v>25</v>
      </c>
      <c r="Q788" s="42" t="s">
        <v>21</v>
      </c>
      <c r="R788" s="44"/>
    </row>
    <row r="789" spans="1:18" x14ac:dyDescent="0.25">
      <c r="A789" t="str">
        <f t="shared" si="24"/>
        <v>Impianto illuminazione_Regolatore_ALR_MANCATO_COMANDO_SPEGNIMENTO-Allarme mancato comando spegnimento</v>
      </c>
      <c r="B789" t="str">
        <f t="shared" si="25"/>
        <v>ALR_MANCATO_COMANDO_SPEGNIMENTO-Allarme mancato comando spegnimento</v>
      </c>
      <c r="C789" t="str">
        <f>VLOOKUP(B789,'[2]Classi allarmi RMT-STIG_rev4'!$C:$C,1,0)</f>
        <v>ALR_MANCATO_COMANDO_SPEGNIMENTO-Allarme mancato comando spegnimento</v>
      </c>
      <c r="D789" t="str">
        <f>VLOOKUP(B789,'EXPORT IRIS PROD 13-11-2024'!A:A,1,0)</f>
        <v>ALR_MANCATO_COMANDO_SPEGNIMENTO-Allarme mancato comando spegnimento</v>
      </c>
      <c r="E789" t="str">
        <f>VLOOKUP(H789,'EXPORT IRIS PROD 13-11-2024'!F:F,1,0)</f>
        <v>ALR_MANCATO_COMANDO_SPEGNIMENTO</v>
      </c>
      <c r="F789" t="str">
        <f>VLOOKUP(I789,'EXPORT IRIS PROD 13-11-2024'!D:D,1,0)</f>
        <v>Allarme mancato comando spegnimento</v>
      </c>
      <c r="G789" s="37" t="s">
        <v>115</v>
      </c>
      <c r="H789" s="38" t="s">
        <v>1418</v>
      </c>
      <c r="I789" s="45" t="s">
        <v>1419</v>
      </c>
      <c r="J789" s="46" t="s">
        <v>1142</v>
      </c>
      <c r="K789" s="46" t="s">
        <v>1204</v>
      </c>
      <c r="L789" s="40" t="s">
        <v>21</v>
      </c>
      <c r="M789" s="41" t="s">
        <v>22</v>
      </c>
      <c r="N789" s="42" t="s">
        <v>23</v>
      </c>
      <c r="O789" s="43" t="s">
        <v>24</v>
      </c>
      <c r="P789" s="42" t="s">
        <v>25</v>
      </c>
      <c r="Q789" s="42" t="s">
        <v>21</v>
      </c>
      <c r="R789" s="44"/>
    </row>
    <row r="790" spans="1:18" x14ac:dyDescent="0.25">
      <c r="A790" t="str">
        <f t="shared" si="24"/>
        <v>Impianto illuminazione_Crepuscolare_ALR_MANCATO_COMANDO_SPEGNIMENTO-Allarme mancato comando spegnimento</v>
      </c>
      <c r="B790" t="str">
        <f t="shared" si="25"/>
        <v>ALR_MANCATO_COMANDO_SPEGNIMENTO-Allarme mancato comando spegnimento</v>
      </c>
      <c r="C790" t="str">
        <f>VLOOKUP(B790,'[2]Classi allarmi RMT-STIG_rev4'!$C:$C,1,0)</f>
        <v>ALR_MANCATO_COMANDO_SPEGNIMENTO-Allarme mancato comando spegnimento</v>
      </c>
      <c r="D790" t="str">
        <f>VLOOKUP(B790,'EXPORT IRIS PROD 13-11-2024'!A:A,1,0)</f>
        <v>ALR_MANCATO_COMANDO_SPEGNIMENTO-Allarme mancato comando spegnimento</v>
      </c>
      <c r="E790" t="str">
        <f>VLOOKUP(H790,'EXPORT IRIS PROD 13-11-2024'!F:F,1,0)</f>
        <v>ALR_MANCATO_COMANDO_SPEGNIMENTO</v>
      </c>
      <c r="F790" t="str">
        <f>VLOOKUP(I790,'EXPORT IRIS PROD 13-11-2024'!D:D,1,0)</f>
        <v>Allarme mancato comando spegnimento</v>
      </c>
      <c r="G790" s="37" t="s">
        <v>115</v>
      </c>
      <c r="H790" s="38" t="s">
        <v>1418</v>
      </c>
      <c r="I790" s="45" t="s">
        <v>1419</v>
      </c>
      <c r="J790" s="46" t="s">
        <v>1142</v>
      </c>
      <c r="K790" s="46" t="s">
        <v>1412</v>
      </c>
      <c r="L790" s="40" t="s">
        <v>21</v>
      </c>
      <c r="M790" s="41" t="s">
        <v>22</v>
      </c>
      <c r="N790" s="42" t="s">
        <v>23</v>
      </c>
      <c r="O790" s="43" t="s">
        <v>24</v>
      </c>
      <c r="P790" s="42" t="s">
        <v>25</v>
      </c>
      <c r="Q790" s="42" t="s">
        <v>21</v>
      </c>
      <c r="R790" s="44"/>
    </row>
    <row r="791" spans="1:18" x14ac:dyDescent="0.25">
      <c r="A791" t="str">
        <f t="shared" si="24"/>
        <v>Impianto illuminazione_Illuminazione permanente_ALR_MANCATO_COMANDO_SPEGNIMENTO-Allarme mancato comando spegnimento</v>
      </c>
      <c r="B791" t="str">
        <f t="shared" si="25"/>
        <v>ALR_MANCATO_COMANDO_SPEGNIMENTO-Allarme mancato comando spegnimento</v>
      </c>
      <c r="C791" t="str">
        <f>VLOOKUP(B791,'[2]Classi allarmi RMT-STIG_rev4'!$C:$C,1,0)</f>
        <v>ALR_MANCATO_COMANDO_SPEGNIMENTO-Allarme mancato comando spegnimento</v>
      </c>
      <c r="D791" t="str">
        <f>VLOOKUP(B791,'EXPORT IRIS PROD 13-11-2024'!A:A,1,0)</f>
        <v>ALR_MANCATO_COMANDO_SPEGNIMENTO-Allarme mancato comando spegnimento</v>
      </c>
      <c r="E791" t="str">
        <f>VLOOKUP(H791,'EXPORT IRIS PROD 13-11-2024'!F:F,1,0)</f>
        <v>ALR_MANCATO_COMANDO_SPEGNIMENTO</v>
      </c>
      <c r="F791" t="str">
        <f>VLOOKUP(I791,'EXPORT IRIS PROD 13-11-2024'!D:D,1,0)</f>
        <v>Allarme mancato comando spegnimento</v>
      </c>
      <c r="G791" s="37" t="s">
        <v>115</v>
      </c>
      <c r="H791" s="38" t="s">
        <v>1418</v>
      </c>
      <c r="I791" s="45" t="s">
        <v>1419</v>
      </c>
      <c r="J791" s="46" t="s">
        <v>1142</v>
      </c>
      <c r="K791" s="46" t="s">
        <v>1413</v>
      </c>
      <c r="L791" s="40" t="s">
        <v>21</v>
      </c>
      <c r="M791" s="41" t="s">
        <v>22</v>
      </c>
      <c r="N791" s="42" t="s">
        <v>23</v>
      </c>
      <c r="O791" s="43" t="s">
        <v>24</v>
      </c>
      <c r="P791" s="42" t="s">
        <v>25</v>
      </c>
      <c r="Q791" s="42" t="s">
        <v>21</v>
      </c>
      <c r="R791" s="44"/>
    </row>
    <row r="792" spans="1:18" x14ac:dyDescent="0.25">
      <c r="A792" t="str">
        <f t="shared" si="24"/>
        <v>Impianto Elettrico_Gruppo elettrogeno_ALR_MANCATO_PRERISCALDO_GE-Allarme mancato preriscaldo gruppo elettrogeno</v>
      </c>
      <c r="B792" t="str">
        <f t="shared" si="25"/>
        <v>ALR_MANCATO_PRERISCALDO_GE-Allarme mancato preriscaldo gruppo elettrogeno</v>
      </c>
      <c r="C792" t="str">
        <f>VLOOKUP(B792,'[2]Classi allarmi RMT-STIG_rev4'!$C:$C,1,0)</f>
        <v>ALR_MANCATO_PRERISCALDO_GE-Allarme mancato preriscaldo gruppo elettrogeno</v>
      </c>
      <c r="D792" t="str">
        <f>VLOOKUP(B792,'EXPORT IRIS PROD 13-11-2024'!A:A,1,0)</f>
        <v>ALR_MANCATO_PRERISCALDO_GE-Allarme mancato preriscaldo gruppo elettrogeno</v>
      </c>
      <c r="E792" t="str">
        <f>VLOOKUP(H792,'EXPORT IRIS PROD 13-11-2024'!F:F,1,0)</f>
        <v>ALR_MANCATO_PRERISCALDO_GE</v>
      </c>
      <c r="F792" t="str">
        <f>VLOOKUP(I792,'EXPORT IRIS PROD 13-11-2024'!D:D,1,0)</f>
        <v>Allarme mancato preriscaldo gruppo elettrogeno</v>
      </c>
      <c r="G792" s="37" t="s">
        <v>53</v>
      </c>
      <c r="H792" s="38" t="s">
        <v>1420</v>
      </c>
      <c r="I792" s="45" t="s">
        <v>1421</v>
      </c>
      <c r="J792" s="46" t="s">
        <v>56</v>
      </c>
      <c r="K792" s="46" t="s">
        <v>57</v>
      </c>
      <c r="L792" s="40" t="s">
        <v>21</v>
      </c>
      <c r="M792" s="41" t="s">
        <v>22</v>
      </c>
      <c r="N792" s="42" t="s">
        <v>23</v>
      </c>
      <c r="O792" s="43" t="s">
        <v>24</v>
      </c>
      <c r="P792" s="42" t="s">
        <v>25</v>
      </c>
      <c r="Q792" s="42" t="s">
        <v>21</v>
      </c>
      <c r="R792" s="44"/>
    </row>
    <row r="793" spans="1:18" x14ac:dyDescent="0.25">
      <c r="A793" t="str">
        <f t="shared" si="24"/>
        <v>Smart Road_Regolatore_ALR_MASSIMA_CORRENTE-Allarme corrente massima</v>
      </c>
      <c r="B793" t="str">
        <f t="shared" si="25"/>
        <v>ALR_MASSIMA_CORRENTE-Allarme corrente massima</v>
      </c>
      <c r="C793" t="str">
        <f>VLOOKUP(B793,'[2]Classi allarmi RMT-STIG_rev4'!$C:$C,1,0)</f>
        <v>ALR_MASSIMA_CORRENTE-Allarme corrente massima</v>
      </c>
      <c r="D793" t="str">
        <f>VLOOKUP(B793,'EXPORT IRIS PROD 13-11-2024'!A:A,1,0)</f>
        <v>ALR_MASSIMA_CORRENTE-Allarme corrente massima</v>
      </c>
      <c r="E793" t="str">
        <f>VLOOKUP(H793,'EXPORT IRIS PROD 13-11-2024'!F:F,1,0)</f>
        <v>ALR_MASSIMA_CORRENTE</v>
      </c>
      <c r="F793" t="str">
        <f>VLOOKUP(I793,'EXPORT IRIS PROD 13-11-2024'!D:D,1,0)</f>
        <v>Allarme corrente massima</v>
      </c>
      <c r="G793" s="37" t="s">
        <v>1201</v>
      </c>
      <c r="H793" s="38" t="s">
        <v>1422</v>
      </c>
      <c r="I793" s="45" t="s">
        <v>1423</v>
      </c>
      <c r="J793" s="46" t="s">
        <v>965</v>
      </c>
      <c r="K793" s="46" t="s">
        <v>1204</v>
      </c>
      <c r="L793" s="40" t="s">
        <v>21</v>
      </c>
      <c r="M793" s="41" t="s">
        <v>22</v>
      </c>
      <c r="N793" s="42" t="s">
        <v>23</v>
      </c>
      <c r="O793" s="43" t="s">
        <v>24</v>
      </c>
      <c r="P793" s="42" t="s">
        <v>25</v>
      </c>
      <c r="Q793" s="42" t="s">
        <v>21</v>
      </c>
      <c r="R793" s="44"/>
    </row>
    <row r="794" spans="1:18" x14ac:dyDescent="0.25">
      <c r="A794" t="str">
        <f t="shared" si="24"/>
        <v>Smart road_Regolatore_ALR_MAX_TENSIONE-Allarme massima tensione</v>
      </c>
      <c r="B794" t="str">
        <f t="shared" si="25"/>
        <v>ALR_MAX_TENSIONE-Allarme massima tensione</v>
      </c>
      <c r="C794" t="str">
        <f>VLOOKUP(B794,'[2]Classi allarmi RMT-STIG_rev4'!$C:$C,1,0)</f>
        <v>ALR_MAX_TENSIONE-Allarme massima tensione</v>
      </c>
      <c r="D794" t="str">
        <f>VLOOKUP(B794,'EXPORT IRIS PROD 13-11-2024'!A:A,1,0)</f>
        <v>ALR_MAX_TENSIONE-Allarme massima tensione</v>
      </c>
      <c r="E794" t="str">
        <f>VLOOKUP(H794,'EXPORT IRIS PROD 13-11-2024'!F:F,1,0)</f>
        <v>ALR_MAX_TENSIONE</v>
      </c>
      <c r="F794" t="str">
        <f>VLOOKUP(I794,'EXPORT IRIS PROD 13-11-2024'!D:D,1,0)</f>
        <v>Allarme massima tensione</v>
      </c>
      <c r="G794" s="37" t="s">
        <v>1201</v>
      </c>
      <c r="H794" s="38" t="s">
        <v>1424</v>
      </c>
      <c r="I794" s="45" t="s">
        <v>1425</v>
      </c>
      <c r="J794" s="46" t="s">
        <v>1113</v>
      </c>
      <c r="K794" s="46" t="s">
        <v>1204</v>
      </c>
      <c r="L794" s="40" t="s">
        <v>21</v>
      </c>
      <c r="M794" s="41" t="s">
        <v>22</v>
      </c>
      <c r="N794" s="42" t="s">
        <v>23</v>
      </c>
      <c r="O794" s="43" t="s">
        <v>24</v>
      </c>
      <c r="P794" s="42" t="s">
        <v>25</v>
      </c>
      <c r="Q794" s="42" t="s">
        <v>21</v>
      </c>
      <c r="R794" s="44"/>
    </row>
    <row r="795" spans="1:18" x14ac:dyDescent="0.25">
      <c r="A795" t="str">
        <f t="shared" si="24"/>
        <v>Impianto Ventilazione_Ventilatore_ALR_MEMORIA-Allarme memoria</v>
      </c>
      <c r="B795" t="str">
        <f t="shared" si="25"/>
        <v>ALR_MEMORIA-Allarme memoria</v>
      </c>
      <c r="C795" t="str">
        <f>VLOOKUP(B795,'[2]Classi allarmi RMT-STIG_rev4'!$C:$C,1,0)</f>
        <v>ALR_MEMORIA-Allarme memoria</v>
      </c>
      <c r="D795" t="str">
        <f>VLOOKUP(B795,'EXPORT IRIS PROD 13-11-2024'!A:A,1,0)</f>
        <v>ALR_MEMORIA-Allarme memoria</v>
      </c>
      <c r="E795" t="str">
        <f>VLOOKUP(H795,'EXPORT IRIS PROD 13-11-2024'!F:F,1,0)</f>
        <v>ALR_MEMORIA</v>
      </c>
      <c r="F795" t="str">
        <f>VLOOKUP(I795,'EXPORT IRIS PROD 13-11-2024'!D:D,1,0)</f>
        <v>Allarme memoria</v>
      </c>
      <c r="G795" s="37" t="s">
        <v>85</v>
      </c>
      <c r="H795" s="38" t="s">
        <v>1426</v>
      </c>
      <c r="I795" s="45" t="s">
        <v>1427</v>
      </c>
      <c r="J795" s="46" t="s">
        <v>50</v>
      </c>
      <c r="K795" s="46" t="s">
        <v>124</v>
      </c>
      <c r="L795" s="40" t="s">
        <v>21</v>
      </c>
      <c r="M795" s="41" t="s">
        <v>22</v>
      </c>
      <c r="N795" s="42" t="s">
        <v>23</v>
      </c>
      <c r="O795" s="43" t="s">
        <v>24</v>
      </c>
      <c r="P795" s="42" t="s">
        <v>25</v>
      </c>
      <c r="Q795" s="42" t="s">
        <v>21</v>
      </c>
      <c r="R795" s="44"/>
    </row>
    <row r="796" spans="1:18" x14ac:dyDescent="0.25">
      <c r="A796" t="str">
        <f t="shared" si="24"/>
        <v>Impianto rete dati_PLC_ALR_MEMORIA-Allarme memoria</v>
      </c>
      <c r="B796" t="str">
        <f t="shared" si="25"/>
        <v>ALR_MEMORIA-Allarme memoria</v>
      </c>
      <c r="C796" t="str">
        <f>VLOOKUP(B796,'[2]Classi allarmi RMT-STIG_rev4'!$C:$C,1,0)</f>
        <v>ALR_MEMORIA-Allarme memoria</v>
      </c>
      <c r="D796" t="str">
        <f>VLOOKUP(B796,'EXPORT IRIS PROD 13-11-2024'!A:A,1,0)</f>
        <v>ALR_MEMORIA-Allarme memoria</v>
      </c>
      <c r="E796" t="str">
        <f>VLOOKUP(H796,'EXPORT IRIS PROD 13-11-2024'!F:F,1,0)</f>
        <v>ALR_MEMORIA</v>
      </c>
      <c r="F796" t="str">
        <f>VLOOKUP(I796,'EXPORT IRIS PROD 13-11-2024'!D:D,1,0)</f>
        <v>Allarme memoria</v>
      </c>
      <c r="G796" s="37" t="s">
        <v>16</v>
      </c>
      <c r="H796" s="38" t="s">
        <v>1426</v>
      </c>
      <c r="I796" s="45" t="s">
        <v>1427</v>
      </c>
      <c r="J796" s="46" t="s">
        <v>1156</v>
      </c>
      <c r="K796" s="46" t="s">
        <v>167</v>
      </c>
      <c r="L796" s="40" t="s">
        <v>21</v>
      </c>
      <c r="M796" s="41" t="s">
        <v>22</v>
      </c>
      <c r="N796" s="42" t="s">
        <v>23</v>
      </c>
      <c r="O796" s="43" t="s">
        <v>24</v>
      </c>
      <c r="P796" s="42" t="s">
        <v>25</v>
      </c>
      <c r="Q796" s="42" t="s">
        <v>21</v>
      </c>
      <c r="R796" s="44"/>
    </row>
    <row r="797" spans="1:18" x14ac:dyDescent="0.25">
      <c r="A797" t="str">
        <f t="shared" si="24"/>
        <v>Impianto SOS_Colonnina SOS_ALR_MEMORIA-Allarme memoria</v>
      </c>
      <c r="B797" t="str">
        <f t="shared" si="25"/>
        <v>ALR_MEMORIA-Allarme memoria</v>
      </c>
      <c r="C797" t="str">
        <f>VLOOKUP(B797,'[2]Classi allarmi RMT-STIG_rev4'!$C:$C,1,0)</f>
        <v>ALR_MEMORIA-Allarme memoria</v>
      </c>
      <c r="D797" t="str">
        <f>VLOOKUP(B797,'EXPORT IRIS PROD 13-11-2024'!A:A,1,0)</f>
        <v>ALR_MEMORIA-Allarme memoria</v>
      </c>
      <c r="E797" t="str">
        <f>VLOOKUP(H797,'EXPORT IRIS PROD 13-11-2024'!F:F,1,0)</f>
        <v>ALR_MEMORIA</v>
      </c>
      <c r="F797" t="str">
        <f>VLOOKUP(I797,'EXPORT IRIS PROD 13-11-2024'!D:D,1,0)</f>
        <v>Allarme memoria</v>
      </c>
      <c r="G797" s="37" t="s">
        <v>89</v>
      </c>
      <c r="H797" s="38" t="s">
        <v>1426</v>
      </c>
      <c r="I797" s="45" t="s">
        <v>1427</v>
      </c>
      <c r="J797" s="46" t="s">
        <v>29</v>
      </c>
      <c r="K797" s="46" t="s">
        <v>360</v>
      </c>
      <c r="L797" s="40" t="s">
        <v>21</v>
      </c>
      <c r="M797" s="41" t="s">
        <v>22</v>
      </c>
      <c r="N797" s="42" t="s">
        <v>23</v>
      </c>
      <c r="O797" s="43" t="s">
        <v>24</v>
      </c>
      <c r="P797" s="42" t="s">
        <v>25</v>
      </c>
      <c r="Q797" s="42" t="s">
        <v>21</v>
      </c>
      <c r="R797" s="44"/>
    </row>
    <row r="798" spans="1:18" x14ac:dyDescent="0.25">
      <c r="A798" t="str">
        <f t="shared" si="24"/>
        <v>Impianto Rilevazione Incendio_Zona incendio_ALR_MEMORIA-Allarme memoria</v>
      </c>
      <c r="B798" t="str">
        <f t="shared" si="25"/>
        <v>ALR_MEMORIA-Allarme memoria</v>
      </c>
      <c r="C798" t="str">
        <f>VLOOKUP(B798,'[2]Classi allarmi RMT-STIG_rev4'!$C:$C,1,0)</f>
        <v>ALR_MEMORIA-Allarme memoria</v>
      </c>
      <c r="D798" t="str">
        <f>VLOOKUP(B798,'EXPORT IRIS PROD 13-11-2024'!A:A,1,0)</f>
        <v>ALR_MEMORIA-Allarme memoria</v>
      </c>
      <c r="E798" t="str">
        <f>VLOOKUP(H798,'EXPORT IRIS PROD 13-11-2024'!F:F,1,0)</f>
        <v>ALR_MEMORIA</v>
      </c>
      <c r="F798" t="str">
        <f>VLOOKUP(I798,'EXPORT IRIS PROD 13-11-2024'!D:D,1,0)</f>
        <v>Allarme memoria</v>
      </c>
      <c r="G798" s="37" t="s">
        <v>105</v>
      </c>
      <c r="H798" s="38" t="s">
        <v>1426</v>
      </c>
      <c r="I798" s="45" t="s">
        <v>1427</v>
      </c>
      <c r="J798" s="46" t="s">
        <v>43</v>
      </c>
      <c r="K798" s="46" t="s">
        <v>1347</v>
      </c>
      <c r="L798" s="40" t="s">
        <v>21</v>
      </c>
      <c r="M798" s="41" t="s">
        <v>22</v>
      </c>
      <c r="N798" s="42" t="s">
        <v>23</v>
      </c>
      <c r="O798" s="43" t="s">
        <v>24</v>
      </c>
      <c r="P798" s="42" t="s">
        <v>25</v>
      </c>
      <c r="Q798" s="42" t="s">
        <v>21</v>
      </c>
      <c r="R798" s="44"/>
    </row>
    <row r="799" spans="1:18" x14ac:dyDescent="0.25">
      <c r="A799" t="str">
        <f t="shared" si="24"/>
        <v>Impianto Rilevazione Incendio_Centralina rilevazione incendio/fibrolaser_ALR_MEMORIA-Allarme memoria</v>
      </c>
      <c r="B799" t="str">
        <f t="shared" si="25"/>
        <v>ALR_MEMORIA-Allarme memoria</v>
      </c>
      <c r="C799" t="str">
        <f>VLOOKUP(B799,'[2]Classi allarmi RMT-STIG_rev4'!$C:$C,1,0)</f>
        <v>ALR_MEMORIA-Allarme memoria</v>
      </c>
      <c r="D799" t="str">
        <f>VLOOKUP(B799,'EXPORT IRIS PROD 13-11-2024'!A:A,1,0)</f>
        <v>ALR_MEMORIA-Allarme memoria</v>
      </c>
      <c r="E799" t="str">
        <f>VLOOKUP(H799,'EXPORT IRIS PROD 13-11-2024'!F:F,1,0)</f>
        <v>ALR_MEMORIA</v>
      </c>
      <c r="F799" t="str">
        <f>VLOOKUP(I799,'EXPORT IRIS PROD 13-11-2024'!D:D,1,0)</f>
        <v>Allarme memoria</v>
      </c>
      <c r="G799" s="37" t="s">
        <v>105</v>
      </c>
      <c r="H799" s="38" t="s">
        <v>1426</v>
      </c>
      <c r="I799" s="45" t="s">
        <v>1427</v>
      </c>
      <c r="J799" s="46" t="s">
        <v>43</v>
      </c>
      <c r="K799" s="46" t="s">
        <v>394</v>
      </c>
      <c r="L799" s="40" t="s">
        <v>21</v>
      </c>
      <c r="M799" s="41" t="s">
        <v>22</v>
      </c>
      <c r="N799" s="42" t="s">
        <v>23</v>
      </c>
      <c r="O799" s="43" t="s">
        <v>24</v>
      </c>
      <c r="P799" s="42" t="s">
        <v>25</v>
      </c>
      <c r="Q799" s="42" t="s">
        <v>21</v>
      </c>
      <c r="R799" s="44"/>
    </row>
    <row r="800" spans="1:18" x14ac:dyDescent="0.25">
      <c r="A800" t="str">
        <f t="shared" si="24"/>
        <v>Impianto SOS_Colonnina SOS_ALR_MEMORIA_113-Allarme memoria 113</v>
      </c>
      <c r="B800" t="str">
        <f t="shared" si="25"/>
        <v>ALR_MEMORIA_113-Allarme memoria 113</v>
      </c>
      <c r="C800" t="str">
        <f>VLOOKUP(B800,'[2]Classi allarmi RMT-STIG_rev4'!$C:$C,1,0)</f>
        <v>ALR_MEMORIA_113-Allarme memoria 113</v>
      </c>
      <c r="D800" t="str">
        <f>VLOOKUP(B800,'EXPORT IRIS PROD 13-11-2024'!A:A,1,0)</f>
        <v>ALR_MEMORIA_113-Allarme memoria 113</v>
      </c>
      <c r="E800" t="str">
        <f>VLOOKUP(H800,'EXPORT IRIS PROD 13-11-2024'!F:F,1,0)</f>
        <v>ALR_MEMORIA_113</v>
      </c>
      <c r="F800" t="str">
        <f>VLOOKUP(I800,'EXPORT IRIS PROD 13-11-2024'!D:D,1,0)</f>
        <v>Allarme memoria 113</v>
      </c>
      <c r="G800" s="37" t="s">
        <v>89</v>
      </c>
      <c r="H800" s="38" t="s">
        <v>1428</v>
      </c>
      <c r="I800" s="45" t="s">
        <v>1429</v>
      </c>
      <c r="J800" s="46" t="s">
        <v>29</v>
      </c>
      <c r="K800" s="46" t="s">
        <v>360</v>
      </c>
      <c r="L800" s="40" t="s">
        <v>21</v>
      </c>
      <c r="M800" s="41" t="s">
        <v>22</v>
      </c>
      <c r="N800" s="42" t="s">
        <v>23</v>
      </c>
      <c r="O800" s="43" t="s">
        <v>24</v>
      </c>
      <c r="P800" s="42" t="s">
        <v>25</v>
      </c>
      <c r="Q800" s="42" t="s">
        <v>21</v>
      </c>
      <c r="R800" s="44"/>
    </row>
    <row r="801" spans="1:18" x14ac:dyDescent="0.25">
      <c r="A801" t="str">
        <f t="shared" si="24"/>
        <v>Impianto SOS_Colonnina SOS_ALR_MEMORIA_115-Allarme memoria 115</v>
      </c>
      <c r="B801" t="str">
        <f t="shared" si="25"/>
        <v>ALR_MEMORIA_115-Allarme memoria 115</v>
      </c>
      <c r="C801" t="str">
        <f>VLOOKUP(B801,'[2]Classi allarmi RMT-STIG_rev4'!$C:$C,1,0)</f>
        <v>ALR_MEMORIA_115-Allarme memoria 115</v>
      </c>
      <c r="D801" t="str">
        <f>VLOOKUP(B801,'EXPORT IRIS PROD 13-11-2024'!A:A,1,0)</f>
        <v>ALR_MEMORIA_115-Allarme memoria 115</v>
      </c>
      <c r="E801" t="str">
        <f>VLOOKUP(H801,'EXPORT IRIS PROD 13-11-2024'!F:F,1,0)</f>
        <v>ALR_MEMORIA_115</v>
      </c>
      <c r="F801" t="str">
        <f>VLOOKUP(I801,'EXPORT IRIS PROD 13-11-2024'!D:D,1,0)</f>
        <v>Allarme memoria 115</v>
      </c>
      <c r="G801" s="37" t="s">
        <v>89</v>
      </c>
      <c r="H801" s="38" t="s">
        <v>1430</v>
      </c>
      <c r="I801" s="45" t="s">
        <v>1431</v>
      </c>
      <c r="J801" s="46" t="s">
        <v>29</v>
      </c>
      <c r="K801" s="46" t="s">
        <v>360</v>
      </c>
      <c r="L801" s="40" t="s">
        <v>21</v>
      </c>
      <c r="M801" s="41" t="s">
        <v>22</v>
      </c>
      <c r="N801" s="42" t="s">
        <v>23</v>
      </c>
      <c r="O801" s="43" t="s">
        <v>24</v>
      </c>
      <c r="P801" s="42" t="s">
        <v>25</v>
      </c>
      <c r="Q801" s="42" t="s">
        <v>21</v>
      </c>
      <c r="R801" s="44"/>
    </row>
    <row r="802" spans="1:18" x14ac:dyDescent="0.25">
      <c r="A802" t="str">
        <f t="shared" si="24"/>
        <v>Impianto SOS_Colonnina SOS_ALR_MEMORIA_118-Allarme memoria 118</v>
      </c>
      <c r="B802" t="str">
        <f t="shared" si="25"/>
        <v>ALR_MEMORIA_118-Allarme memoria 118</v>
      </c>
      <c r="C802" t="str">
        <f>VLOOKUP(B802,'[2]Classi allarmi RMT-STIG_rev4'!$C:$C,1,0)</f>
        <v>ALR_MEMORIA_118-Allarme memoria 118</v>
      </c>
      <c r="D802" t="str">
        <f>VLOOKUP(B802,'EXPORT IRIS PROD 13-11-2024'!A:A,1,0)</f>
        <v>ALR_MEMORIA_118-Allarme memoria 118</v>
      </c>
      <c r="E802" t="str">
        <f>VLOOKUP(H802,'EXPORT IRIS PROD 13-11-2024'!F:F,1,0)</f>
        <v>ALR_MEMORIA_118</v>
      </c>
      <c r="F802" t="str">
        <f>VLOOKUP(I802,'EXPORT IRIS PROD 13-11-2024'!D:D,1,0)</f>
        <v>Allarme memoria 118</v>
      </c>
      <c r="G802" s="37" t="s">
        <v>89</v>
      </c>
      <c r="H802" s="38" t="s">
        <v>1432</v>
      </c>
      <c r="I802" s="45" t="s">
        <v>1433</v>
      </c>
      <c r="J802" s="46" t="s">
        <v>29</v>
      </c>
      <c r="K802" s="46" t="s">
        <v>360</v>
      </c>
      <c r="L802" s="40" t="s">
        <v>21</v>
      </c>
      <c r="M802" s="41" t="s">
        <v>22</v>
      </c>
      <c r="N802" s="42" t="s">
        <v>23</v>
      </c>
      <c r="O802" s="43" t="s">
        <v>24</v>
      </c>
      <c r="P802" s="42" t="s">
        <v>25</v>
      </c>
      <c r="Q802" s="42" t="s">
        <v>21</v>
      </c>
      <c r="R802" s="44"/>
    </row>
    <row r="803" spans="1:18" x14ac:dyDescent="0.25">
      <c r="A803" t="str">
        <f t="shared" si="24"/>
        <v>Impianto SOS_Colonnina SOS_ALR_MEMORIA_803116-Allarme memoria SOS soccorso meccanico</v>
      </c>
      <c r="B803" t="str">
        <f t="shared" si="25"/>
        <v>ALR_MEMORIA_803116-Allarme memoria SOS soccorso meccanico</v>
      </c>
      <c r="C803" t="str">
        <f>VLOOKUP(B803,'[2]Classi allarmi RMT-STIG_rev4'!$C:$C,1,0)</f>
        <v>ALR_MEMORIA_803116-Allarme memoria SOS soccorso meccanico</v>
      </c>
      <c r="D803" t="str">
        <f>VLOOKUP(B803,'EXPORT IRIS PROD 13-11-2024'!A:A,1,0)</f>
        <v>ALR_MEMORIA_803116-Allarme memoria SOS soccorso meccanico</v>
      </c>
      <c r="E803" t="str">
        <f>VLOOKUP(H803,'EXPORT IRIS PROD 13-11-2024'!F:F,1,0)</f>
        <v>ALR_MEMORIA_803116</v>
      </c>
      <c r="F803" t="str">
        <f>VLOOKUP(I803,'EXPORT IRIS PROD 13-11-2024'!D:D,1,0)</f>
        <v>Allarme memoria SOS soccorso meccanico</v>
      </c>
      <c r="G803" s="37" t="s">
        <v>89</v>
      </c>
      <c r="H803" s="38" t="s">
        <v>1434</v>
      </c>
      <c r="I803" s="45" t="s">
        <v>1435</v>
      </c>
      <c r="J803" s="46" t="s">
        <v>29</v>
      </c>
      <c r="K803" s="46" t="s">
        <v>360</v>
      </c>
      <c r="L803" s="40" t="s">
        <v>21</v>
      </c>
      <c r="M803" s="41" t="s">
        <v>22</v>
      </c>
      <c r="N803" s="42" t="s">
        <v>23</v>
      </c>
      <c r="O803" s="43" t="s">
        <v>24</v>
      </c>
      <c r="P803" s="42" t="s">
        <v>25</v>
      </c>
      <c r="Q803" s="42" t="s">
        <v>21</v>
      </c>
      <c r="R803" s="44"/>
    </row>
    <row r="804" spans="1:18" x14ac:dyDescent="0.25">
      <c r="A804" t="str">
        <f t="shared" si="24"/>
        <v>Impianto Ventilazione_Sensore CO_ALR_MEMORIA_CO-Allarme memoria CO</v>
      </c>
      <c r="B804" t="str">
        <f t="shared" si="25"/>
        <v>ALR_MEMORIA_CO-Allarme memoria CO</v>
      </c>
      <c r="C804" t="str">
        <f>VLOOKUP(B804,'[2]Classi allarmi RMT-STIG_rev4'!$C:$C,1,0)</f>
        <v>ALR_MEMORIA_CO-Allarme memoria CO</v>
      </c>
      <c r="D804" t="str">
        <f>VLOOKUP(B804,'EXPORT IRIS PROD 13-11-2024'!A:A,1,0)</f>
        <v>ALR_MEMORIA_CO-Allarme memoria CO</v>
      </c>
      <c r="E804" t="str">
        <f>VLOOKUP(H804,'EXPORT IRIS PROD 13-11-2024'!F:F,1,0)</f>
        <v>ALR_MEMORIA_CO</v>
      </c>
      <c r="F804" t="str">
        <f>VLOOKUP(I804,'EXPORT IRIS PROD 13-11-2024'!D:D,1,0)</f>
        <v>Allarme memoria CO</v>
      </c>
      <c r="G804" s="37" t="s">
        <v>85</v>
      </c>
      <c r="H804" s="38" t="s">
        <v>1436</v>
      </c>
      <c r="I804" s="45" t="s">
        <v>1437</v>
      </c>
      <c r="J804" s="46" t="s">
        <v>50</v>
      </c>
      <c r="K804" s="46" t="s">
        <v>1438</v>
      </c>
      <c r="L804" s="40" t="s">
        <v>21</v>
      </c>
      <c r="M804" s="41" t="s">
        <v>22</v>
      </c>
      <c r="N804" s="42" t="s">
        <v>23</v>
      </c>
      <c r="O804" s="43" t="s">
        <v>24</v>
      </c>
      <c r="P804" s="42" t="s">
        <v>25</v>
      </c>
      <c r="Q804" s="42" t="s">
        <v>21</v>
      </c>
      <c r="R804" s="44"/>
    </row>
    <row r="805" spans="1:18" x14ac:dyDescent="0.25">
      <c r="A805" t="str">
        <f t="shared" si="24"/>
        <v>Impianto sos_Colonnina SOS_ALR_MEMORIA_ESTINTORE_2_ESTRATTO-Allarme memoria estintore 2 estratto</v>
      </c>
      <c r="B805" t="str">
        <f t="shared" si="25"/>
        <v>ALR_MEMORIA_ESTINTORE_2_ESTRATTO-Allarme memoria estintore 2 estratto</v>
      </c>
      <c r="C805" t="str">
        <f>VLOOKUP(B805,'[2]Classi allarmi RMT-STIG_rev4'!$C:$C,1,0)</f>
        <v>ALR_MEMORIA_ESTINTORE_2_ESTRATTO-Allarme memoria estintore 2 estratto</v>
      </c>
      <c r="D805" t="str">
        <f>VLOOKUP(B805,'EXPORT IRIS PROD 13-11-2024'!A:A,1,0)</f>
        <v>ALR_MEMORIA_ESTINTORE_2_ESTRATTO-Allarme memoria estintore 2 estratto</v>
      </c>
      <c r="E805" t="str">
        <f>VLOOKUP(H805,'EXPORT IRIS PROD 13-11-2024'!F:F,1,0)</f>
        <v>ALR_MEMORIA_ESTINTORE_2_ESTRATTO</v>
      </c>
      <c r="F805" t="str">
        <f>VLOOKUP(I805,'EXPORT IRIS PROD 13-11-2024'!D:D,1,0)</f>
        <v>Allarme memoria estintore 2 estratto</v>
      </c>
      <c r="G805" s="37" t="s">
        <v>89</v>
      </c>
      <c r="H805" s="38" t="s">
        <v>1439</v>
      </c>
      <c r="I805" s="45" t="s">
        <v>1440</v>
      </c>
      <c r="J805" s="46" t="s">
        <v>1103</v>
      </c>
      <c r="K805" s="46" t="s">
        <v>360</v>
      </c>
      <c r="L805" s="40" t="s">
        <v>21</v>
      </c>
      <c r="M805" s="41" t="s">
        <v>22</v>
      </c>
      <c r="N805" s="42" t="s">
        <v>23</v>
      </c>
      <c r="O805" s="43" t="s">
        <v>24</v>
      </c>
      <c r="P805" s="42" t="s">
        <v>25</v>
      </c>
      <c r="Q805" s="42" t="s">
        <v>21</v>
      </c>
      <c r="R805" s="44"/>
    </row>
    <row r="806" spans="1:18" x14ac:dyDescent="0.25">
      <c r="A806" t="str">
        <f t="shared" si="24"/>
        <v>Impianto SOS_Colonnina SOS_ALR_MEMORIA_ESTINTORE_ESTRATTO-Allarme memoria estintore estratto</v>
      </c>
      <c r="B806" t="str">
        <f t="shared" si="25"/>
        <v>ALR_MEMORIA_ESTINTORE_ESTRATTO-Allarme memoria estintore estratto</v>
      </c>
      <c r="C806" t="str">
        <f>VLOOKUP(B806,'[2]Classi allarmi RMT-STIG_rev4'!$C:$C,1,0)</f>
        <v>ALR_MEMORIA_ESTINTORE_ESTRATTO-Allarme memoria estintore estratto</v>
      </c>
      <c r="D806" t="str">
        <f>VLOOKUP(B806,'EXPORT IRIS PROD 13-11-2024'!A:A,1,0)</f>
        <v>ALR_MEMORIA_ESTINTORE_ESTRATTO-Allarme memoria estintore estratto</v>
      </c>
      <c r="E806" t="str">
        <f>VLOOKUP(H806,'EXPORT IRIS PROD 13-11-2024'!F:F,1,0)</f>
        <v>ALR_MEMORIA_ESTINTORE_ESTRATTO</v>
      </c>
      <c r="F806" t="str">
        <f>VLOOKUP(I806,'EXPORT IRIS PROD 13-11-2024'!D:D,1,0)</f>
        <v>Allarme memoria estintore estratto</v>
      </c>
      <c r="G806" s="37" t="s">
        <v>89</v>
      </c>
      <c r="H806" s="38" t="s">
        <v>1441</v>
      </c>
      <c r="I806" s="45" t="s">
        <v>1442</v>
      </c>
      <c r="J806" s="46" t="s">
        <v>29</v>
      </c>
      <c r="K806" s="46" t="s">
        <v>360</v>
      </c>
      <c r="L806" s="40" t="s">
        <v>21</v>
      </c>
      <c r="M806" s="41" t="s">
        <v>22</v>
      </c>
      <c r="N806" s="42" t="s">
        <v>23</v>
      </c>
      <c r="O806" s="43" t="s">
        <v>24</v>
      </c>
      <c r="P806" s="42" t="s">
        <v>25</v>
      </c>
      <c r="Q806" s="42" t="s">
        <v>21</v>
      </c>
      <c r="R806" s="44"/>
    </row>
    <row r="807" spans="1:18" x14ac:dyDescent="0.25">
      <c r="A807" t="str">
        <f t="shared" si="24"/>
        <v>Impianto Ventilazione_Sensore OP_ALR_MEMORIA_OP-Allarme memoria OP</v>
      </c>
      <c r="B807" t="str">
        <f t="shared" si="25"/>
        <v>ALR_MEMORIA_OP-Allarme memoria OP</v>
      </c>
      <c r="C807" t="str">
        <f>VLOOKUP(B807,'[2]Classi allarmi RMT-STIG_rev4'!$C:$C,1,0)</f>
        <v>ALR_MEMORIA_OP-Allarme memoria OP</v>
      </c>
      <c r="D807" t="str">
        <f>VLOOKUP(B807,'EXPORT IRIS PROD 13-11-2024'!A:A,1,0)</f>
        <v>ALR_MEMORIA_OP-Allarme memoria OP</v>
      </c>
      <c r="E807" t="str">
        <f>VLOOKUP(H807,'EXPORT IRIS PROD 13-11-2024'!F:F,1,0)</f>
        <v>ALR_MEMORIA_OP</v>
      </c>
      <c r="F807" t="str">
        <f>VLOOKUP(I807,'EXPORT IRIS PROD 13-11-2024'!D:D,1,0)</f>
        <v>Allarme memoria OP</v>
      </c>
      <c r="G807" s="37" t="s">
        <v>85</v>
      </c>
      <c r="H807" s="38" t="s">
        <v>1443</v>
      </c>
      <c r="I807" s="45" t="s">
        <v>1444</v>
      </c>
      <c r="J807" s="46" t="s">
        <v>50</v>
      </c>
      <c r="K807" s="46" t="s">
        <v>1445</v>
      </c>
      <c r="L807" s="40" t="s">
        <v>21</v>
      </c>
      <c r="M807" s="41" t="s">
        <v>22</v>
      </c>
      <c r="N807" s="42" t="s">
        <v>23</v>
      </c>
      <c r="O807" s="43" t="s">
        <v>24</v>
      </c>
      <c r="P807" s="42" t="s">
        <v>25</v>
      </c>
      <c r="Q807" s="42" t="s">
        <v>21</v>
      </c>
      <c r="R807" s="44"/>
    </row>
    <row r="808" spans="1:18" x14ac:dyDescent="0.25">
      <c r="A808" t="str">
        <f t="shared" si="24"/>
        <v>Impianto sos_Colonnina SOS_ALR_MEMORIA_PORTA_MANICHETTA-Allarme memoria porta manichetta aperta</v>
      </c>
      <c r="B808" t="str">
        <f t="shared" si="25"/>
        <v>ALR_MEMORIA_PORTA_MANICHETTA-Allarme memoria porta manichetta aperta</v>
      </c>
      <c r="C808" t="str">
        <f>VLOOKUP(B808,'[2]Classi allarmi RMT-STIG_rev4'!$C:$C,1,0)</f>
        <v>ALR_MEMORIA_PORTA_MANICHETTA-Allarme memoria porta manichetta aperta</v>
      </c>
      <c r="D808" t="str">
        <f>VLOOKUP(B808,'EXPORT IRIS PROD 13-11-2024'!A:A,1,0)</f>
        <v>ALR_MEMORIA_PORTA_MANICHETTA-Allarme memoria porta manichetta aperta</v>
      </c>
      <c r="E808" t="str">
        <f>VLOOKUP(H808,'EXPORT IRIS PROD 13-11-2024'!F:F,1,0)</f>
        <v>ALR_MEMORIA_PORTA_MANICHETTA</v>
      </c>
      <c r="F808" t="str">
        <f>VLOOKUP(I808,'EXPORT IRIS PROD 13-11-2024'!D:D,1,0)</f>
        <v>Allarme memoria porta manichetta aperta</v>
      </c>
      <c r="G808" s="37" t="s">
        <v>89</v>
      </c>
      <c r="H808" s="38" t="s">
        <v>1446</v>
      </c>
      <c r="I808" s="45" t="s">
        <v>1447</v>
      </c>
      <c r="J808" s="46" t="s">
        <v>1103</v>
      </c>
      <c r="K808" s="46" t="s">
        <v>360</v>
      </c>
      <c r="L808" s="40" t="s">
        <v>21</v>
      </c>
      <c r="M808" s="41" t="s">
        <v>22</v>
      </c>
      <c r="N808" s="42" t="s">
        <v>23</v>
      </c>
      <c r="O808" s="43" t="s">
        <v>24</v>
      </c>
      <c r="P808" s="42" t="s">
        <v>25</v>
      </c>
      <c r="Q808" s="42" t="s">
        <v>21</v>
      </c>
      <c r="R808" s="44"/>
    </row>
    <row r="809" spans="1:18" x14ac:dyDescent="0.25">
      <c r="A809" t="str">
        <f t="shared" si="24"/>
        <v>Impianto SOS_Colonnina SOS_ALR_MEMORIA_PULSANTE_CHIAMATA_SOS-Allarme memoria pulsante chiamata sos</v>
      </c>
      <c r="B809" t="str">
        <f t="shared" si="25"/>
        <v>ALR_MEMORIA_PULSANTE_CHIAMATA_SOS-Allarme memoria pulsante chiamata sos</v>
      </c>
      <c r="C809" t="str">
        <f>VLOOKUP(B809,'[2]Classi allarmi RMT-STIG_rev4'!$C:$C,1,0)</f>
        <v>ALR_MEMORIA_PULSANTE_CHIAMATA_SOS-Allarme memoria pulsante chiamata sos</v>
      </c>
      <c r="D809" t="str">
        <f>VLOOKUP(B809,'EXPORT IRIS PROD 13-11-2024'!A:A,1,0)</f>
        <v>ALR_MEMORIA_PULSANTE_CHIAMATA_SOS-Allarme memoria pulsante chiamata sos</v>
      </c>
      <c r="E809" t="str">
        <f>VLOOKUP(H809,'EXPORT IRIS PROD 13-11-2024'!F:F,1,0)</f>
        <v>ALR_MEMORIA_PULSANTE_CHIAMATA_SOS</v>
      </c>
      <c r="F809" t="str">
        <f>VLOOKUP(I809,'EXPORT IRIS PROD 13-11-2024'!D:D,1,0)</f>
        <v>Allarme memoria pulsante chiamata sos</v>
      </c>
      <c r="G809" s="37" t="s">
        <v>89</v>
      </c>
      <c r="H809" s="38" t="s">
        <v>1448</v>
      </c>
      <c r="I809" s="45" t="s">
        <v>1449</v>
      </c>
      <c r="J809" s="46" t="s">
        <v>29</v>
      </c>
      <c r="K809" s="46" t="s">
        <v>360</v>
      </c>
      <c r="L809" s="40" t="s">
        <v>21</v>
      </c>
      <c r="M809" s="41" t="s">
        <v>22</v>
      </c>
      <c r="N809" s="42" t="s">
        <v>23</v>
      </c>
      <c r="O809" s="43" t="s">
        <v>24</v>
      </c>
      <c r="P809" s="42" t="s">
        <v>25</v>
      </c>
      <c r="Q809" s="42" t="s">
        <v>21</v>
      </c>
      <c r="R809" s="44"/>
    </row>
    <row r="810" spans="1:18" x14ac:dyDescent="0.25">
      <c r="A810" t="str">
        <f t="shared" si="24"/>
        <v>Impianto SOS_SOS generale_ALR_MEZZI_PESANTI_DX-Allarme mezzi pesanti lato destro quadri</v>
      </c>
      <c r="B810" t="str">
        <f t="shared" si="25"/>
        <v>ALR_MEZZI_PESANTI_DX-Allarme mezzi pesanti lato destro quadri</v>
      </c>
      <c r="C810" t="str">
        <f>VLOOKUP(B810,'[2]Classi allarmi RMT-STIG_rev4'!$C:$C,1,0)</f>
        <v>ALR_MEZZI_PESANTI_DX-Allarme mezzi pesanti lato destro quadri</v>
      </c>
      <c r="D810" t="str">
        <f>VLOOKUP(B810,'EXPORT IRIS PROD 13-11-2024'!A:A,1,0)</f>
        <v>ALR_MEZZI_PESANTI_DX-Allarme mezzi pesanti lato destro quadri</v>
      </c>
      <c r="E810" t="str">
        <f>VLOOKUP(H810,'EXPORT IRIS PROD 13-11-2024'!F:F,1,0)</f>
        <v>ALR_MEZZI_PESANTI_DX</v>
      </c>
      <c r="F810" t="str">
        <f>VLOOKUP(I810,'EXPORT IRIS PROD 13-11-2024'!D:D,1,0)</f>
        <v>Allarme mezzi pesanti lato destro quadri</v>
      </c>
      <c r="G810" s="37" t="s">
        <v>26</v>
      </c>
      <c r="H810" s="38" t="s">
        <v>1450</v>
      </c>
      <c r="I810" s="45" t="s">
        <v>1451</v>
      </c>
      <c r="J810" s="46" t="s">
        <v>29</v>
      </c>
      <c r="K810" s="46" t="s">
        <v>1067</v>
      </c>
      <c r="L810" s="47" t="s">
        <v>31</v>
      </c>
      <c r="M810" s="48" t="s">
        <v>32</v>
      </c>
      <c r="N810" s="43">
        <v>1</v>
      </c>
      <c r="O810" s="43" t="s">
        <v>33</v>
      </c>
      <c r="P810" s="43" t="s">
        <v>34</v>
      </c>
      <c r="Q810" s="43" t="s">
        <v>31</v>
      </c>
      <c r="R810" s="44"/>
    </row>
    <row r="811" spans="1:18" x14ac:dyDescent="0.25">
      <c r="A811" t="str">
        <f t="shared" si="24"/>
        <v>Impianto SOS_SOS generale_ALR_MEZZI_PESANTI_DX_QUADRI-Allarme mezzi pesanti lato destro</v>
      </c>
      <c r="B811" t="str">
        <f t="shared" si="25"/>
        <v>ALR_MEZZI_PESANTI_DX_QUADRI-Allarme mezzi pesanti lato destro</v>
      </c>
      <c r="C811" t="str">
        <f>VLOOKUP(B811,'[2]Classi allarmi RMT-STIG_rev4'!$C:$C,1,0)</f>
        <v>ALR_MEZZI_PESANTI_DX_QUADRI-Allarme mezzi pesanti lato destro</v>
      </c>
      <c r="D811" t="str">
        <f>VLOOKUP(B811,'EXPORT IRIS PROD 13-11-2024'!A:A,1,0)</f>
        <v>ALR_MEZZI_PESANTI_DX_QUADRI-Allarme mezzi pesanti lato destro</v>
      </c>
      <c r="E811" t="str">
        <f>VLOOKUP(H811,'EXPORT IRIS PROD 13-11-2024'!F:F,1,0)</f>
        <v>ALR_MEZZI_PESANTI_DX_QUADRI</v>
      </c>
      <c r="F811" t="str">
        <f>VLOOKUP(I811,'EXPORT IRIS PROD 13-11-2024'!D:D,1,0)</f>
        <v>Allarme mezzi pesanti lato destro</v>
      </c>
      <c r="G811" s="37" t="s">
        <v>26</v>
      </c>
      <c r="H811" s="38" t="s">
        <v>1452</v>
      </c>
      <c r="I811" s="45" t="s">
        <v>1453</v>
      </c>
      <c r="J811" s="46" t="s">
        <v>29</v>
      </c>
      <c r="K811" s="46" t="s">
        <v>1067</v>
      </c>
      <c r="L811" s="47" t="s">
        <v>31</v>
      </c>
      <c r="M811" s="48" t="s">
        <v>32</v>
      </c>
      <c r="N811" s="43">
        <v>1</v>
      </c>
      <c r="O811" s="43" t="s">
        <v>33</v>
      </c>
      <c r="P811" s="43" t="s">
        <v>34</v>
      </c>
      <c r="Q811" s="43" t="s">
        <v>31</v>
      </c>
      <c r="R811" s="44"/>
    </row>
    <row r="812" spans="1:18" x14ac:dyDescent="0.25">
      <c r="A812" t="str">
        <f t="shared" si="24"/>
        <v>Impianto SOS_SOS generale_ALR_MEZZI_PESANTI_SX-Allarme mezzi pesanti lato sinistro quadri</v>
      </c>
      <c r="B812" t="str">
        <f t="shared" si="25"/>
        <v>ALR_MEZZI_PESANTI_SX-Allarme mezzi pesanti lato sinistro quadri</v>
      </c>
      <c r="C812" t="str">
        <f>VLOOKUP(B812,'[2]Classi allarmi RMT-STIG_rev4'!$C:$C,1,0)</f>
        <v>ALR_MEZZI_PESANTI_SX-Allarme mezzi pesanti lato sinistro quadri</v>
      </c>
      <c r="D812" t="str">
        <f>VLOOKUP(B812,'EXPORT IRIS PROD 13-11-2024'!A:A,1,0)</f>
        <v>ALR_MEZZI_PESANTI_SX-Allarme mezzi pesanti lato sinistro quadri</v>
      </c>
      <c r="E812" t="str">
        <f>VLOOKUP(H812,'EXPORT IRIS PROD 13-11-2024'!F:F,1,0)</f>
        <v>ALR_MEZZI_PESANTI_SX</v>
      </c>
      <c r="F812" t="str">
        <f>VLOOKUP(I812,'EXPORT IRIS PROD 13-11-2024'!D:D,1,0)</f>
        <v>Allarme mezzi pesanti lato sinistro quadri</v>
      </c>
      <c r="G812" s="37" t="s">
        <v>26</v>
      </c>
      <c r="H812" s="38" t="s">
        <v>1454</v>
      </c>
      <c r="I812" s="45" t="s">
        <v>1455</v>
      </c>
      <c r="J812" s="46" t="s">
        <v>29</v>
      </c>
      <c r="K812" s="46" t="s">
        <v>1067</v>
      </c>
      <c r="L812" s="47" t="s">
        <v>31</v>
      </c>
      <c r="M812" s="48" t="s">
        <v>32</v>
      </c>
      <c r="N812" s="43">
        <v>1</v>
      </c>
      <c r="O812" s="43" t="s">
        <v>33</v>
      </c>
      <c r="P812" s="43" t="s">
        <v>34</v>
      </c>
      <c r="Q812" s="43" t="s">
        <v>31</v>
      </c>
      <c r="R812" s="44"/>
    </row>
    <row r="813" spans="1:18" x14ac:dyDescent="0.25">
      <c r="A813" t="str">
        <f t="shared" si="24"/>
        <v>Impianto SOS_SOS generale_ALR_MEZZI_PESANTI_SX_QUADRI-Allarme mezzi pesanti lato sinistro</v>
      </c>
      <c r="B813" t="str">
        <f t="shared" si="25"/>
        <v>ALR_MEZZI_PESANTI_SX_QUADRI-Allarme mezzi pesanti lato sinistro</v>
      </c>
      <c r="C813" t="str">
        <f>VLOOKUP(B813,'[2]Classi allarmi RMT-STIG_rev4'!$C:$C,1,0)</f>
        <v>ALR_MEZZI_PESANTI_SX_QUADRI-Allarme mezzi pesanti lato sinistro</v>
      </c>
      <c r="D813" t="str">
        <f>VLOOKUP(B813,'EXPORT IRIS PROD 13-11-2024'!A:A,1,0)</f>
        <v>ALR_MEZZI_PESANTI_SX_QUADRI-Allarme mezzi pesanti lato sinistro</v>
      </c>
      <c r="E813" t="str">
        <f>VLOOKUP(H813,'EXPORT IRIS PROD 13-11-2024'!F:F,1,0)</f>
        <v>ALR_MEZZI_PESANTI_SX_QUADRI</v>
      </c>
      <c r="F813" t="str">
        <f>VLOOKUP(I813,'EXPORT IRIS PROD 13-11-2024'!D:D,1,0)</f>
        <v>Allarme mezzi pesanti lato sinistro</v>
      </c>
      <c r="G813" s="37" t="s">
        <v>26</v>
      </c>
      <c r="H813" s="38" t="s">
        <v>1456</v>
      </c>
      <c r="I813" s="45" t="s">
        <v>1457</v>
      </c>
      <c r="J813" s="46" t="s">
        <v>29</v>
      </c>
      <c r="K813" s="46" t="s">
        <v>1067</v>
      </c>
      <c r="L813" s="47" t="s">
        <v>31</v>
      </c>
      <c r="M813" s="48" t="s">
        <v>32</v>
      </c>
      <c r="N813" s="43">
        <v>1</v>
      </c>
      <c r="O813" s="43" t="s">
        <v>33</v>
      </c>
      <c r="P813" s="43" t="s">
        <v>34</v>
      </c>
      <c r="Q813" s="43" t="s">
        <v>31</v>
      </c>
      <c r="R813" s="44"/>
    </row>
    <row r="814" spans="1:18" x14ac:dyDescent="0.25">
      <c r="A814" t="str">
        <f t="shared" si="24"/>
        <v>Impianto Antincendio_Elettropompa_ALR_MINIMO_LIVELLO_ASPIRAZIONE-Allarme Minimo Livello Aspirazione</v>
      </c>
      <c r="B814" t="str">
        <f t="shared" si="25"/>
        <v>ALR_MINIMO_LIVELLO_ASPIRAZIONE-Allarme Minimo Livello Aspirazione</v>
      </c>
      <c r="C814" t="str">
        <f>VLOOKUP(B814,'[2]Classi allarmi RMT-STIG_rev4'!$C:$C,1,0)</f>
        <v>ALR_MINIMO_LIVELLO_ASPIRAZIONE-Allarme Minimo Livello Aspirazione</v>
      </c>
      <c r="D814" t="str">
        <f>VLOOKUP(B814,'EXPORT IRIS PROD 13-11-2024'!A:A,1,0)</f>
        <v>ALR_MINIMO_LIVELLO_ASPIRAZIONE-Allarme Minimo Livello Aspirazione</v>
      </c>
      <c r="E814" t="str">
        <f>VLOOKUP(H814,'EXPORT IRIS PROD 13-11-2024'!F:F,1,0)</f>
        <v>ALR_MINIMO_LIVELLO_ASPIRAZIONE</v>
      </c>
      <c r="F814" t="str">
        <f>VLOOKUP(I814,'EXPORT IRIS PROD 13-11-2024'!D:D,1,0)</f>
        <v>Allarme Minimo Livello Aspirazione</v>
      </c>
      <c r="G814" s="37" t="s">
        <v>35</v>
      </c>
      <c r="H814" s="38" t="s">
        <v>1458</v>
      </c>
      <c r="I814" s="45" t="s">
        <v>1459</v>
      </c>
      <c r="J814" s="46" t="s">
        <v>38</v>
      </c>
      <c r="K814" s="46" t="s">
        <v>301</v>
      </c>
      <c r="L814" s="40" t="s">
        <v>21</v>
      </c>
      <c r="M814" s="41" t="s">
        <v>22</v>
      </c>
      <c r="N814" s="42" t="s">
        <v>23</v>
      </c>
      <c r="O814" s="43" t="s">
        <v>24</v>
      </c>
      <c r="P814" s="42" t="s">
        <v>25</v>
      </c>
      <c r="Q814" s="42" t="s">
        <v>21</v>
      </c>
      <c r="R814" s="44"/>
    </row>
    <row r="815" spans="1:18" x14ac:dyDescent="0.25">
      <c r="A815" t="str">
        <f t="shared" si="24"/>
        <v>Impianto Rilevazione Incendio_Centralina rilevazione incendio/fibrolaser_ALR_MISURA_METRICA-Allarme Guasto Misura Metrica</v>
      </c>
      <c r="B815" t="str">
        <f t="shared" si="25"/>
        <v>ALR_MISURA_METRICA-Allarme Guasto Misura Metrica</v>
      </c>
      <c r="C815" t="str">
        <f>VLOOKUP(B815,'[2]Classi allarmi RMT-STIG_rev4'!$C:$C,1,0)</f>
        <v>ALR_MISURA_METRICA-Allarme Guasto Misura Metrica</v>
      </c>
      <c r="D815" t="str">
        <f>VLOOKUP(B815,'EXPORT IRIS PROD 13-11-2024'!A:A,1,0)</f>
        <v>ALR_MISURA_METRICA-Allarme Guasto Misura Metrica</v>
      </c>
      <c r="E815" t="str">
        <f>VLOOKUP(H815,'EXPORT IRIS PROD 13-11-2024'!F:F,1,0)</f>
        <v>ALR_MISURA_METRICA</v>
      </c>
      <c r="F815" t="str">
        <f>VLOOKUP(I815,'EXPORT IRIS PROD 13-11-2024'!D:D,1,0)</f>
        <v>Allarme Guasto Misura Metrica</v>
      </c>
      <c r="G815" s="37" t="s">
        <v>105</v>
      </c>
      <c r="H815" s="38" t="s">
        <v>1460</v>
      </c>
      <c r="I815" s="45" t="s">
        <v>1461</v>
      </c>
      <c r="J815" s="46" t="s">
        <v>43</v>
      </c>
      <c r="K815" s="46" t="s">
        <v>394</v>
      </c>
      <c r="L815" s="40" t="s">
        <v>31</v>
      </c>
      <c r="M815" s="41" t="s">
        <v>32</v>
      </c>
      <c r="N815" s="42">
        <v>3</v>
      </c>
      <c r="O815" s="43" t="s">
        <v>33</v>
      </c>
      <c r="P815" s="42" t="s">
        <v>34</v>
      </c>
      <c r="Q815" s="42" t="s">
        <v>31</v>
      </c>
      <c r="R815" s="44"/>
    </row>
    <row r="816" spans="1:18" x14ac:dyDescent="0.25">
      <c r="A816" t="str">
        <f t="shared" si="24"/>
        <v>Impianto elettrico_Interruttore_ALR_MOLLE_SCARICHE-Allarme molle scariche</v>
      </c>
      <c r="B816" t="str">
        <f t="shared" si="25"/>
        <v>ALR_MOLLE_SCARICHE-Allarme molle scariche</v>
      </c>
      <c r="C816" t="str">
        <f>VLOOKUP(B816,'[2]Classi allarmi RMT-STIG_rev4'!$C:$C,1,0)</f>
        <v>ALR_MOLLE_SCARICHE-Allarme molle scariche</v>
      </c>
      <c r="D816" t="str">
        <f>VLOOKUP(B816,'EXPORT IRIS PROD 13-11-2024'!A:A,1,0)</f>
        <v>ALR_MOLLE_SCARICHE-Allarme molle scariche</v>
      </c>
      <c r="E816" t="str">
        <f>VLOOKUP(H816,'EXPORT IRIS PROD 13-11-2024'!F:F,1,0)</f>
        <v>ALR_MOLLE_SCARICHE</v>
      </c>
      <c r="F816" t="str">
        <f>VLOOKUP(I816,'EXPORT IRIS PROD 13-11-2024'!D:D,1,0)</f>
        <v>Allarme molle scariche</v>
      </c>
      <c r="G816" s="37" t="s">
        <v>53</v>
      </c>
      <c r="H816" s="38" t="s">
        <v>1462</v>
      </c>
      <c r="I816" s="45" t="s">
        <v>1463</v>
      </c>
      <c r="J816" s="46" t="s">
        <v>1106</v>
      </c>
      <c r="K816" s="46" t="s">
        <v>355</v>
      </c>
      <c r="L816" s="40" t="s">
        <v>21</v>
      </c>
      <c r="M816" s="41" t="s">
        <v>22</v>
      </c>
      <c r="N816" s="42" t="s">
        <v>23</v>
      </c>
      <c r="O816" s="43" t="s">
        <v>157</v>
      </c>
      <c r="P816" s="42" t="s">
        <v>158</v>
      </c>
      <c r="Q816" s="42" t="s">
        <v>21</v>
      </c>
      <c r="R816" s="44"/>
    </row>
    <row r="817" spans="1:18" x14ac:dyDescent="0.25">
      <c r="A817" t="str">
        <f t="shared" si="24"/>
        <v>Impianto Ventilazione_Sensore CO/ventilazione generale_ALR_NO-Allarme guasto sensore NO</v>
      </c>
      <c r="B817" t="str">
        <f t="shared" si="25"/>
        <v>ALR_NO-Allarme guasto sensore NO</v>
      </c>
      <c r="C817" t="str">
        <f>VLOOKUP(B817,'[2]Classi allarmi RMT-STIG_rev4'!$C:$C,1,0)</f>
        <v>ALR_NO-Allarme guasto sensore NO</v>
      </c>
      <c r="D817" t="str">
        <f>VLOOKUP(B817,'EXPORT IRIS PROD 13-11-2024'!A:A,1,0)</f>
        <v>ALR_NO-Allarme guasto sensore NO</v>
      </c>
      <c r="E817" t="str">
        <f>VLOOKUP(H817,'EXPORT IRIS PROD 13-11-2024'!F:F,1,0)</f>
        <v>ALR_NO</v>
      </c>
      <c r="F817" t="str">
        <f>VLOOKUP(I817,'EXPORT IRIS PROD 13-11-2024'!D:D,1,0)</f>
        <v>Allarme guasto sensore NO</v>
      </c>
      <c r="G817" s="37" t="s">
        <v>85</v>
      </c>
      <c r="H817" s="38" t="s">
        <v>1464</v>
      </c>
      <c r="I817" s="45" t="s">
        <v>1465</v>
      </c>
      <c r="J817" s="46" t="s">
        <v>50</v>
      </c>
      <c r="K817" s="46" t="s">
        <v>1466</v>
      </c>
      <c r="L817" s="40" t="s">
        <v>21</v>
      </c>
      <c r="M817" s="41" t="s">
        <v>22</v>
      </c>
      <c r="N817" s="42" t="s">
        <v>23</v>
      </c>
      <c r="O817" s="43" t="s">
        <v>24</v>
      </c>
      <c r="P817" s="42" t="s">
        <v>25</v>
      </c>
      <c r="Q817" s="42" t="s">
        <v>21</v>
      </c>
      <c r="R817" s="44"/>
    </row>
    <row r="818" spans="1:18" x14ac:dyDescent="0.25">
      <c r="A818" t="str">
        <f t="shared" si="24"/>
        <v>Impianto Antincendio_Elettropompa_ALR_NON_PRONTO-Allarme dispositivo non pronto</v>
      </c>
      <c r="B818" t="str">
        <f t="shared" si="25"/>
        <v>ALR_NON_PRONTO-Allarme dispositivo non pronto</v>
      </c>
      <c r="C818" t="str">
        <f>VLOOKUP(B818,'[2]Classi allarmi RMT-STIG_rev4'!$C:$C,1,0)</f>
        <v>ALR_NON_PRONTO-Allarme dispositivo non pronto</v>
      </c>
      <c r="D818" t="str">
        <f>VLOOKUP(B818,'EXPORT IRIS PROD 13-11-2024'!A:A,1,0)</f>
        <v>ALR_NON_PRONTO-Allarme dispositivo non pronto</v>
      </c>
      <c r="E818" t="str">
        <f>VLOOKUP(H818,'EXPORT IRIS PROD 13-11-2024'!F:F,1,0)</f>
        <v>ALR_NON_PRONTO</v>
      </c>
      <c r="F818" t="str">
        <f>VLOOKUP(I818,'EXPORT IRIS PROD 13-11-2024'!D:D,1,0)</f>
        <v>Allarme dispositivo non pronto</v>
      </c>
      <c r="G818" s="37" t="s">
        <v>35</v>
      </c>
      <c r="H818" s="38" t="s">
        <v>1467</v>
      </c>
      <c r="I818" s="45" t="s">
        <v>1468</v>
      </c>
      <c r="J818" s="46" t="s">
        <v>38</v>
      </c>
      <c r="K818" s="46" t="s">
        <v>301</v>
      </c>
      <c r="L818" s="40" t="s">
        <v>21</v>
      </c>
      <c r="M818" s="41" t="s">
        <v>22</v>
      </c>
      <c r="N818" s="42" t="s">
        <v>23</v>
      </c>
      <c r="O818" s="43" t="s">
        <v>24</v>
      </c>
      <c r="P818" s="42" t="s">
        <v>25</v>
      </c>
      <c r="Q818" s="42" t="s">
        <v>21</v>
      </c>
      <c r="R818" s="44"/>
    </row>
    <row r="819" spans="1:18" x14ac:dyDescent="0.25">
      <c r="A819" t="str">
        <f t="shared" si="24"/>
        <v>Illuminazione punto-punto_Centralina/Luce_ALR_NON_RAGGIUNGIBILE-Dispositivo non raggiungibile</v>
      </c>
      <c r="B819" t="str">
        <f t="shared" si="25"/>
        <v>ALR_NON_RAGGIUNGIBILE-Dispositivo non raggiungibile</v>
      </c>
      <c r="C819" t="str">
        <f>VLOOKUP(B819,'[2]Classi allarmi RMT-STIG_rev4'!$C:$C,1,0)</f>
        <v>ALR_NON_RAGGIUNGIBILE-Dispositivo non raggiungibile</v>
      </c>
      <c r="D819" t="str">
        <f>VLOOKUP(B819,'EXPORT IRIS PROD 13-11-2024'!A:A,1,0)</f>
        <v>ALR_NON_RAGGIUNGIBILE-Dispositivo non raggiungibile</v>
      </c>
      <c r="E819" t="str">
        <f>VLOOKUP(H819,'EXPORT IRIS PROD 13-11-2024'!F:F,1,0)</f>
        <v>ALR_NON_RAGGIUNGIBILE</v>
      </c>
      <c r="F819" t="str">
        <f>VLOOKUP(I819,'EXPORT IRIS PROD 13-11-2024'!D:D,1,0)</f>
        <v>Dispositivo non raggiungibile</v>
      </c>
      <c r="G819" s="37" t="s">
        <v>115</v>
      </c>
      <c r="H819" s="38" t="s">
        <v>1469</v>
      </c>
      <c r="I819" s="45" t="s">
        <v>1470</v>
      </c>
      <c r="J819" s="46" t="s">
        <v>1152</v>
      </c>
      <c r="K819" s="46" t="s">
        <v>1153</v>
      </c>
      <c r="L819" s="40" t="s">
        <v>21</v>
      </c>
      <c r="M819" s="41" t="s">
        <v>22</v>
      </c>
      <c r="N819" s="42" t="s">
        <v>23</v>
      </c>
      <c r="O819" s="43" t="s">
        <v>24</v>
      </c>
      <c r="P819" s="42" t="s">
        <v>25</v>
      </c>
      <c r="Q819" s="42" t="s">
        <v>21</v>
      </c>
      <c r="R819" s="44"/>
    </row>
    <row r="820" spans="1:18" x14ac:dyDescent="0.25">
      <c r="A820" t="str">
        <f t="shared" si="24"/>
        <v>Impianto Ventilazione_Ventilazione generale_ALR_NUM_VENTILATORI_INSUFFICIENTI-Allarme numero ventilatori insufficienti da avviare</v>
      </c>
      <c r="B820" t="str">
        <f t="shared" si="25"/>
        <v>ALR_NUM_VENTILATORI_INSUFFICIENTI-Allarme numero ventilatori insufficienti da avviare</v>
      </c>
      <c r="C820" t="str">
        <f>VLOOKUP(B820,'[2]Classi allarmi RMT-STIG_rev4'!$C:$C,1,0)</f>
        <v>ALR_NUM_VENTILATORI_INSUFFICIENTI-Allarme numero ventilatori insufficienti da avviare</v>
      </c>
      <c r="D820" t="str">
        <f>VLOOKUP(B820,'EXPORT IRIS PROD 13-11-2024'!A:A,1,0)</f>
        <v>ALR_NUM_VENTILATORI_INSUFFICIENTI-Allarme numero ventilatori insufficienti da avviare</v>
      </c>
      <c r="E820" t="str">
        <f>VLOOKUP(H820,'EXPORT IRIS PROD 13-11-2024'!F:F,1,0)</f>
        <v>ALR_NUM_VENTILATORI_INSUFFICIENTI</v>
      </c>
      <c r="F820" t="str">
        <f>VLOOKUP(I820,'EXPORT IRIS PROD 13-11-2024'!D:D,1,0)</f>
        <v>Allarme numero ventilatori insufficienti da avviare</v>
      </c>
      <c r="G820" s="37" t="s">
        <v>85</v>
      </c>
      <c r="H820" s="38" t="s">
        <v>1471</v>
      </c>
      <c r="I820" s="38" t="s">
        <v>1472</v>
      </c>
      <c r="J820" s="39" t="s">
        <v>50</v>
      </c>
      <c r="K820" s="39" t="s">
        <v>445</v>
      </c>
      <c r="L820" s="40" t="s">
        <v>21</v>
      </c>
      <c r="M820" s="41" t="s">
        <v>22</v>
      </c>
      <c r="N820" s="42" t="s">
        <v>23</v>
      </c>
      <c r="O820" s="43" t="s">
        <v>24</v>
      </c>
      <c r="P820" s="42" t="s">
        <v>25</v>
      </c>
      <c r="Q820" s="42" t="s">
        <v>21</v>
      </c>
      <c r="R820" s="44"/>
    </row>
    <row r="821" spans="1:18" x14ac:dyDescent="0.25">
      <c r="A821" t="str">
        <f t="shared" si="24"/>
        <v>Impianto videosorveglianza_TVCC generale_ALR_OGGETTO_DISPERSO_CORSIA_1-Allarme oggetto disperso corsia di emergenza</v>
      </c>
      <c r="B821" t="str">
        <f t="shared" si="25"/>
        <v>ALR_OGGETTO_DISPERSO_CORSIA_1-Allarme oggetto disperso corsia di emergenza</v>
      </c>
      <c r="C821" t="str">
        <f>VLOOKUP(B821,'[2]Classi allarmi RMT-STIG_rev4'!$C:$C,1,0)</f>
        <v>ALR_OGGETTO_DISPERSO_CORSIA_1-Allarme oggetto disperso corsia di emergenza</v>
      </c>
      <c r="D821" t="str">
        <f>VLOOKUP(B821,'EXPORT IRIS PROD 13-11-2024'!A:A,1,0)</f>
        <v>ALR_OGGETTO_DISPERSO_CORSIA_1-Allarme oggetto disperso corsia di emergenza</v>
      </c>
      <c r="E821" t="str">
        <f>VLOOKUP(H821,'EXPORT IRIS PROD 13-11-2024'!F:F,1,0)</f>
        <v>ALR_OGGETTO_DISPERSO_CORSIA_1</v>
      </c>
      <c r="F821" t="str">
        <f>VLOOKUP(I821,'EXPORT IRIS PROD 13-11-2024'!D:D,1,0)</f>
        <v>Allarme oggetto disperso corsia di emergenza</v>
      </c>
      <c r="G821" s="37" t="s">
        <v>528</v>
      </c>
      <c r="H821" s="38" t="s">
        <v>1473</v>
      </c>
      <c r="I821" s="45" t="s">
        <v>1474</v>
      </c>
      <c r="J821" s="46" t="s">
        <v>1337</v>
      </c>
      <c r="K821" s="46" t="s">
        <v>1338</v>
      </c>
      <c r="L821" s="47" t="s">
        <v>31</v>
      </c>
      <c r="M821" s="48" t="s">
        <v>32</v>
      </c>
      <c r="N821" s="43">
        <v>1</v>
      </c>
      <c r="O821" s="43" t="s">
        <v>33</v>
      </c>
      <c r="P821" s="43" t="s">
        <v>34</v>
      </c>
      <c r="Q821" s="43" t="s">
        <v>31</v>
      </c>
      <c r="R821" s="44"/>
    </row>
    <row r="822" spans="1:18" x14ac:dyDescent="0.25">
      <c r="A822" t="str">
        <f t="shared" si="24"/>
        <v>Impianto videosorveglianza_Telecamera_ALR_OGGETTO_DISPERSO_CORSIA_1-Allarme oggetto disperso corsia di emergenza</v>
      </c>
      <c r="B822" t="str">
        <f t="shared" si="25"/>
        <v>ALR_OGGETTO_DISPERSO_CORSIA_1-Allarme oggetto disperso corsia di emergenza</v>
      </c>
      <c r="C822" t="str">
        <f>VLOOKUP(B822,'[2]Classi allarmi RMT-STIG_rev4'!$C:$C,1,0)</f>
        <v>ALR_OGGETTO_DISPERSO_CORSIA_1-Allarme oggetto disperso corsia di emergenza</v>
      </c>
      <c r="D822" t="str">
        <f>VLOOKUP(B822,'EXPORT IRIS PROD 13-11-2024'!A:A,1,0)</f>
        <v>ALR_OGGETTO_DISPERSO_CORSIA_1-Allarme oggetto disperso corsia di emergenza</v>
      </c>
      <c r="E822" t="str">
        <f>VLOOKUP(H822,'EXPORT IRIS PROD 13-11-2024'!F:F,1,0)</f>
        <v>ALR_OGGETTO_DISPERSO_CORSIA_1</v>
      </c>
      <c r="F822" t="str">
        <f>VLOOKUP(I822,'EXPORT IRIS PROD 13-11-2024'!D:D,1,0)</f>
        <v>Allarme oggetto disperso corsia di emergenza</v>
      </c>
      <c r="G822" s="37" t="s">
        <v>528</v>
      </c>
      <c r="H822" s="38" t="s">
        <v>1473</v>
      </c>
      <c r="I822" s="45" t="s">
        <v>1474</v>
      </c>
      <c r="J822" s="46" t="s">
        <v>1337</v>
      </c>
      <c r="K822" s="46" t="s">
        <v>1321</v>
      </c>
      <c r="L822" s="47" t="s">
        <v>31</v>
      </c>
      <c r="M822" s="48" t="s">
        <v>32</v>
      </c>
      <c r="N822" s="43">
        <v>1</v>
      </c>
      <c r="O822" s="43" t="s">
        <v>33</v>
      </c>
      <c r="P822" s="43" t="s">
        <v>34</v>
      </c>
      <c r="Q822" s="43" t="s">
        <v>31</v>
      </c>
      <c r="R822" s="44"/>
    </row>
    <row r="823" spans="1:18" x14ac:dyDescent="0.25">
      <c r="A823" t="str">
        <f t="shared" si="24"/>
        <v>Impianto videosorveglianza_TVCC generale_ALR_OGGETTO_DISPERSO_DIR_NORD-Allarme oggetto disperso dir. nord</v>
      </c>
      <c r="B823" t="str">
        <f t="shared" si="25"/>
        <v>ALR_OGGETTO_DISPERSO_DIR_NORD-Allarme oggetto disperso dir. nord</v>
      </c>
      <c r="C823" t="str">
        <f>VLOOKUP(B823,'[2]Classi allarmi RMT-STIG_rev4'!$C:$C,1,0)</f>
        <v>ALR_OGGETTO_DISPERSO_DIR_NORD-Allarme oggetto disperso dir. nord</v>
      </c>
      <c r="D823" t="str">
        <f>VLOOKUP(B823,'EXPORT IRIS PROD 13-11-2024'!A:A,1,0)</f>
        <v>ALR_OGGETTO_DISPERSO_DIR_NORD-Allarme oggetto disperso dir. nord</v>
      </c>
      <c r="E823" t="str">
        <f>VLOOKUP(H823,'EXPORT IRIS PROD 13-11-2024'!F:F,1,0)</f>
        <v>ALR_OGGETTO_DISPERSO_DIR_NORD</v>
      </c>
      <c r="F823" t="str">
        <f>VLOOKUP(I823,'EXPORT IRIS PROD 13-11-2024'!D:D,1,0)</f>
        <v>Allarme oggetto disperso dir. nord</v>
      </c>
      <c r="G823" s="37" t="s">
        <v>528</v>
      </c>
      <c r="H823" s="38" t="s">
        <v>1475</v>
      </c>
      <c r="I823" s="45" t="s">
        <v>1476</v>
      </c>
      <c r="J823" s="46" t="s">
        <v>1337</v>
      </c>
      <c r="K823" s="46" t="s">
        <v>1338</v>
      </c>
      <c r="L823" s="47" t="s">
        <v>31</v>
      </c>
      <c r="M823" s="48" t="s">
        <v>32</v>
      </c>
      <c r="N823" s="43">
        <v>1</v>
      </c>
      <c r="O823" s="43" t="s">
        <v>33</v>
      </c>
      <c r="P823" s="43" t="s">
        <v>34</v>
      </c>
      <c r="Q823" s="43" t="s">
        <v>31</v>
      </c>
      <c r="R823" s="44"/>
    </row>
    <row r="824" spans="1:18" x14ac:dyDescent="0.25">
      <c r="A824" t="str">
        <f t="shared" si="24"/>
        <v>Impianto videosorveglianza_TVCC generale_ALR_OGGETTO_DISPERSO_DIR_SUD-Allarme oggetto disperso dir. sud</v>
      </c>
      <c r="B824" t="str">
        <f t="shared" si="25"/>
        <v>ALR_OGGETTO_DISPERSO_DIR_SUD-Allarme oggetto disperso dir. sud</v>
      </c>
      <c r="C824" t="str">
        <f>VLOOKUP(B824,'[2]Classi allarmi RMT-STIG_rev4'!$C:$C,1,0)</f>
        <v>ALR_OGGETTO_DISPERSO_DIR_SUD-Allarme oggetto disperso dir. sud</v>
      </c>
      <c r="D824" t="str">
        <f>VLOOKUP(B824,'EXPORT IRIS PROD 13-11-2024'!A:A,1,0)</f>
        <v>ALR_OGGETTO_DISPERSO_DIR_SUD-Allarme oggetto disperso dir. sud</v>
      </c>
      <c r="E824" t="str">
        <f>VLOOKUP(H824,'EXPORT IRIS PROD 13-11-2024'!F:F,1,0)</f>
        <v>ALR_OGGETTO_DISPERSO_DIR_SUD</v>
      </c>
      <c r="F824" t="str">
        <f>VLOOKUP(I824,'EXPORT IRIS PROD 13-11-2024'!D:D,1,0)</f>
        <v>Allarme oggetto disperso dir. sud</v>
      </c>
      <c r="G824" s="37" t="s">
        <v>528</v>
      </c>
      <c r="H824" s="38" t="s">
        <v>1477</v>
      </c>
      <c r="I824" s="45" t="s">
        <v>1478</v>
      </c>
      <c r="J824" s="46" t="s">
        <v>1337</v>
      </c>
      <c r="K824" s="46" t="s">
        <v>1338</v>
      </c>
      <c r="L824" s="47" t="s">
        <v>31</v>
      </c>
      <c r="M824" s="48" t="s">
        <v>32</v>
      </c>
      <c r="N824" s="43">
        <v>1</v>
      </c>
      <c r="O824" s="43" t="s">
        <v>33</v>
      </c>
      <c r="P824" s="43" t="s">
        <v>34</v>
      </c>
      <c r="Q824" s="43" t="s">
        <v>31</v>
      </c>
      <c r="R824" s="44"/>
    </row>
    <row r="825" spans="1:18" x14ac:dyDescent="0.25">
      <c r="A825" t="str">
        <f t="shared" si="24"/>
        <v>Impianto videosorveglianza_Telecamera_ALR_PEDONE_IN_PIAZZOLA_NORD-Allarme pedone in piazzola nord</v>
      </c>
      <c r="B825" t="str">
        <f t="shared" si="25"/>
        <v>ALR_PEDONE_IN_PIAZZOLA_NORD-Allarme pedone in piazzola nord</v>
      </c>
      <c r="C825" t="str">
        <f>VLOOKUP(B825,'[2]Classi allarmi RMT-STIG_rev4'!$C:$C,1,0)</f>
        <v>ALR_PEDONE_IN_PIAZZOLA_NORD-Allarme pedone in piazzola nord</v>
      </c>
      <c r="D825" t="str">
        <f>VLOOKUP(B825,'EXPORT IRIS PROD 13-11-2024'!A:A,1,0)</f>
        <v>ALR_PEDONE_IN_PIAZZOLA_NORD-Allarme pedone in piazzola nord</v>
      </c>
      <c r="E825" t="str">
        <f>VLOOKUP(H825,'EXPORT IRIS PROD 13-11-2024'!F:F,1,0)</f>
        <v>ALR_PEDONE_IN_PIAZZOLA_NORD</v>
      </c>
      <c r="F825" t="str">
        <f>VLOOKUP(I825,'EXPORT IRIS PROD 13-11-2024'!D:D,1,0)</f>
        <v>Allarme pedone in piazzola nord</v>
      </c>
      <c r="G825" s="37" t="s">
        <v>471</v>
      </c>
      <c r="H825" s="38" t="s">
        <v>1479</v>
      </c>
      <c r="I825" s="45" t="s">
        <v>1480</v>
      </c>
      <c r="J825" s="46" t="s">
        <v>1337</v>
      </c>
      <c r="K825" s="46" t="s">
        <v>1321</v>
      </c>
      <c r="L825" s="47" t="s">
        <v>31</v>
      </c>
      <c r="M825" s="48" t="s">
        <v>32</v>
      </c>
      <c r="N825" s="43">
        <v>1</v>
      </c>
      <c r="O825" s="43" t="s">
        <v>33</v>
      </c>
      <c r="P825" s="43" t="s">
        <v>34</v>
      </c>
      <c r="Q825" s="43" t="s">
        <v>31</v>
      </c>
      <c r="R825" s="44"/>
    </row>
    <row r="826" spans="1:18" x14ac:dyDescent="0.25">
      <c r="A826" t="str">
        <f t="shared" si="24"/>
        <v>Impianto videosorveglianza_Telecamera_ALR_PEDONE_IN_PIAZZOLA_SUD-Allarme pedone in piazzola sud</v>
      </c>
      <c r="B826" t="str">
        <f t="shared" si="25"/>
        <v>ALR_PEDONE_IN_PIAZZOLA_SUD-Allarme pedone in piazzola sud</v>
      </c>
      <c r="C826" t="str">
        <f>VLOOKUP(B826,'[2]Classi allarmi RMT-STIG_rev4'!$C:$C,1,0)</f>
        <v>ALR_PEDONE_IN_PIAZZOLA_SUD-Allarme pedone in piazzola sud</v>
      </c>
      <c r="D826" t="str">
        <f>VLOOKUP(B826,'EXPORT IRIS PROD 13-11-2024'!A:A,1,0)</f>
        <v>ALR_PEDONE_IN_PIAZZOLA_SUD-Allarme pedone in piazzola sud</v>
      </c>
      <c r="E826" t="str">
        <f>VLOOKUP(H826,'EXPORT IRIS PROD 13-11-2024'!F:F,1,0)</f>
        <v>ALR_PEDONE_IN_PIAZZOLA_SUD</v>
      </c>
      <c r="F826" t="str">
        <f>VLOOKUP(I826,'EXPORT IRIS PROD 13-11-2024'!D:D,1,0)</f>
        <v>Allarme pedone in piazzola sud</v>
      </c>
      <c r="G826" s="37" t="s">
        <v>471</v>
      </c>
      <c r="H826" s="38" t="s">
        <v>1481</v>
      </c>
      <c r="I826" s="45" t="s">
        <v>1482</v>
      </c>
      <c r="J826" s="46" t="s">
        <v>1337</v>
      </c>
      <c r="K826" s="46" t="s">
        <v>1321</v>
      </c>
      <c r="L826" s="47" t="s">
        <v>31</v>
      </c>
      <c r="M826" s="48" t="s">
        <v>32</v>
      </c>
      <c r="N826" s="43">
        <v>1</v>
      </c>
      <c r="O826" s="43" t="s">
        <v>33</v>
      </c>
      <c r="P826" s="43" t="s">
        <v>34</v>
      </c>
      <c r="Q826" s="43" t="s">
        <v>31</v>
      </c>
      <c r="R826" s="44"/>
    </row>
    <row r="827" spans="1:18" x14ac:dyDescent="0.25">
      <c r="A827" t="str">
        <f t="shared" si="24"/>
        <v>Impianto videosorveglianza_Telecamera_ALR_PERDITA_VIDEO_CORSIA_LENTA-Allarme perdita video corsia lenta</v>
      </c>
      <c r="B827" t="str">
        <f t="shared" si="25"/>
        <v>ALR_PERDITA_VIDEO_CORSIA_LENTA-Allarme perdita video corsia lenta</v>
      </c>
      <c r="C827" t="str">
        <f>VLOOKUP(B827,'[2]Classi allarmi RMT-STIG_rev4'!$C:$C,1,0)</f>
        <v>ALR_PERDITA_VIDEO_CORSIA_LENTA-Allarme perdita video corsia lenta</v>
      </c>
      <c r="D827" t="str">
        <f>VLOOKUP(B827,'EXPORT IRIS PROD 13-11-2024'!A:A,1,0)</f>
        <v>ALR_PERDITA_VIDEO_CORSIA_LENTA-Allarme perdita video corsia lenta</v>
      </c>
      <c r="E827" t="str">
        <f>VLOOKUP(H827,'EXPORT IRIS PROD 13-11-2024'!F:F,1,0)</f>
        <v>ALR_PERDITA_VIDEO_CORSIA_LENTA</v>
      </c>
      <c r="F827" t="str">
        <f>VLOOKUP(I827,'EXPORT IRIS PROD 13-11-2024'!D:D,1,0)</f>
        <v>Allarme perdita video corsia lenta</v>
      </c>
      <c r="G827" s="37" t="s">
        <v>198</v>
      </c>
      <c r="H827" s="38" t="s">
        <v>1483</v>
      </c>
      <c r="I827" s="38" t="s">
        <v>1484</v>
      </c>
      <c r="J827" s="39" t="s">
        <v>1337</v>
      </c>
      <c r="K827" s="39" t="s">
        <v>1321</v>
      </c>
      <c r="L827" s="40" t="s">
        <v>21</v>
      </c>
      <c r="M827" s="41" t="s">
        <v>22</v>
      </c>
      <c r="N827" s="42" t="s">
        <v>23</v>
      </c>
      <c r="O827" s="43" t="s">
        <v>24</v>
      </c>
      <c r="P827" s="42" t="s">
        <v>25</v>
      </c>
      <c r="Q827" s="42" t="s">
        <v>21</v>
      </c>
      <c r="R827" s="44"/>
    </row>
    <row r="828" spans="1:18" x14ac:dyDescent="0.25">
      <c r="A828" t="str">
        <f t="shared" si="24"/>
        <v>Impianto illuminazione_Picchetti luminosi_ALR_PICCHETTI-Allarme picchetti</v>
      </c>
      <c r="B828" t="str">
        <f t="shared" si="25"/>
        <v>ALR_PICCHETTI-Allarme picchetti</v>
      </c>
      <c r="C828" t="str">
        <f>VLOOKUP(B828,'[2]Classi allarmi RMT-STIG_rev4'!$C:$C,1,0)</f>
        <v>ALR_PICCHETTI-Allarme picchetti</v>
      </c>
      <c r="D828" t="str">
        <f>VLOOKUP(B828,'EXPORT IRIS PROD 13-11-2024'!A:A,1,0)</f>
        <v>ALR_PICCHETTI-Allarme picchetti</v>
      </c>
      <c r="E828" t="str">
        <f>VLOOKUP(H828,'EXPORT IRIS PROD 13-11-2024'!F:F,1,0)</f>
        <v>ALR_PICCHETTI</v>
      </c>
      <c r="F828" t="str">
        <f>VLOOKUP(I828,'EXPORT IRIS PROD 13-11-2024'!D:D,1,0)</f>
        <v>Allarme picchetti</v>
      </c>
      <c r="G828" s="37" t="s">
        <v>115</v>
      </c>
      <c r="H828" s="38" t="s">
        <v>1485</v>
      </c>
      <c r="I828" s="45" t="s">
        <v>1486</v>
      </c>
      <c r="J828" s="46" t="s">
        <v>1142</v>
      </c>
      <c r="K828" s="46" t="s">
        <v>715</v>
      </c>
      <c r="L828" s="40" t="s">
        <v>21</v>
      </c>
      <c r="M828" s="41" t="s">
        <v>22</v>
      </c>
      <c r="N828" s="42" t="s">
        <v>23</v>
      </c>
      <c r="O828" s="43" t="s">
        <v>24</v>
      </c>
      <c r="P828" s="42" t="s">
        <v>25</v>
      </c>
      <c r="Q828" s="42" t="s">
        <v>21</v>
      </c>
      <c r="R828" s="44"/>
    </row>
    <row r="829" spans="1:18" x14ac:dyDescent="0.25">
      <c r="A829" t="str">
        <f t="shared" si="24"/>
        <v>Impianto PMV e FC_PMV_ALR_PITTO-Allarme pittogramma PMV</v>
      </c>
      <c r="B829" t="str">
        <f t="shared" si="25"/>
        <v>ALR_PITTO-Allarme pittogramma PMV</v>
      </c>
      <c r="C829" t="str">
        <f>VLOOKUP(B829,'[2]Classi allarmi RMT-STIG_rev4'!$C:$C,1,0)</f>
        <v>ALR_PITTO-Allarme pittogramma PMV</v>
      </c>
      <c r="D829" t="str">
        <f>VLOOKUP(B829,'EXPORT IRIS PROD 13-11-2024'!A:A,1,0)</f>
        <v>ALR_PITTO-Allarme pittogramma PMV</v>
      </c>
      <c r="E829" t="str">
        <f>VLOOKUP(H829,'EXPORT IRIS PROD 13-11-2024'!F:F,1,0)</f>
        <v>ALR_PITTO</v>
      </c>
      <c r="F829" t="str">
        <f>VLOOKUP(I829,'EXPORT IRIS PROD 13-11-2024'!D:D,1,0)</f>
        <v>Allarme pittogramma PMV</v>
      </c>
      <c r="G829" s="37" t="s">
        <v>109</v>
      </c>
      <c r="H829" s="38" t="s">
        <v>1487</v>
      </c>
      <c r="I829" s="45" t="s">
        <v>1488</v>
      </c>
      <c r="J829" s="46" t="s">
        <v>1489</v>
      </c>
      <c r="K829" s="46" t="s">
        <v>1490</v>
      </c>
      <c r="L829" s="40" t="s">
        <v>21</v>
      </c>
      <c r="M829" s="41" t="s">
        <v>22</v>
      </c>
      <c r="N829" s="42" t="s">
        <v>23</v>
      </c>
      <c r="O829" s="43" t="s">
        <v>24</v>
      </c>
      <c r="P829" s="42" t="s">
        <v>25</v>
      </c>
      <c r="Q829" s="42" t="s">
        <v>21</v>
      </c>
      <c r="R829" s="44"/>
    </row>
    <row r="830" spans="1:18" x14ac:dyDescent="0.25">
      <c r="A830" t="str">
        <f t="shared" si="24"/>
        <v>Impianto canalizzazione_PMV generale_ALR_PMV-Allarme pannello messaggio variabile</v>
      </c>
      <c r="B830" t="str">
        <f t="shared" si="25"/>
        <v>ALR_PMV-Allarme pannello messaggio variabile</v>
      </c>
      <c r="C830" t="str">
        <f>VLOOKUP(B830,'[2]Classi allarmi RMT-STIG_rev4'!$C:$C,1,0)</f>
        <v>ALR_PMV-Allarme pannello messaggio variabile</v>
      </c>
      <c r="D830" t="str">
        <f>VLOOKUP(B830,'EXPORT IRIS PROD 13-11-2024'!A:A,1,0)</f>
        <v>ALR_PMV-Allarme pannello messaggio variabile</v>
      </c>
      <c r="E830" t="str">
        <f>VLOOKUP(H830,'EXPORT IRIS PROD 13-11-2024'!F:F,1,0)</f>
        <v>ALR_PMV</v>
      </c>
      <c r="F830" t="str">
        <f>VLOOKUP(I830,'EXPORT IRIS PROD 13-11-2024'!D:D,1,0)</f>
        <v>Allarme pannello messaggio variabile</v>
      </c>
      <c r="G830" s="37" t="s">
        <v>109</v>
      </c>
      <c r="H830" s="38" t="s">
        <v>1491</v>
      </c>
      <c r="I830" s="45" t="s">
        <v>1492</v>
      </c>
      <c r="J830" s="46" t="s">
        <v>1493</v>
      </c>
      <c r="K830" s="46" t="s">
        <v>1494</v>
      </c>
      <c r="L830" s="40" t="s">
        <v>21</v>
      </c>
      <c r="M830" s="41" t="s">
        <v>22</v>
      </c>
      <c r="N830" s="42" t="s">
        <v>23</v>
      </c>
      <c r="O830" s="43" t="s">
        <v>24</v>
      </c>
      <c r="P830" s="42" t="s">
        <v>25</v>
      </c>
      <c r="Q830" s="42" t="s">
        <v>21</v>
      </c>
      <c r="R830" s="44"/>
    </row>
    <row r="831" spans="1:18" x14ac:dyDescent="0.25">
      <c r="A831" t="str">
        <f t="shared" si="24"/>
        <v>Impianto SOS_Colonnina SOS_ALR_PORTA_APERTA_DX-Allarme porta aperta dx</v>
      </c>
      <c r="B831" t="str">
        <f t="shared" si="25"/>
        <v>ALR_PORTA_APERTA_DX-Allarme porta aperta dx</v>
      </c>
      <c r="C831" t="str">
        <f>VLOOKUP(B831,'[2]Classi allarmi RMT-STIG_rev4'!$C:$C,1,0)</f>
        <v>ALR_PORTA_APERTA_DX-Allarme porta aperta dx</v>
      </c>
      <c r="D831" t="str">
        <f>VLOOKUP(B831,'EXPORT IRIS PROD 13-11-2024'!A:A,1,0)</f>
        <v>ALR_PORTA_APERTA_DX-Allarme porta aperta dx</v>
      </c>
      <c r="E831" t="str">
        <f>VLOOKUP(H831,'EXPORT IRIS PROD 13-11-2024'!F:F,1,0)</f>
        <v>ALR_PORTA_APERTA_DX</v>
      </c>
      <c r="F831" t="str">
        <f>VLOOKUP(I831,'EXPORT IRIS PROD 13-11-2024'!D:D,1,0)</f>
        <v>Allarme porta aperta dx</v>
      </c>
      <c r="G831" s="37" t="s">
        <v>26</v>
      </c>
      <c r="H831" s="38" t="s">
        <v>1495</v>
      </c>
      <c r="I831" s="45" t="s">
        <v>1496</v>
      </c>
      <c r="J831" s="46" t="s">
        <v>29</v>
      </c>
      <c r="K831" s="46" t="s">
        <v>360</v>
      </c>
      <c r="L831" s="47" t="s">
        <v>31</v>
      </c>
      <c r="M831" s="48" t="s">
        <v>32</v>
      </c>
      <c r="N831" s="43">
        <v>1</v>
      </c>
      <c r="O831" s="43" t="s">
        <v>24</v>
      </c>
      <c r="P831" s="43" t="s">
        <v>25</v>
      </c>
      <c r="Q831" s="42" t="s">
        <v>21</v>
      </c>
      <c r="R831" s="52"/>
    </row>
    <row r="832" spans="1:18" x14ac:dyDescent="0.25">
      <c r="A832" t="str">
        <f t="shared" si="24"/>
        <v>Impianto SOS_Colonnina SOS_ALR_PORTA_APERTA_SX-Allarme porta aperta sx</v>
      </c>
      <c r="B832" t="str">
        <f t="shared" si="25"/>
        <v>ALR_PORTA_APERTA_SX-Allarme porta aperta sx</v>
      </c>
      <c r="C832" t="str">
        <f>VLOOKUP(B832,'[2]Classi allarmi RMT-STIG_rev4'!$C:$C,1,0)</f>
        <v>ALR_PORTA_APERTA_SX-Allarme porta aperta sx</v>
      </c>
      <c r="D832" t="str">
        <f>VLOOKUP(B832,'EXPORT IRIS PROD 13-11-2024'!A:A,1,0)</f>
        <v>ALR_PORTA_APERTA_SX-Allarme porta aperta sx</v>
      </c>
      <c r="E832" t="str">
        <f>VLOOKUP(H832,'EXPORT IRIS PROD 13-11-2024'!F:F,1,0)</f>
        <v>ALR_PORTA_APERTA_SX</v>
      </c>
      <c r="F832" t="str">
        <f>VLOOKUP(I832,'EXPORT IRIS PROD 13-11-2024'!D:D,1,0)</f>
        <v>Allarme porta aperta sx</v>
      </c>
      <c r="G832" s="37" t="s">
        <v>26</v>
      </c>
      <c r="H832" s="38" t="s">
        <v>1497</v>
      </c>
      <c r="I832" s="45" t="s">
        <v>1498</v>
      </c>
      <c r="J832" s="46" t="s">
        <v>29</v>
      </c>
      <c r="K832" s="46" t="s">
        <v>360</v>
      </c>
      <c r="L832" s="47" t="s">
        <v>31</v>
      </c>
      <c r="M832" s="48" t="s">
        <v>32</v>
      </c>
      <c r="N832" s="43">
        <v>1</v>
      </c>
      <c r="O832" s="43" t="s">
        <v>24</v>
      </c>
      <c r="P832" s="43" t="s">
        <v>25</v>
      </c>
      <c r="Q832" s="42" t="s">
        <v>21</v>
      </c>
      <c r="R832" s="52"/>
    </row>
    <row r="833" spans="1:18" x14ac:dyDescent="0.25">
      <c r="A833" t="str">
        <f t="shared" si="24"/>
        <v>Impianto Rilevazione Incendio_Centralina rilevazione incendio/fibrolaser_ALR_POSIZIONE_INCENDIO_SOPRA_SOGLIA-Allarme posizione incendio sopra soglia</v>
      </c>
      <c r="B833" t="str">
        <f t="shared" si="25"/>
        <v>ALR_POSIZIONE_INCENDIO_SOPRA_SOGLIA-Allarme posizione incendio sopra soglia</v>
      </c>
      <c r="C833" t="str">
        <f>VLOOKUP(B833,'[2]Classi allarmi RMT-STIG_rev4'!$C:$C,1,0)</f>
        <v>ALR_POSIZIONE_INCENDIO_SOPRA_SOGLIA-Allarme posizione incendio sopra soglia</v>
      </c>
      <c r="D833" t="str">
        <f>VLOOKUP(B833,'EXPORT IRIS PROD 13-11-2024'!A:A,1,0)</f>
        <v>ALR_POSIZIONE_INCENDIO_SOPRA_SOGLIA-Allarme posizione incendio sopra soglia</v>
      </c>
      <c r="E833" t="str">
        <f>VLOOKUP(H833,'EXPORT IRIS PROD 13-11-2024'!F:F,1,0)</f>
        <v>ALR_POSIZIONE_INCENDIO_SOPRA_SOGLIA</v>
      </c>
      <c r="F833" t="str">
        <f>VLOOKUP(I833,'EXPORT IRIS PROD 13-11-2024'!D:D,1,0)</f>
        <v>Allarme posizione incendio sopra soglia</v>
      </c>
      <c r="G833" s="37" t="s">
        <v>105</v>
      </c>
      <c r="H833" s="38" t="s">
        <v>1499</v>
      </c>
      <c r="I833" s="45" t="s">
        <v>1500</v>
      </c>
      <c r="J833" s="46" t="s">
        <v>43</v>
      </c>
      <c r="K833" s="46" t="s">
        <v>394</v>
      </c>
      <c r="L833" s="47" t="s">
        <v>21</v>
      </c>
      <c r="M833" s="41" t="s">
        <v>22</v>
      </c>
      <c r="N833" s="59" t="s">
        <v>23</v>
      </c>
      <c r="O833" s="43" t="s">
        <v>33</v>
      </c>
      <c r="P833" s="42" t="s">
        <v>34</v>
      </c>
      <c r="Q833" s="42" t="s">
        <v>31</v>
      </c>
      <c r="R833" s="44"/>
    </row>
    <row r="834" spans="1:18" x14ac:dyDescent="0.25">
      <c r="A834" t="str">
        <f t="shared" ref="A834:A897" si="26">CONCATENATE(J834,"_",K834,"_",B834)</f>
        <v>Impianto Rilevazione Incendio_Centralina rilevazione incendio/fibrolaser_ALR_POSIZIONE_INCENDIO_SOTTO_SOGLIA-Allarme posizione incendio sotto soglia</v>
      </c>
      <c r="B834" t="str">
        <f t="shared" si="25"/>
        <v>ALR_POSIZIONE_INCENDIO_SOTTO_SOGLIA-Allarme posizione incendio sotto soglia</v>
      </c>
      <c r="C834" t="str">
        <f>VLOOKUP(B834,'[2]Classi allarmi RMT-STIG_rev4'!$C:$C,1,0)</f>
        <v>ALR_POSIZIONE_INCENDIO_SOTTO_SOGLIA-Allarme posizione incendio sotto soglia</v>
      </c>
      <c r="D834" t="str">
        <f>VLOOKUP(B834,'EXPORT IRIS PROD 13-11-2024'!A:A,1,0)</f>
        <v>ALR_POSIZIONE_INCENDIO_SOTTO_SOGLIA-Allarme posizione incendio sotto soglia</v>
      </c>
      <c r="E834" t="str">
        <f>VLOOKUP(H834,'EXPORT IRIS PROD 13-11-2024'!F:F,1,0)</f>
        <v>ALR_POSIZIONE_INCENDIO_SOTTO_SOGLIA</v>
      </c>
      <c r="F834" t="str">
        <f>VLOOKUP(I834,'EXPORT IRIS PROD 13-11-2024'!D:D,1,0)</f>
        <v>Allarme posizione incendio sotto soglia</v>
      </c>
      <c r="G834" s="37" t="s">
        <v>105</v>
      </c>
      <c r="H834" s="38" t="s">
        <v>1501</v>
      </c>
      <c r="I834" s="45" t="s">
        <v>1502</v>
      </c>
      <c r="J834" s="46" t="s">
        <v>43</v>
      </c>
      <c r="K834" s="46" t="s">
        <v>394</v>
      </c>
      <c r="L834" s="47" t="s">
        <v>21</v>
      </c>
      <c r="M834" s="41" t="s">
        <v>22</v>
      </c>
      <c r="N834" s="59" t="s">
        <v>23</v>
      </c>
      <c r="O834" s="43" t="s">
        <v>33</v>
      </c>
      <c r="P834" s="42" t="s">
        <v>34</v>
      </c>
      <c r="Q834" s="42" t="s">
        <v>31</v>
      </c>
      <c r="R834" s="44"/>
    </row>
    <row r="835" spans="1:18" x14ac:dyDescent="0.25">
      <c r="A835" t="str">
        <f t="shared" si="26"/>
        <v>Impianto Ventilazione_Ventilatore_ALR_PREALLARME_VIBRAZIONe-Preallarme vibrazione</v>
      </c>
      <c r="B835" t="str">
        <f t="shared" ref="B835:B898" si="27">CONCATENATE(H835,"-",I835)</f>
        <v>ALR_PREALLARME_VIBRAZIONe-Preallarme vibrazione</v>
      </c>
      <c r="C835" t="str">
        <f>VLOOKUP(B835,'[2]Classi allarmi RMT-STIG_rev4'!$C:$C,1,0)</f>
        <v>ALR_PREALLARME_VIBRAZIONe-Preallarme vibrazione</v>
      </c>
      <c r="D835" t="str">
        <f>VLOOKUP(B835,'EXPORT IRIS PROD 13-11-2024'!A:A,1,0)</f>
        <v>ALR_PREALLARME_VIBRAZIONe-Preallarme vibrazione</v>
      </c>
      <c r="E835" t="str">
        <f>VLOOKUP(H835,'EXPORT IRIS PROD 13-11-2024'!F:F,1,0)</f>
        <v>ALR_PREALLARME_VIBRAZIONe</v>
      </c>
      <c r="F835" t="str">
        <f>VLOOKUP(I835,'EXPORT IRIS PROD 13-11-2024'!D:D,1,0)</f>
        <v>Preallarme vibrazione</v>
      </c>
      <c r="G835" s="37" t="s">
        <v>85</v>
      </c>
      <c r="H835" s="38" t="s">
        <v>1503</v>
      </c>
      <c r="I835" s="45" t="s">
        <v>1504</v>
      </c>
      <c r="J835" s="46" t="s">
        <v>50</v>
      </c>
      <c r="K835" s="46" t="s">
        <v>124</v>
      </c>
      <c r="L835" s="40" t="s">
        <v>21</v>
      </c>
      <c r="M835" s="41" t="s">
        <v>22</v>
      </c>
      <c r="N835" s="42" t="s">
        <v>23</v>
      </c>
      <c r="O835" s="43" t="s">
        <v>24</v>
      </c>
      <c r="P835" s="42" t="s">
        <v>25</v>
      </c>
      <c r="Q835" s="42" t="s">
        <v>21</v>
      </c>
      <c r="R835" s="44"/>
    </row>
    <row r="836" spans="1:18" x14ac:dyDescent="0.25">
      <c r="A836" t="str">
        <f t="shared" si="26"/>
        <v>Impianto Bypass_Ventilatore bypass_ALR_PRESSIONE-Allarme pressione</v>
      </c>
      <c r="B836" t="str">
        <f t="shared" si="27"/>
        <v>ALR_PRESSIONE-Allarme pressione</v>
      </c>
      <c r="C836" t="str">
        <f>VLOOKUP(B836,'[2]Classi allarmi RMT-STIG_rev4'!$C:$C,1,0)</f>
        <v>ALR_PRESSIONE-Allarme pressione</v>
      </c>
      <c r="D836" t="str">
        <f>VLOOKUP(B836,'EXPORT IRIS PROD 13-11-2024'!A:A,1,0)</f>
        <v>ALR_PRESSIONE-Allarme pressione</v>
      </c>
      <c r="E836" t="str">
        <f>VLOOKUP(H836,'EXPORT IRIS PROD 13-11-2024'!F:F,1,0)</f>
        <v>ALR_PRESSIONE</v>
      </c>
      <c r="F836" t="str">
        <f>VLOOKUP(I836,'EXPORT IRIS PROD 13-11-2024'!D:D,1,0)</f>
        <v>Allarme pressione</v>
      </c>
      <c r="G836" s="37" t="s">
        <v>271</v>
      </c>
      <c r="H836" s="38" t="s">
        <v>602</v>
      </c>
      <c r="I836" s="45" t="s">
        <v>1505</v>
      </c>
      <c r="J836" s="46" t="s">
        <v>274</v>
      </c>
      <c r="K836" s="46" t="s">
        <v>1293</v>
      </c>
      <c r="L836" s="40" t="s">
        <v>21</v>
      </c>
      <c r="M836" s="41" t="s">
        <v>22</v>
      </c>
      <c r="N836" s="42" t="s">
        <v>23</v>
      </c>
      <c r="O836" s="43" t="s">
        <v>24</v>
      </c>
      <c r="P836" s="42" t="s">
        <v>25</v>
      </c>
      <c r="Q836" s="42" t="s">
        <v>21</v>
      </c>
      <c r="R836" s="44"/>
    </row>
    <row r="837" spans="1:18" x14ac:dyDescent="0.25">
      <c r="A837" t="str">
        <f t="shared" si="26"/>
        <v>Impianto Elettrico_Gruppo elettrogeno_ALR_PRESSIONE-Allarme pressione</v>
      </c>
      <c r="B837" t="str">
        <f t="shared" si="27"/>
        <v>ALR_PRESSIONE-Allarme pressione</v>
      </c>
      <c r="C837" t="str">
        <f>VLOOKUP(B837,'[2]Classi allarmi RMT-STIG_rev4'!$C:$C,1,0)</f>
        <v>ALR_PRESSIONE-Allarme pressione</v>
      </c>
      <c r="D837" t="str">
        <f>VLOOKUP(B837,'EXPORT IRIS PROD 13-11-2024'!A:A,1,0)</f>
        <v>ALR_PRESSIONE-Allarme pressione</v>
      </c>
      <c r="E837" t="str">
        <f>VLOOKUP(H837,'EXPORT IRIS PROD 13-11-2024'!F:F,1,0)</f>
        <v>ALR_PRESSIONE</v>
      </c>
      <c r="F837" t="str">
        <f>VLOOKUP(I837,'EXPORT IRIS PROD 13-11-2024'!D:D,1,0)</f>
        <v>Allarme pressione</v>
      </c>
      <c r="G837" s="37" t="s">
        <v>53</v>
      </c>
      <c r="H837" s="38" t="s">
        <v>602</v>
      </c>
      <c r="I837" s="45" t="s">
        <v>1505</v>
      </c>
      <c r="J837" s="46" t="s">
        <v>56</v>
      </c>
      <c r="K837" s="46" t="s">
        <v>57</v>
      </c>
      <c r="L837" s="40" t="s">
        <v>21</v>
      </c>
      <c r="M837" s="41" t="s">
        <v>22</v>
      </c>
      <c r="N837" s="42" t="s">
        <v>23</v>
      </c>
      <c r="O837" s="43" t="s">
        <v>24</v>
      </c>
      <c r="P837" s="42" t="s">
        <v>25</v>
      </c>
      <c r="Q837" s="42" t="s">
        <v>21</v>
      </c>
      <c r="R837" s="44"/>
    </row>
    <row r="838" spans="1:18" x14ac:dyDescent="0.25">
      <c r="A838" t="str">
        <f t="shared" si="26"/>
        <v>Impianto Antincendio_Serbatoio acqua_ALR_PRESSIONE-Allarme pressione</v>
      </c>
      <c r="B838" t="str">
        <f t="shared" si="27"/>
        <v>ALR_PRESSIONE-Allarme pressione</v>
      </c>
      <c r="C838" t="str">
        <f>VLOOKUP(B838,'[2]Classi allarmi RMT-STIG_rev4'!$C:$C,1,0)</f>
        <v>ALR_PRESSIONE-Allarme pressione</v>
      </c>
      <c r="D838" t="str">
        <f>VLOOKUP(B838,'EXPORT IRIS PROD 13-11-2024'!A:A,1,0)</f>
        <v>ALR_PRESSIONE-Allarme pressione</v>
      </c>
      <c r="E838" t="str">
        <f>VLOOKUP(H838,'EXPORT IRIS PROD 13-11-2024'!F:F,1,0)</f>
        <v>ALR_PRESSIONE</v>
      </c>
      <c r="F838" t="str">
        <f>VLOOKUP(I838,'EXPORT IRIS PROD 13-11-2024'!D:D,1,0)</f>
        <v>Allarme pressione</v>
      </c>
      <c r="G838" s="37" t="s">
        <v>35</v>
      </c>
      <c r="H838" s="38" t="s">
        <v>602</v>
      </c>
      <c r="I838" s="45" t="s">
        <v>1505</v>
      </c>
      <c r="J838" s="46" t="s">
        <v>38</v>
      </c>
      <c r="K838" s="46" t="s">
        <v>480</v>
      </c>
      <c r="L838" s="40" t="s">
        <v>21</v>
      </c>
      <c r="M838" s="41" t="s">
        <v>22</v>
      </c>
      <c r="N838" s="42" t="s">
        <v>23</v>
      </c>
      <c r="O838" s="43" t="s">
        <v>24</v>
      </c>
      <c r="P838" s="42" t="s">
        <v>25</v>
      </c>
      <c r="Q838" s="42" t="s">
        <v>21</v>
      </c>
      <c r="R838" s="44"/>
    </row>
    <row r="839" spans="1:18" x14ac:dyDescent="0.25">
      <c r="A839" t="str">
        <f t="shared" si="26"/>
        <v>Impianto Ventilazione_Ventilatore_ALR_PRESSIONE-Allarme pressione</v>
      </c>
      <c r="B839" t="str">
        <f t="shared" si="27"/>
        <v>ALR_PRESSIONE-Allarme pressione</v>
      </c>
      <c r="C839" t="str">
        <f>VLOOKUP(B839,'[2]Classi allarmi RMT-STIG_rev4'!$C:$C,1,0)</f>
        <v>ALR_PRESSIONE-Allarme pressione</v>
      </c>
      <c r="D839" t="str">
        <f>VLOOKUP(B839,'EXPORT IRIS PROD 13-11-2024'!A:A,1,0)</f>
        <v>ALR_PRESSIONE-Allarme pressione</v>
      </c>
      <c r="E839" t="str">
        <f>VLOOKUP(H839,'EXPORT IRIS PROD 13-11-2024'!F:F,1,0)</f>
        <v>ALR_PRESSIONE</v>
      </c>
      <c r="F839" t="str">
        <f>VLOOKUP(I839,'EXPORT IRIS PROD 13-11-2024'!D:D,1,0)</f>
        <v>Allarme pressione</v>
      </c>
      <c r="G839" s="37" t="s">
        <v>85</v>
      </c>
      <c r="H839" s="38" t="s">
        <v>602</v>
      </c>
      <c r="I839" s="45" t="s">
        <v>1505</v>
      </c>
      <c r="J839" s="46" t="s">
        <v>50</v>
      </c>
      <c r="K839" s="46" t="s">
        <v>124</v>
      </c>
      <c r="L839" s="40" t="s">
        <v>21</v>
      </c>
      <c r="M839" s="41" t="s">
        <v>22</v>
      </c>
      <c r="N839" s="42" t="s">
        <v>23</v>
      </c>
      <c r="O839" s="43" t="s">
        <v>24</v>
      </c>
      <c r="P839" s="42" t="s">
        <v>25</v>
      </c>
      <c r="Q839" s="42" t="s">
        <v>21</v>
      </c>
      <c r="R839" s="44"/>
    </row>
    <row r="840" spans="1:18" x14ac:dyDescent="0.25">
      <c r="A840" t="str">
        <f t="shared" si="26"/>
        <v>Impianto bypass_Porta bypass_ALR_PRESSURIZZAZIONE-Allarme pressurizzazione</v>
      </c>
      <c r="B840" t="str">
        <f t="shared" si="27"/>
        <v>ALR_PRESSURIZZAZIONE-Allarme pressurizzazione</v>
      </c>
      <c r="C840" t="str">
        <f>VLOOKUP(B840,'[2]Classi allarmi RMT-STIG_rev4'!$C:$C,1,0)</f>
        <v>ALR_PRESSURIZZAZIONE-Allarme pressurizzazione</v>
      </c>
      <c r="D840" t="str">
        <f>VLOOKUP(B840,'EXPORT IRIS PROD 13-11-2024'!A:A,1,0)</f>
        <v>ALR_PRESSURIZZAZIONE-Allarme pressurizzazione</v>
      </c>
      <c r="E840" t="str">
        <f>VLOOKUP(H840,'EXPORT IRIS PROD 13-11-2024'!F:F,1,0)</f>
        <v>ALR_PRESSURIZZAZIONE</v>
      </c>
      <c r="F840" t="str">
        <f>VLOOKUP(I840,'EXPORT IRIS PROD 13-11-2024'!D:D,1,0)</f>
        <v>Allarme pressurizzazione</v>
      </c>
      <c r="G840" s="37" t="s">
        <v>271</v>
      </c>
      <c r="H840" s="38" t="s">
        <v>1506</v>
      </c>
      <c r="I840" s="45" t="s">
        <v>1507</v>
      </c>
      <c r="J840" s="46" t="s">
        <v>1331</v>
      </c>
      <c r="K840" s="46" t="s">
        <v>579</v>
      </c>
      <c r="L840" s="40" t="s">
        <v>21</v>
      </c>
      <c r="M840" s="41" t="s">
        <v>22</v>
      </c>
      <c r="N840" s="42" t="s">
        <v>23</v>
      </c>
      <c r="O840" s="43" t="s">
        <v>24</v>
      </c>
      <c r="P840" s="42" t="s">
        <v>25</v>
      </c>
      <c r="Q840" s="42" t="s">
        <v>21</v>
      </c>
      <c r="R840" s="44"/>
    </row>
    <row r="841" spans="1:18" x14ac:dyDescent="0.25">
      <c r="A841" t="str">
        <f t="shared" si="26"/>
        <v>Impianto bypass_Ventilatore bypass_ALR_PRESSURIZZAZIONE-Allarme pressurizzazione</v>
      </c>
      <c r="B841" t="str">
        <f t="shared" si="27"/>
        <v>ALR_PRESSURIZZAZIONE-Allarme pressurizzazione</v>
      </c>
      <c r="C841" t="str">
        <f>VLOOKUP(B841,'[2]Classi allarmi RMT-STIG_rev4'!$C:$C,1,0)</f>
        <v>ALR_PRESSURIZZAZIONE-Allarme pressurizzazione</v>
      </c>
      <c r="D841" t="str">
        <f>VLOOKUP(B841,'EXPORT IRIS PROD 13-11-2024'!A:A,1,0)</f>
        <v>ALR_PRESSURIZZAZIONE-Allarme pressurizzazione</v>
      </c>
      <c r="E841" t="str">
        <f>VLOOKUP(H841,'EXPORT IRIS PROD 13-11-2024'!F:F,1,0)</f>
        <v>ALR_PRESSURIZZAZIONE</v>
      </c>
      <c r="F841" t="str">
        <f>VLOOKUP(I841,'EXPORT IRIS PROD 13-11-2024'!D:D,1,0)</f>
        <v>Allarme pressurizzazione</v>
      </c>
      <c r="G841" s="37" t="s">
        <v>271</v>
      </c>
      <c r="H841" s="38" t="s">
        <v>1506</v>
      </c>
      <c r="I841" s="45" t="s">
        <v>1507</v>
      </c>
      <c r="J841" s="46" t="s">
        <v>1331</v>
      </c>
      <c r="K841" s="46" t="s">
        <v>1293</v>
      </c>
      <c r="L841" s="40" t="s">
        <v>21</v>
      </c>
      <c r="M841" s="41" t="s">
        <v>22</v>
      </c>
      <c r="N841" s="42" t="s">
        <v>23</v>
      </c>
      <c r="O841" s="43" t="s">
        <v>24</v>
      </c>
      <c r="P841" s="42" t="s">
        <v>25</v>
      </c>
      <c r="Q841" s="42" t="s">
        <v>21</v>
      </c>
      <c r="R841" s="44"/>
    </row>
    <row r="842" spans="1:18" x14ac:dyDescent="0.25">
      <c r="A842" t="str">
        <f t="shared" si="26"/>
        <v>Impianto bypass_Serranda bypass_ALR_PRESSURIZZAZIONE-Allarme pressurizzazione</v>
      </c>
      <c r="B842" t="str">
        <f t="shared" si="27"/>
        <v>ALR_PRESSURIZZAZIONE-Allarme pressurizzazione</v>
      </c>
      <c r="C842" t="str">
        <f>VLOOKUP(B842,'[2]Classi allarmi RMT-STIG_rev4'!$C:$C,1,0)</f>
        <v>ALR_PRESSURIZZAZIONE-Allarme pressurizzazione</v>
      </c>
      <c r="D842" t="str">
        <f>VLOOKUP(B842,'EXPORT IRIS PROD 13-11-2024'!A:A,1,0)</f>
        <v>ALR_PRESSURIZZAZIONE-Allarme pressurizzazione</v>
      </c>
      <c r="E842" t="str">
        <f>VLOOKUP(H842,'EXPORT IRIS PROD 13-11-2024'!F:F,1,0)</f>
        <v>ALR_PRESSURIZZAZIONE</v>
      </c>
      <c r="F842" t="str">
        <f>VLOOKUP(I842,'EXPORT IRIS PROD 13-11-2024'!D:D,1,0)</f>
        <v>Allarme pressurizzazione</v>
      </c>
      <c r="G842" s="37" t="s">
        <v>271</v>
      </c>
      <c r="H842" s="38" t="s">
        <v>1506</v>
      </c>
      <c r="I842" s="45" t="s">
        <v>1507</v>
      </c>
      <c r="J842" s="46" t="s">
        <v>1331</v>
      </c>
      <c r="K842" s="46" t="s">
        <v>1294</v>
      </c>
      <c r="L842" s="40" t="s">
        <v>21</v>
      </c>
      <c r="M842" s="41" t="s">
        <v>22</v>
      </c>
      <c r="N842" s="42" t="s">
        <v>23</v>
      </c>
      <c r="O842" s="43" t="s">
        <v>24</v>
      </c>
      <c r="P842" s="42" t="s">
        <v>25</v>
      </c>
      <c r="Q842" s="42" t="s">
        <v>21</v>
      </c>
      <c r="R842" s="44"/>
    </row>
    <row r="843" spans="1:18" x14ac:dyDescent="0.25">
      <c r="A843" t="str">
        <f t="shared" si="26"/>
        <v>Impianto radio_Centrale sonora_ALR_PRIORITA_MICROFONO_ATTIVA-Allarme priorità microfono attiva</v>
      </c>
      <c r="B843" t="str">
        <f t="shared" si="27"/>
        <v>ALR_PRIORITA_MICROFONO_ATTIVA-Allarme priorità microfono attiva</v>
      </c>
      <c r="C843" t="str">
        <f>VLOOKUP(B843,'[2]Classi allarmi RMT-STIG_rev4'!$C:$C,1,0)</f>
        <v>ALR_PRIORITA_MICROFONO_ATTIVA-Allarme priorità microfono attiva</v>
      </c>
      <c r="D843" t="str">
        <f>VLOOKUP(B843,'EXPORT IRIS PROD 13-11-2024'!A:A,1,0)</f>
        <v>ALR_PRIORITA_MICROFONO_ATTIVA-Allarme priorità microfono attiva</v>
      </c>
      <c r="E843" t="str">
        <f>VLOOKUP(H843,'EXPORT IRIS PROD 13-11-2024'!F:F,1,0)</f>
        <v>ALR_PRIORITA_MICROFONO_ATTIVA</v>
      </c>
      <c r="F843" t="str">
        <f>VLOOKUP(I843,'EXPORT IRIS PROD 13-11-2024'!D:D,1,0)</f>
        <v>Allarme priorità microfono attiva</v>
      </c>
      <c r="G843" s="37" t="s">
        <v>1109</v>
      </c>
      <c r="H843" s="38" t="s">
        <v>1508</v>
      </c>
      <c r="I843" s="45" t="s">
        <v>1509</v>
      </c>
      <c r="J843" s="46" t="s">
        <v>1186</v>
      </c>
      <c r="K843" s="46" t="s">
        <v>1510</v>
      </c>
      <c r="L843" s="40" t="s">
        <v>31</v>
      </c>
      <c r="M843" s="41" t="s">
        <v>32</v>
      </c>
      <c r="N843" s="43">
        <v>2</v>
      </c>
      <c r="O843" s="43" t="s">
        <v>157</v>
      </c>
      <c r="P843" s="42" t="s">
        <v>158</v>
      </c>
      <c r="Q843" s="42" t="s">
        <v>21</v>
      </c>
      <c r="R843" s="44"/>
    </row>
    <row r="844" spans="1:18" x14ac:dyDescent="0.25">
      <c r="A844" t="str">
        <f t="shared" si="26"/>
        <v>Impianto Antincendio_Pompa_ALR_PROTEZIONE_INTERVENUTA_POMPA-Allarme protezione intervenuta pompa</v>
      </c>
      <c r="B844" t="str">
        <f t="shared" si="27"/>
        <v>ALR_PROTEZIONE_INTERVENUTA_POMPA-Allarme protezione intervenuta pompa</v>
      </c>
      <c r="C844" t="str">
        <f>VLOOKUP(B844,'[2]Classi allarmi RMT-STIG_rev4'!$C:$C,1,0)</f>
        <v>ALR_PROTEZIONE_INTERVENUTA_POMPA-Allarme protezione intervenuta pompa</v>
      </c>
      <c r="D844" t="str">
        <f>VLOOKUP(B844,'EXPORT IRIS PROD 13-11-2024'!A:A,1,0)</f>
        <v>ALR_PROTEZIONE_INTERVENUTA_POMPA-Allarme protezione intervenuta pompa</v>
      </c>
      <c r="E844" t="str">
        <f>VLOOKUP(H844,'EXPORT IRIS PROD 13-11-2024'!F:F,1,0)</f>
        <v>ALR_PROTEZIONE_INTERVENUTA_POMPA</v>
      </c>
      <c r="F844" t="str">
        <f>VLOOKUP(I844,'EXPORT IRIS PROD 13-11-2024'!D:D,1,0)</f>
        <v>Allarme protezione intervenuta pompa</v>
      </c>
      <c r="G844" s="37" t="s">
        <v>35</v>
      </c>
      <c r="H844" s="38" t="s">
        <v>1511</v>
      </c>
      <c r="I844" s="45" t="s">
        <v>1512</v>
      </c>
      <c r="J844" s="46" t="s">
        <v>38</v>
      </c>
      <c r="K844" s="46" t="s">
        <v>39</v>
      </c>
      <c r="L844" s="40" t="s">
        <v>21</v>
      </c>
      <c r="M844" s="41" t="s">
        <v>22</v>
      </c>
      <c r="N844" s="42" t="s">
        <v>23</v>
      </c>
      <c r="O844" s="43" t="s">
        <v>24</v>
      </c>
      <c r="P844" s="42" t="s">
        <v>25</v>
      </c>
      <c r="Q844" s="42" t="s">
        <v>21</v>
      </c>
      <c r="R844" s="44"/>
    </row>
    <row r="845" spans="1:18" x14ac:dyDescent="0.25">
      <c r="A845" t="str">
        <f t="shared" si="26"/>
        <v xml:space="preserve">Impianto Ventilazione_Ventilatore_ALR_PULSANTE_ARRESTO-Allarme Pulsante D'arresto </v>
      </c>
      <c r="B845" t="str">
        <f t="shared" si="27"/>
        <v xml:space="preserve">ALR_PULSANTE_ARRESTO-Allarme Pulsante D'arresto </v>
      </c>
      <c r="C845" t="str">
        <f>VLOOKUP(B845,'[2]Classi allarmi RMT-STIG_rev4'!$C:$C,1,0)</f>
        <v xml:space="preserve">ALR_PULSANTE_ARRESTO-Allarme Pulsante D'arresto </v>
      </c>
      <c r="D845" t="str">
        <f>VLOOKUP(B845,'EXPORT IRIS PROD 13-11-2024'!A:A,1,0)</f>
        <v xml:space="preserve">ALR_PULSANTE_ARRESTO-Allarme Pulsante D'arresto </v>
      </c>
      <c r="E845" t="str">
        <f>VLOOKUP(H845,'EXPORT IRIS PROD 13-11-2024'!F:F,1,0)</f>
        <v>ALR_PULSANTE_ARRESTO</v>
      </c>
      <c r="F845" t="str">
        <f>VLOOKUP(I845,'EXPORT IRIS PROD 13-11-2024'!D:D,1,0)</f>
        <v xml:space="preserve">Allarme Pulsante D'arresto </v>
      </c>
      <c r="G845" s="37" t="s">
        <v>85</v>
      </c>
      <c r="H845" s="38" t="s">
        <v>1513</v>
      </c>
      <c r="I845" s="45" t="s">
        <v>1514</v>
      </c>
      <c r="J845" s="46" t="s">
        <v>50</v>
      </c>
      <c r="K845" s="46" t="s">
        <v>124</v>
      </c>
      <c r="L845" s="40" t="s">
        <v>21</v>
      </c>
      <c r="M845" s="41" t="s">
        <v>22</v>
      </c>
      <c r="N845" s="42" t="s">
        <v>23</v>
      </c>
      <c r="O845" s="43" t="s">
        <v>24</v>
      </c>
      <c r="P845" s="42" t="s">
        <v>25</v>
      </c>
      <c r="Q845" s="42" t="s">
        <v>21</v>
      </c>
      <c r="R845" s="44"/>
    </row>
    <row r="846" spans="1:18" x14ac:dyDescent="0.25">
      <c r="A846" t="str">
        <f t="shared" si="26"/>
        <v>Impianto elettrico_Interruttore_ALR_QIG_SCATTATO_INT-Allarme interruttore</v>
      </c>
      <c r="B846" t="str">
        <f t="shared" si="27"/>
        <v>ALR_QIG_SCATTATO_INT-Allarme interruttore</v>
      </c>
      <c r="C846" t="str">
        <f>VLOOKUP(B846,'[2]Classi allarmi RMT-STIG_rev4'!$C:$C,1,0)</f>
        <v>ALR_QIG_SCATTATO_INT-Allarme interruttore</v>
      </c>
      <c r="D846" t="str">
        <f>VLOOKUP(B846,'EXPORT IRIS PROD 13-11-2024'!A:A,1,0)</f>
        <v>ALR_QIG_SCATTATO_INT-Allarme interruttore</v>
      </c>
      <c r="E846" t="str">
        <f>VLOOKUP(H846,'EXPORT IRIS PROD 13-11-2024'!F:F,1,0)</f>
        <v>ALR_QIG_SCATTATO_INT</v>
      </c>
      <c r="F846" t="str">
        <f>VLOOKUP(I846,'EXPORT IRIS PROD 13-11-2024'!D:D,1,0)</f>
        <v>Allarme interruttore</v>
      </c>
      <c r="G846" s="37" t="s">
        <v>53</v>
      </c>
      <c r="H846" s="38" t="s">
        <v>1515</v>
      </c>
      <c r="I846" s="45" t="s">
        <v>1516</v>
      </c>
      <c r="J846" s="46" t="s">
        <v>1106</v>
      </c>
      <c r="K846" s="46" t="s">
        <v>355</v>
      </c>
      <c r="L846" s="40" t="s">
        <v>21</v>
      </c>
      <c r="M846" s="41" t="s">
        <v>22</v>
      </c>
      <c r="N846" s="42" t="s">
        <v>23</v>
      </c>
      <c r="O846" s="43" t="s">
        <v>157</v>
      </c>
      <c r="P846" s="42" t="s">
        <v>158</v>
      </c>
      <c r="Q846" s="42" t="s">
        <v>21</v>
      </c>
      <c r="R846" s="44"/>
    </row>
    <row r="847" spans="1:18" x14ac:dyDescent="0.25">
      <c r="A847" t="str">
        <f t="shared" si="26"/>
        <v>Impianto Antincendio_PompaMotopompa_ALR_RICHIESTA_AVVIAMENTO_POMPE-Allarme richiesta avviamento pompe</v>
      </c>
      <c r="B847" t="str">
        <f t="shared" si="27"/>
        <v>ALR_RICHIESTA_AVVIAMENTO_POMPE-Allarme richiesta avviamento pompe</v>
      </c>
      <c r="C847" t="str">
        <f>VLOOKUP(B847,'[2]Classi allarmi RMT-STIG_rev4'!$C:$C,1,0)</f>
        <v>ALR_RICHIESTA_AVVIAMENTO_POMPE-Allarme richiesta avviamento pompe</v>
      </c>
      <c r="D847" t="str">
        <f>VLOOKUP(B847,'EXPORT IRIS PROD 13-11-2024'!A:A,1,0)</f>
        <v>ALR_RICHIESTA_AVVIAMENTO_POMPE-Allarme richiesta avviamento pompe</v>
      </c>
      <c r="E847" t="str">
        <f>VLOOKUP(H847,'EXPORT IRIS PROD 13-11-2024'!F:F,1,0)</f>
        <v>ALR_RICHIESTA_AVVIAMENTO_POMPE</v>
      </c>
      <c r="F847" t="str">
        <f>VLOOKUP(I847,'EXPORT IRIS PROD 13-11-2024'!D:D,1,0)</f>
        <v>Allarme richiesta avviamento pompe</v>
      </c>
      <c r="G847" s="37" t="s">
        <v>298</v>
      </c>
      <c r="H847" s="38" t="s">
        <v>1517</v>
      </c>
      <c r="I847" s="45" t="s">
        <v>1518</v>
      </c>
      <c r="J847" s="46" t="s">
        <v>38</v>
      </c>
      <c r="K847" s="46" t="s">
        <v>1519</v>
      </c>
      <c r="L847" s="40" t="s">
        <v>21</v>
      </c>
      <c r="M847" s="41" t="s">
        <v>22</v>
      </c>
      <c r="N847" s="42" t="s">
        <v>23</v>
      </c>
      <c r="O847" s="43" t="s">
        <v>24</v>
      </c>
      <c r="P847" s="42" t="s">
        <v>25</v>
      </c>
      <c r="Q847" s="42" t="s">
        <v>21</v>
      </c>
      <c r="R847" s="52"/>
    </row>
    <row r="848" spans="1:18" x14ac:dyDescent="0.25">
      <c r="A848" t="str">
        <f t="shared" si="26"/>
        <v>Impianto SOS_Colonnina SOS_ALR_RICHIESTA_SOCCORSO_DIR_NORD-Allarme richiesta soccorso dir. nord</v>
      </c>
      <c r="B848" t="str">
        <f t="shared" si="27"/>
        <v>ALR_RICHIESTA_SOCCORSO_DIR_NORD-Allarme richiesta soccorso dir. nord</v>
      </c>
      <c r="C848" t="str">
        <f>VLOOKUP(B848,'[2]Classi allarmi RMT-STIG_rev4'!$C:$C,1,0)</f>
        <v>ALR_RICHIESTA_SOCCORSO_DIR_NORD-Allarme richiesta soccorso dir. nord</v>
      </c>
      <c r="D848" t="str">
        <f>VLOOKUP(B848,'EXPORT IRIS PROD 13-11-2024'!A:A,1,0)</f>
        <v>ALR_RICHIESTA_SOCCORSO_DIR_NORD-Allarme richiesta soccorso dir. nord</v>
      </c>
      <c r="E848" t="str">
        <f>VLOOKUP(H848,'EXPORT IRIS PROD 13-11-2024'!F:F,1,0)</f>
        <v>ALR_RICHIESTA_SOCCORSO_DIR_NORD</v>
      </c>
      <c r="F848" t="str">
        <f>VLOOKUP(I848,'EXPORT IRIS PROD 13-11-2024'!D:D,1,0)</f>
        <v>Allarme richiesta soccorso dir. nord</v>
      </c>
      <c r="G848" s="37" t="s">
        <v>26</v>
      </c>
      <c r="H848" s="38" t="s">
        <v>1520</v>
      </c>
      <c r="I848" s="45" t="s">
        <v>1521</v>
      </c>
      <c r="J848" s="46" t="s">
        <v>29</v>
      </c>
      <c r="K848" s="46" t="s">
        <v>360</v>
      </c>
      <c r="L848" s="47" t="s">
        <v>31</v>
      </c>
      <c r="M848" s="48" t="s">
        <v>32</v>
      </c>
      <c r="N848" s="43">
        <v>1</v>
      </c>
      <c r="O848" s="43" t="s">
        <v>33</v>
      </c>
      <c r="P848" s="43" t="s">
        <v>34</v>
      </c>
      <c r="Q848" s="43" t="s">
        <v>31</v>
      </c>
      <c r="R848" s="44"/>
    </row>
    <row r="849" spans="1:18" x14ac:dyDescent="0.25">
      <c r="A849" t="str">
        <f t="shared" si="26"/>
        <v>Impianto SOS_Colonnina SOS_ALR_RICHIESTA_SOCCORSO_DIR_NORD-Allarme richiesta soccorso dir. nord</v>
      </c>
      <c r="B849" t="str">
        <f t="shared" si="27"/>
        <v>ALR_RICHIESTA_SOCCORSO_DIR_NORD-Allarme richiesta soccorso dir. nord</v>
      </c>
      <c r="C849" t="str">
        <f>VLOOKUP(B849,'[2]Classi allarmi RMT-STIG_rev4'!$C:$C,1,0)</f>
        <v>ALR_RICHIESTA_SOCCORSO_DIR_NORD-Allarme richiesta soccorso dir. nord</v>
      </c>
      <c r="D849" t="str">
        <f>VLOOKUP(B849,'EXPORT IRIS PROD 13-11-2024'!A:A,1,0)</f>
        <v>ALR_RICHIESTA_SOCCORSO_DIR_NORD-Allarme richiesta soccorso dir. nord</v>
      </c>
      <c r="E849" t="str">
        <f>VLOOKUP(H849,'EXPORT IRIS PROD 13-11-2024'!F:F,1,0)</f>
        <v>ALR_RICHIESTA_SOCCORSO_DIR_NORD</v>
      </c>
      <c r="F849" t="str">
        <f>VLOOKUP(I849,'EXPORT IRIS PROD 13-11-2024'!D:D,1,0)</f>
        <v>Allarme richiesta soccorso dir. nord</v>
      </c>
      <c r="G849" s="37" t="s">
        <v>26</v>
      </c>
      <c r="H849" s="38" t="s">
        <v>1520</v>
      </c>
      <c r="I849" s="45" t="s">
        <v>1521</v>
      </c>
      <c r="J849" s="46" t="s">
        <v>29</v>
      </c>
      <c r="K849" s="46" t="s">
        <v>360</v>
      </c>
      <c r="L849" s="47" t="s">
        <v>31</v>
      </c>
      <c r="M849" s="48" t="s">
        <v>32</v>
      </c>
      <c r="N849" s="43">
        <v>1</v>
      </c>
      <c r="O849" s="43" t="s">
        <v>33</v>
      </c>
      <c r="P849" s="43" t="s">
        <v>34</v>
      </c>
      <c r="Q849" s="43" t="s">
        <v>31</v>
      </c>
      <c r="R849" s="95" t="s">
        <v>2049</v>
      </c>
    </row>
    <row r="850" spans="1:18" x14ac:dyDescent="0.25">
      <c r="A850" t="str">
        <f t="shared" si="26"/>
        <v>Impianto bypass_SOS bypass_ALR_RICHIESTA_SOCCORSO_DIR_NORD_1-Allarme richiesta soccorso dir. nord bypass 1</v>
      </c>
      <c r="B850" t="str">
        <f t="shared" si="27"/>
        <v>ALR_RICHIESTA_SOCCORSO_DIR_NORD_1-Allarme richiesta soccorso dir. nord bypass 1</v>
      </c>
      <c r="C850" t="str">
        <f>VLOOKUP(B850,'[2]Classi allarmi RMT-STIG_rev4'!$C:$C,1,0)</f>
        <v>ALR_RICHIESTA_SOCCORSO_DIR_NORD_1-Allarme richiesta soccorso dir. nord bypass 1</v>
      </c>
      <c r="D850" t="str">
        <f>VLOOKUP(B850,'EXPORT IRIS PROD 13-11-2024'!A:A,1,0)</f>
        <v>ALR_RICHIESTA_SOCCORSO_DIR_NORD_1-Allarme richiesta soccorso dir. nord bypass 1</v>
      </c>
      <c r="E850" t="str">
        <f>VLOOKUP(H850,'EXPORT IRIS PROD 13-11-2024'!F:F,1,0)</f>
        <v>ALR_RICHIESTA_SOCCORSO_DIR_NORD_1</v>
      </c>
      <c r="F850" t="str">
        <f>VLOOKUP(I850,'EXPORT IRIS PROD 13-11-2024'!D:D,1,0)</f>
        <v>Allarme richiesta soccorso dir. nord bypass 1</v>
      </c>
      <c r="G850" s="37" t="s">
        <v>26</v>
      </c>
      <c r="H850" s="38" t="s">
        <v>1522</v>
      </c>
      <c r="I850" s="45" t="s">
        <v>1523</v>
      </c>
      <c r="J850" s="46" t="s">
        <v>1331</v>
      </c>
      <c r="K850" s="46" t="s">
        <v>1524</v>
      </c>
      <c r="L850" s="47" t="s">
        <v>31</v>
      </c>
      <c r="M850" s="48" t="s">
        <v>32</v>
      </c>
      <c r="N850" s="43">
        <v>1</v>
      </c>
      <c r="O850" s="43" t="s">
        <v>33</v>
      </c>
      <c r="P850" s="43" t="s">
        <v>34</v>
      </c>
      <c r="Q850" s="43" t="s">
        <v>31</v>
      </c>
      <c r="R850" s="44"/>
    </row>
    <row r="851" spans="1:18" x14ac:dyDescent="0.25">
      <c r="A851" t="str">
        <f t="shared" si="26"/>
        <v>Impianto bypass_SOS bypass_ALR_RICHIESTA_SOCCORSO_DIR_NORD_2-Allarme richiesta soccorso dir. nord bypass 2</v>
      </c>
      <c r="B851" t="str">
        <f t="shared" si="27"/>
        <v>ALR_RICHIESTA_SOCCORSO_DIR_NORD_2-Allarme richiesta soccorso dir. nord bypass 2</v>
      </c>
      <c r="C851" t="str">
        <f>VLOOKUP(B851,'[2]Classi allarmi RMT-STIG_rev4'!$C:$C,1,0)</f>
        <v>ALR_RICHIESTA_SOCCORSO_DIR_NORD_2-Allarme richiesta soccorso dir. nord bypass 2</v>
      </c>
      <c r="D851" t="str">
        <f>VLOOKUP(B851,'EXPORT IRIS PROD 13-11-2024'!A:A,1,0)</f>
        <v>ALR_RICHIESTA_SOCCORSO_DIR_NORD_2-Allarme richiesta soccorso dir. nord bypass 2</v>
      </c>
      <c r="E851" t="str">
        <f>VLOOKUP(H851,'EXPORT IRIS PROD 13-11-2024'!F:F,1,0)</f>
        <v>ALR_RICHIESTA_SOCCORSO_DIR_NORD_2</v>
      </c>
      <c r="F851" t="str">
        <f>VLOOKUP(I851,'EXPORT IRIS PROD 13-11-2024'!D:D,1,0)</f>
        <v>Allarme richiesta soccorso dir. nord bypass 2</v>
      </c>
      <c r="G851" s="37" t="s">
        <v>26</v>
      </c>
      <c r="H851" s="38" t="s">
        <v>1525</v>
      </c>
      <c r="I851" s="45" t="s">
        <v>1526</v>
      </c>
      <c r="J851" s="46" t="s">
        <v>1331</v>
      </c>
      <c r="K851" s="46" t="s">
        <v>1524</v>
      </c>
      <c r="L851" s="47" t="s">
        <v>31</v>
      </c>
      <c r="M851" s="48" t="s">
        <v>32</v>
      </c>
      <c r="N851" s="43">
        <v>1</v>
      </c>
      <c r="O851" s="43" t="s">
        <v>33</v>
      </c>
      <c r="P851" s="43" t="s">
        <v>34</v>
      </c>
      <c r="Q851" s="43" t="s">
        <v>31</v>
      </c>
      <c r="R851" s="44"/>
    </row>
    <row r="852" spans="1:18" x14ac:dyDescent="0.25">
      <c r="A852" t="str">
        <f t="shared" si="26"/>
        <v>Impianto bypass_SOS bypass_ALR_RICHIESTA_SOCCORSO_DIR_NORD_3-Allarme richiesta soccorso dir. nord bypass 3</v>
      </c>
      <c r="B852" t="str">
        <f t="shared" si="27"/>
        <v>ALR_RICHIESTA_SOCCORSO_DIR_NORD_3-Allarme richiesta soccorso dir. nord bypass 3</v>
      </c>
      <c r="C852" t="str">
        <f>VLOOKUP(B852,'[2]Classi allarmi RMT-STIG_rev4'!$C:$C,1,0)</f>
        <v>ALR_RICHIESTA_SOCCORSO_DIR_NORD_3-Allarme richiesta soccorso dir. nord bypass 3</v>
      </c>
      <c r="D852" t="str">
        <f>VLOOKUP(B852,'EXPORT IRIS PROD 13-11-2024'!A:A,1,0)</f>
        <v>ALR_RICHIESTA_SOCCORSO_DIR_NORD_3-Allarme richiesta soccorso dir. nord bypass 3</v>
      </c>
      <c r="E852" t="str">
        <f>VLOOKUP(H852,'EXPORT IRIS PROD 13-11-2024'!F:F,1,0)</f>
        <v>ALR_RICHIESTA_SOCCORSO_DIR_NORD_3</v>
      </c>
      <c r="F852" t="str">
        <f>VLOOKUP(I852,'EXPORT IRIS PROD 13-11-2024'!D:D,1,0)</f>
        <v>Allarme richiesta soccorso dir. nord bypass 3</v>
      </c>
      <c r="G852" s="37" t="s">
        <v>26</v>
      </c>
      <c r="H852" s="38" t="s">
        <v>1527</v>
      </c>
      <c r="I852" s="45" t="s">
        <v>1528</v>
      </c>
      <c r="J852" s="46" t="s">
        <v>1331</v>
      </c>
      <c r="K852" s="46" t="s">
        <v>1524</v>
      </c>
      <c r="L852" s="47" t="s">
        <v>31</v>
      </c>
      <c r="M852" s="48" t="s">
        <v>32</v>
      </c>
      <c r="N852" s="43">
        <v>1</v>
      </c>
      <c r="O852" s="43" t="s">
        <v>33</v>
      </c>
      <c r="P852" s="43" t="s">
        <v>34</v>
      </c>
      <c r="Q852" s="43" t="s">
        <v>31</v>
      </c>
      <c r="R852" s="44"/>
    </row>
    <row r="853" spans="1:18" x14ac:dyDescent="0.25">
      <c r="A853" t="str">
        <f t="shared" si="26"/>
        <v>Impianto SOS_Colonnina SOS_ALR_RICHIESTA_SOCCORSO_DIR_SUD-Allarme richiesta soccorso dir. sud</v>
      </c>
      <c r="B853" t="str">
        <f t="shared" si="27"/>
        <v>ALR_RICHIESTA_SOCCORSO_DIR_SUD-Allarme richiesta soccorso dir. sud</v>
      </c>
      <c r="C853" t="str">
        <f>VLOOKUP(B853,'[2]Classi allarmi RMT-STIG_rev4'!$C:$C,1,0)</f>
        <v>ALR_RICHIESTA_SOCCORSO_DIR_SUD-Allarme richiesta soccorso dir. sud</v>
      </c>
      <c r="D853" t="str">
        <f>VLOOKUP(B853,'EXPORT IRIS PROD 13-11-2024'!A:A,1,0)</f>
        <v>ALR_RICHIESTA_SOCCORSO_DIR_SUD-Allarme richiesta soccorso dir. sud</v>
      </c>
      <c r="E853" t="str">
        <f>VLOOKUP(H853,'EXPORT IRIS PROD 13-11-2024'!F:F,1,0)</f>
        <v>ALR_RICHIESTA_SOCCORSO_DIR_SUD</v>
      </c>
      <c r="F853" t="str">
        <f>VLOOKUP(I853,'EXPORT IRIS PROD 13-11-2024'!D:D,1,0)</f>
        <v>Allarme richiesta soccorso dir. sud</v>
      </c>
      <c r="G853" s="37" t="s">
        <v>26</v>
      </c>
      <c r="H853" s="38" t="s">
        <v>1529</v>
      </c>
      <c r="I853" s="45" t="s">
        <v>1530</v>
      </c>
      <c r="J853" s="46" t="s">
        <v>29</v>
      </c>
      <c r="K853" s="46" t="s">
        <v>360</v>
      </c>
      <c r="L853" s="47" t="s">
        <v>31</v>
      </c>
      <c r="M853" s="48" t="s">
        <v>32</v>
      </c>
      <c r="N853" s="43">
        <v>1</v>
      </c>
      <c r="O853" s="43" t="s">
        <v>33</v>
      </c>
      <c r="P853" s="43" t="s">
        <v>34</v>
      </c>
      <c r="Q853" s="43" t="s">
        <v>31</v>
      </c>
      <c r="R853" s="44"/>
    </row>
    <row r="854" spans="1:18" x14ac:dyDescent="0.25">
      <c r="A854" t="str">
        <f t="shared" si="26"/>
        <v>Impianto SOS_Colonnina SOS_ALR_RICHIESTA_SOCCORSO_DIR_SUD-Allarme richiesta soccorso dir. sud</v>
      </c>
      <c r="B854" t="str">
        <f t="shared" si="27"/>
        <v>ALR_RICHIESTA_SOCCORSO_DIR_SUD-Allarme richiesta soccorso dir. sud</v>
      </c>
      <c r="C854" t="str">
        <f>VLOOKUP(B854,'[2]Classi allarmi RMT-STIG_rev4'!$C:$C,1,0)</f>
        <v>ALR_RICHIESTA_SOCCORSO_DIR_SUD-Allarme richiesta soccorso dir. sud</v>
      </c>
      <c r="D854" t="str">
        <f>VLOOKUP(B854,'EXPORT IRIS PROD 13-11-2024'!A:A,1,0)</f>
        <v>ALR_RICHIESTA_SOCCORSO_DIR_SUD-Allarme richiesta soccorso dir. sud</v>
      </c>
      <c r="E854" t="str">
        <f>VLOOKUP(H854,'EXPORT IRIS PROD 13-11-2024'!F:F,1,0)</f>
        <v>ALR_RICHIESTA_SOCCORSO_DIR_SUD</v>
      </c>
      <c r="F854" t="str">
        <f>VLOOKUP(I854,'EXPORT IRIS PROD 13-11-2024'!D:D,1,0)</f>
        <v>Allarme richiesta soccorso dir. sud</v>
      </c>
      <c r="G854" s="37" t="s">
        <v>26</v>
      </c>
      <c r="H854" s="38" t="s">
        <v>1529</v>
      </c>
      <c r="I854" s="45" t="s">
        <v>1530</v>
      </c>
      <c r="J854" s="46" t="s">
        <v>29</v>
      </c>
      <c r="K854" s="46" t="s">
        <v>360</v>
      </c>
      <c r="L854" s="47" t="s">
        <v>31</v>
      </c>
      <c r="M854" s="48" t="s">
        <v>32</v>
      </c>
      <c r="N854" s="43">
        <v>1</v>
      </c>
      <c r="O854" s="43" t="s">
        <v>33</v>
      </c>
      <c r="P854" s="43" t="s">
        <v>34</v>
      </c>
      <c r="Q854" s="43" t="s">
        <v>31</v>
      </c>
      <c r="R854" s="95" t="s">
        <v>2050</v>
      </c>
    </row>
    <row r="855" spans="1:18" x14ac:dyDescent="0.25">
      <c r="A855" t="str">
        <f t="shared" si="26"/>
        <v>Impianto bypass_SOS bypass_ALR_RICHIESTA_SOCCORSO_DIR_SUD_1-Allarme richiesta soccorso dir. sud bypass 1</v>
      </c>
      <c r="B855" t="str">
        <f t="shared" si="27"/>
        <v>ALR_RICHIESTA_SOCCORSO_DIR_SUD_1-Allarme richiesta soccorso dir. sud bypass 1</v>
      </c>
      <c r="C855" t="str">
        <f>VLOOKUP(B855,'[2]Classi allarmi RMT-STIG_rev4'!$C:$C,1,0)</f>
        <v>ALR_RICHIESTA_SOCCORSO_DIR_SUD_1-Allarme richiesta soccorso dir. sud bypass 1</v>
      </c>
      <c r="D855" t="str">
        <f>VLOOKUP(B855,'EXPORT IRIS PROD 13-11-2024'!A:A,1,0)</f>
        <v>ALR_RICHIESTA_SOCCORSO_DIR_SUD_1-Allarme richiesta soccorso dir. sud bypass 1</v>
      </c>
      <c r="E855" t="str">
        <f>VLOOKUP(H855,'EXPORT IRIS PROD 13-11-2024'!F:F,1,0)</f>
        <v>ALR_RICHIESTA_SOCCORSO_DIR_SUD_1</v>
      </c>
      <c r="F855" t="str">
        <f>VLOOKUP(I855,'EXPORT IRIS PROD 13-11-2024'!D:D,1,0)</f>
        <v>Allarme richiesta soccorso dir. sud bypass 1</v>
      </c>
      <c r="G855" s="37" t="s">
        <v>26</v>
      </c>
      <c r="H855" s="38" t="s">
        <v>1531</v>
      </c>
      <c r="I855" s="45" t="s">
        <v>1532</v>
      </c>
      <c r="J855" s="46" t="s">
        <v>1331</v>
      </c>
      <c r="K855" s="46" t="s">
        <v>1524</v>
      </c>
      <c r="L855" s="47" t="s">
        <v>31</v>
      </c>
      <c r="M855" s="48" t="s">
        <v>32</v>
      </c>
      <c r="N855" s="43">
        <v>1</v>
      </c>
      <c r="O855" s="43" t="s">
        <v>33</v>
      </c>
      <c r="P855" s="43" t="s">
        <v>34</v>
      </c>
      <c r="Q855" s="43" t="s">
        <v>31</v>
      </c>
      <c r="R855" s="44"/>
    </row>
    <row r="856" spans="1:18" x14ac:dyDescent="0.25">
      <c r="A856" t="str">
        <f t="shared" si="26"/>
        <v>Impianto bypass_SOS bypass_ALR_RICHIESTA_SOCCORSO_DIR_SUD_2-Allarme richiesta soccorso dir. sud bypass 2</v>
      </c>
      <c r="B856" t="str">
        <f t="shared" si="27"/>
        <v>ALR_RICHIESTA_SOCCORSO_DIR_SUD_2-Allarme richiesta soccorso dir. sud bypass 2</v>
      </c>
      <c r="C856" t="str">
        <f>VLOOKUP(B856,'[2]Classi allarmi RMT-STIG_rev4'!$C:$C,1,0)</f>
        <v>ALR_RICHIESTA_SOCCORSO_DIR_SUD_2-Allarme richiesta soccorso dir. sud bypass 2</v>
      </c>
      <c r="D856" t="str">
        <f>VLOOKUP(B856,'EXPORT IRIS PROD 13-11-2024'!A:A,1,0)</f>
        <v>ALR_RICHIESTA_SOCCORSO_DIR_SUD_2-Allarme richiesta soccorso dir. sud bypass 2</v>
      </c>
      <c r="E856" t="str">
        <f>VLOOKUP(H856,'EXPORT IRIS PROD 13-11-2024'!F:F,1,0)</f>
        <v>ALR_RICHIESTA_SOCCORSO_DIR_SUD_2</v>
      </c>
      <c r="F856" t="str">
        <f>VLOOKUP(I856,'EXPORT IRIS PROD 13-11-2024'!D:D,1,0)</f>
        <v>Allarme richiesta soccorso dir. sud bypass 2</v>
      </c>
      <c r="G856" s="37" t="s">
        <v>26</v>
      </c>
      <c r="H856" s="38" t="s">
        <v>1533</v>
      </c>
      <c r="I856" s="45" t="s">
        <v>1534</v>
      </c>
      <c r="J856" s="46" t="s">
        <v>1331</v>
      </c>
      <c r="K856" s="46" t="s">
        <v>1524</v>
      </c>
      <c r="L856" s="47" t="s">
        <v>31</v>
      </c>
      <c r="M856" s="48" t="s">
        <v>32</v>
      </c>
      <c r="N856" s="43">
        <v>1</v>
      </c>
      <c r="O856" s="43" t="s">
        <v>33</v>
      </c>
      <c r="P856" s="43" t="s">
        <v>34</v>
      </c>
      <c r="Q856" s="43" t="s">
        <v>31</v>
      </c>
      <c r="R856" s="44"/>
    </row>
    <row r="857" spans="1:18" x14ac:dyDescent="0.25">
      <c r="A857" t="str">
        <f t="shared" si="26"/>
        <v>Impianto bypass_SOS bypass_ALR_RICHIESTA_SOCCORSO_DIR_SUD_3-Allarme richiesta soccorso dir. sud bypass 3</v>
      </c>
      <c r="B857" t="str">
        <f t="shared" si="27"/>
        <v>ALR_RICHIESTA_SOCCORSO_DIR_SUD_3-Allarme richiesta soccorso dir. sud bypass 3</v>
      </c>
      <c r="C857" t="str">
        <f>VLOOKUP(B857,'[2]Classi allarmi RMT-STIG_rev4'!$C:$C,1,0)</f>
        <v>ALR_RICHIESTA_SOCCORSO_DIR_SUD_3-Allarme richiesta soccorso dir. sud bypass 3</v>
      </c>
      <c r="D857" t="str">
        <f>VLOOKUP(B857,'EXPORT IRIS PROD 13-11-2024'!A:A,1,0)</f>
        <v>ALR_RICHIESTA_SOCCORSO_DIR_SUD_3-Allarme richiesta soccorso dir. sud bypass 3</v>
      </c>
      <c r="E857" t="str">
        <f>VLOOKUP(H857,'EXPORT IRIS PROD 13-11-2024'!F:F,1,0)</f>
        <v>ALR_RICHIESTA_SOCCORSO_DIR_SUD_3</v>
      </c>
      <c r="F857" t="str">
        <f>VLOOKUP(I857,'EXPORT IRIS PROD 13-11-2024'!D:D,1,0)</f>
        <v>Allarme richiesta soccorso dir. sud bypass 3</v>
      </c>
      <c r="G857" s="37" t="s">
        <v>26</v>
      </c>
      <c r="H857" s="38" t="s">
        <v>1535</v>
      </c>
      <c r="I857" s="45" t="s">
        <v>1536</v>
      </c>
      <c r="J857" s="46" t="s">
        <v>1331</v>
      </c>
      <c r="K857" s="46" t="s">
        <v>1524</v>
      </c>
      <c r="L857" s="47" t="s">
        <v>31</v>
      </c>
      <c r="M857" s="48" t="s">
        <v>32</v>
      </c>
      <c r="N857" s="43">
        <v>1</v>
      </c>
      <c r="O857" s="43" t="s">
        <v>33</v>
      </c>
      <c r="P857" s="43" t="s">
        <v>34</v>
      </c>
      <c r="Q857" s="43" t="s">
        <v>31</v>
      </c>
      <c r="R857" s="44"/>
    </row>
    <row r="858" spans="1:18" x14ac:dyDescent="0.25">
      <c r="A858" t="str">
        <f t="shared" si="26"/>
        <v>Impianto Antincendio_Pompa_ALR_RICHIESTO_AVVIO_POMPA_SOS-Allarme richiesto avvio pompa SOS</v>
      </c>
      <c r="B858" t="str">
        <f t="shared" si="27"/>
        <v>ALR_RICHIESTO_AVVIO_POMPA_SOS-Allarme richiesto avvio pompa SOS</v>
      </c>
      <c r="C858" t="str">
        <f>VLOOKUP(B858,'[2]Classi allarmi RMT-STIG_rev4'!$C:$C,1,0)</f>
        <v>ALR_RICHIESTO_AVVIO_POMPA_SOS-Allarme richiesto avvio pompa SOS</v>
      </c>
      <c r="D858" t="str">
        <f>VLOOKUP(B858,'EXPORT IRIS PROD 13-11-2024'!A:A,1,0)</f>
        <v>ALR_RICHIESTO_AVVIO_POMPA_SOS-Allarme richiesto avvio pompa SOS</v>
      </c>
      <c r="E858" t="str">
        <f>VLOOKUP(H858,'EXPORT IRIS PROD 13-11-2024'!F:F,1,0)</f>
        <v>ALR_RICHIESTO_AVVIO_POMPA_SOS</v>
      </c>
      <c r="F858" t="str">
        <f>VLOOKUP(I858,'EXPORT IRIS PROD 13-11-2024'!D:D,1,0)</f>
        <v>Allarme richiesto avvio pompa SOS</v>
      </c>
      <c r="G858" s="37" t="s">
        <v>298</v>
      </c>
      <c r="H858" s="38" t="s">
        <v>1537</v>
      </c>
      <c r="I858" s="45" t="s">
        <v>1538</v>
      </c>
      <c r="J858" s="46" t="s">
        <v>38</v>
      </c>
      <c r="K858" s="46" t="s">
        <v>39</v>
      </c>
      <c r="L858" s="40" t="s">
        <v>21</v>
      </c>
      <c r="M858" s="41" t="s">
        <v>22</v>
      </c>
      <c r="N858" s="42" t="s">
        <v>23</v>
      </c>
      <c r="O858" s="43" t="s">
        <v>24</v>
      </c>
      <c r="P858" s="42" t="s">
        <v>25</v>
      </c>
      <c r="Q858" s="42" t="s">
        <v>21</v>
      </c>
      <c r="R858" s="52"/>
    </row>
    <row r="859" spans="1:18" x14ac:dyDescent="0.25">
      <c r="A859" t="str">
        <f t="shared" si="26"/>
        <v>Impianto elettrico_Quadro elettrico_ALR_RIFASAMENTO_QUADRO-Allarme rifasamento quadro</v>
      </c>
      <c r="B859" t="str">
        <f t="shared" si="27"/>
        <v>ALR_RIFASAMENTO_QUADRO-Allarme rifasamento quadro</v>
      </c>
      <c r="C859" t="str">
        <f>VLOOKUP(B859,'[2]Classi allarmi RMT-STIG_rev4'!$C:$C,1,0)</f>
        <v>ALR_RIFASAMENTO_QUADRO-Allarme rifasamento quadro</v>
      </c>
      <c r="D859" t="str">
        <f>VLOOKUP(B859,'EXPORT IRIS PROD 13-11-2024'!A:A,1,0)</f>
        <v>ALR_RIFASAMENTO_QUADRO-Allarme rifasamento quadro</v>
      </c>
      <c r="E859" t="str">
        <f>VLOOKUP(H859,'EXPORT IRIS PROD 13-11-2024'!F:F,1,0)</f>
        <v>ALR_RIFASAMENTO_QUADRO</v>
      </c>
      <c r="F859" t="str">
        <f>VLOOKUP(I859,'EXPORT IRIS PROD 13-11-2024'!D:D,1,0)</f>
        <v>Allarme rifasamento quadro</v>
      </c>
      <c r="G859" s="37" t="s">
        <v>53</v>
      </c>
      <c r="H859" s="38" t="s">
        <v>1539</v>
      </c>
      <c r="I859" s="45" t="s">
        <v>1540</v>
      </c>
      <c r="J859" s="46" t="s">
        <v>1106</v>
      </c>
      <c r="K859" s="46" t="s">
        <v>114</v>
      </c>
      <c r="L859" s="40" t="s">
        <v>21</v>
      </c>
      <c r="M859" s="41" t="s">
        <v>22</v>
      </c>
      <c r="N859" s="42" t="s">
        <v>23</v>
      </c>
      <c r="O859" s="43" t="s">
        <v>24</v>
      </c>
      <c r="P859" s="42" t="s">
        <v>25</v>
      </c>
      <c r="Q859" s="42" t="s">
        <v>21</v>
      </c>
      <c r="R859" s="44"/>
    </row>
    <row r="860" spans="1:18" x14ac:dyDescent="0.25">
      <c r="A860" t="str">
        <f t="shared" si="26"/>
        <v>Smart Road_GI -Quadro elettrico_ALR_RIFASAMENTO_QUADRO-Allarme rifasamento quadro</v>
      </c>
      <c r="B860" t="str">
        <f t="shared" si="27"/>
        <v>ALR_RIFASAMENTO_QUADRO-Allarme rifasamento quadro</v>
      </c>
      <c r="C860" t="str">
        <f>VLOOKUP(B860,'[2]Classi allarmi RMT-STIG_rev4'!$C:$C,1,0)</f>
        <v>ALR_RIFASAMENTO_QUADRO-Allarme rifasamento quadro</v>
      </c>
      <c r="D860" t="str">
        <f>VLOOKUP(B860,'EXPORT IRIS PROD 13-11-2024'!A:A,1,0)</f>
        <v>ALR_RIFASAMENTO_QUADRO-Allarme rifasamento quadro</v>
      </c>
      <c r="E860" t="str">
        <f>VLOOKUP(H860,'EXPORT IRIS PROD 13-11-2024'!F:F,1,0)</f>
        <v>ALR_RIFASAMENTO_QUADRO</v>
      </c>
      <c r="F860" t="str">
        <f>VLOOKUP(I860,'EXPORT IRIS PROD 13-11-2024'!D:D,1,0)</f>
        <v>Allarme rifasamento quadro</v>
      </c>
      <c r="G860" s="37" t="s">
        <v>1541</v>
      </c>
      <c r="H860" s="38" t="s">
        <v>1539</v>
      </c>
      <c r="I860" s="45" t="s">
        <v>1540</v>
      </c>
      <c r="J860" s="46" t="s">
        <v>965</v>
      </c>
      <c r="K860" s="46" t="s">
        <v>1542</v>
      </c>
      <c r="L860" s="40" t="s">
        <v>21</v>
      </c>
      <c r="M860" s="41" t="s">
        <v>22</v>
      </c>
      <c r="N860" s="42" t="s">
        <v>23</v>
      </c>
      <c r="O860" s="43" t="s">
        <v>24</v>
      </c>
      <c r="P860" s="42" t="s">
        <v>25</v>
      </c>
      <c r="Q860" s="42" t="s">
        <v>21</v>
      </c>
      <c r="R860" s="44"/>
    </row>
    <row r="861" spans="1:18" x14ac:dyDescent="0.25">
      <c r="A861" t="str">
        <f t="shared" si="26"/>
        <v>Impianto Elettrico_Centrale antintrusione_ALR_RILEVATORE-Allarme rilevatore</v>
      </c>
      <c r="B861" t="str">
        <f t="shared" si="27"/>
        <v>ALR_RILEVATORE-Allarme rilevatore</v>
      </c>
      <c r="C861" t="str">
        <f>VLOOKUP(B861,'[2]Classi allarmi RMT-STIG_rev4'!$C:$C,1,0)</f>
        <v>ALR_RILEVATORE-Allarme rilevatore</v>
      </c>
      <c r="D861" t="str">
        <f>VLOOKUP(B861,'EXPORT IRIS PROD 13-11-2024'!A:A,1,0)</f>
        <v>ALR_RILEVATORE-Allarme rilevatore</v>
      </c>
      <c r="E861" t="str">
        <f>VLOOKUP(H861,'EXPORT IRIS PROD 13-11-2024'!F:F,1,0)</f>
        <v>ALR_RILEVATORE</v>
      </c>
      <c r="F861" t="str">
        <f>VLOOKUP(I861,'EXPORT IRIS PROD 13-11-2024'!D:D,1,0)</f>
        <v>Allarme rilevatore</v>
      </c>
      <c r="G861" s="37" t="s">
        <v>468</v>
      </c>
      <c r="H861" s="38" t="s">
        <v>1543</v>
      </c>
      <c r="I861" s="45" t="s">
        <v>1544</v>
      </c>
      <c r="J861" s="46" t="s">
        <v>56</v>
      </c>
      <c r="K861" s="46" t="s">
        <v>1545</v>
      </c>
      <c r="L861" s="40" t="s">
        <v>31</v>
      </c>
      <c r="M861" s="41" t="s">
        <v>32</v>
      </c>
      <c r="N861" s="43">
        <v>2</v>
      </c>
      <c r="O861" s="43" t="s">
        <v>33</v>
      </c>
      <c r="P861" s="42" t="s">
        <v>34</v>
      </c>
      <c r="Q861" s="42" t="s">
        <v>31</v>
      </c>
      <c r="R861" s="44"/>
    </row>
    <row r="862" spans="1:18" x14ac:dyDescent="0.25">
      <c r="A862" t="str">
        <f t="shared" si="26"/>
        <v>Impianto Rilevazione Incendio_Centralina rilevazione incendio in cabina_ALR_RILEVATORE_2_IMP-Allarme rilevatore</v>
      </c>
      <c r="B862" t="str">
        <f t="shared" si="27"/>
        <v>ALR_RILEVATORE_2_IMP-Allarme rilevatore</v>
      </c>
      <c r="C862" t="str">
        <f>VLOOKUP(B862,'[2]Classi allarmi RMT-STIG_rev4'!$C:$C,1,0)</f>
        <v>ALR_RILEVATORE_2_IMP-Allarme rilevatore</v>
      </c>
      <c r="D862" t="str">
        <f>VLOOKUP(B862,'EXPORT IRIS PROD 13-11-2024'!A:A,1,0)</f>
        <v>ALR_RILEVATORE_2_IMP-Allarme rilevatore</v>
      </c>
      <c r="E862" t="str">
        <f>VLOOKUP(H862,'EXPORT IRIS PROD 13-11-2024'!F:F,1,0)</f>
        <v>ALR_RILEVATORE_2_IMP</v>
      </c>
      <c r="F862" t="str">
        <f>VLOOKUP(I862,'EXPORT IRIS PROD 13-11-2024'!D:D,1,0)</f>
        <v>Allarme rilevatore</v>
      </c>
      <c r="G862" s="37" t="s">
        <v>105</v>
      </c>
      <c r="H862" s="38" t="s">
        <v>1546</v>
      </c>
      <c r="I862" s="45" t="s">
        <v>1544</v>
      </c>
      <c r="J862" s="46" t="s">
        <v>43</v>
      </c>
      <c r="K862" s="46" t="s">
        <v>44</v>
      </c>
      <c r="L862" s="40" t="s">
        <v>21</v>
      </c>
      <c r="M862" s="41" t="s">
        <v>22</v>
      </c>
      <c r="N862" s="42" t="s">
        <v>23</v>
      </c>
      <c r="O862" s="43" t="s">
        <v>24</v>
      </c>
      <c r="P862" s="42" t="s">
        <v>25</v>
      </c>
      <c r="Q862" s="42" t="s">
        <v>21</v>
      </c>
      <c r="R862" s="44"/>
    </row>
    <row r="863" spans="1:18" x14ac:dyDescent="0.25">
      <c r="A863" t="str">
        <f t="shared" si="26"/>
        <v>Impianto elettrico_Gruppo elettrogeno_ALR_RISERVA_GRUPPO_ELETTROGENO-Allarme Gruppo Elettrogeno in riserva</v>
      </c>
      <c r="B863" t="str">
        <f t="shared" si="27"/>
        <v>ALR_RISERVA_GRUPPO_ELETTROGENO-Allarme Gruppo Elettrogeno in riserva</v>
      </c>
      <c r="C863" t="str">
        <f>VLOOKUP(B863,'[2]Classi allarmi RMT-STIG_rev4'!$C:$C,1,0)</f>
        <v>ALR_RISERVA_GRUPPO_ELETTROGENO-Allarme Gruppo Elettrogeno in riserva</v>
      </c>
      <c r="D863" t="str">
        <f>VLOOKUP(B863,'EXPORT IRIS PROD 13-11-2024'!A:A,1,0)</f>
        <v>ALR_RISERVA_GRUPPO_ELETTROGENO-Allarme Gruppo Elettrogeno in riserva</v>
      </c>
      <c r="E863" t="str">
        <f>VLOOKUP(H863,'EXPORT IRIS PROD 13-11-2024'!F:F,1,0)</f>
        <v>ALR_RISERVA_GRUPPO_ELETTROGENO</v>
      </c>
      <c r="F863" t="str">
        <f>VLOOKUP(I863,'EXPORT IRIS PROD 13-11-2024'!D:D,1,0)</f>
        <v>Allarme Gruppo Elettrogeno in riserva</v>
      </c>
      <c r="G863" s="37" t="s">
        <v>53</v>
      </c>
      <c r="H863" s="38" t="s">
        <v>1547</v>
      </c>
      <c r="I863" s="45" t="s">
        <v>1548</v>
      </c>
      <c r="J863" s="46" t="s">
        <v>1106</v>
      </c>
      <c r="K863" s="46" t="s">
        <v>57</v>
      </c>
      <c r="L863" s="40" t="s">
        <v>21</v>
      </c>
      <c r="M863" s="41" t="s">
        <v>22</v>
      </c>
      <c r="N863" s="42" t="s">
        <v>23</v>
      </c>
      <c r="O863" s="43" t="s">
        <v>24</v>
      </c>
      <c r="P863" s="42" t="s">
        <v>25</v>
      </c>
      <c r="Q863" s="42" t="s">
        <v>21</v>
      </c>
      <c r="R863" s="44"/>
    </row>
    <row r="864" spans="1:18" x14ac:dyDescent="0.25">
      <c r="A864" t="str">
        <f t="shared" si="26"/>
        <v>Impianto elettrico_Gruppo elettrogeno_ALR_RISERVA_GRUPPO_ELETTROGENO-Allarme Gruppo Elettrogeno in riserva</v>
      </c>
      <c r="B864" t="str">
        <f t="shared" si="27"/>
        <v>ALR_RISERVA_GRUPPO_ELETTROGENO-Allarme Gruppo Elettrogeno in riserva</v>
      </c>
      <c r="C864" t="str">
        <f>VLOOKUP(B864,'[2]Classi allarmi RMT-STIG_rev4'!$C:$C,1,0)</f>
        <v>ALR_RISERVA_GRUPPO_ELETTROGENO-Allarme Gruppo Elettrogeno in riserva</v>
      </c>
      <c r="D864" t="str">
        <f>VLOOKUP(B864,'EXPORT IRIS PROD 13-11-2024'!A:A,1,0)</f>
        <v>ALR_RISERVA_GRUPPO_ELETTROGENO-Allarme Gruppo Elettrogeno in riserva</v>
      </c>
      <c r="E864" t="str">
        <f>VLOOKUP(H864,'EXPORT IRIS PROD 13-11-2024'!F:F,1,0)</f>
        <v>ALR_RISERVA_GRUPPO_ELETTROGENO</v>
      </c>
      <c r="F864" t="str">
        <f>VLOOKUP(I864,'EXPORT IRIS PROD 13-11-2024'!D:D,1,0)</f>
        <v>Allarme Gruppo Elettrogeno in riserva</v>
      </c>
      <c r="G864" s="37" t="s">
        <v>53</v>
      </c>
      <c r="H864" s="38" t="s">
        <v>1547</v>
      </c>
      <c r="I864" s="45" t="s">
        <v>1548</v>
      </c>
      <c r="J864" s="46" t="s">
        <v>1106</v>
      </c>
      <c r="K864" s="46" t="s">
        <v>57</v>
      </c>
      <c r="L864" s="40" t="s">
        <v>21</v>
      </c>
      <c r="M864" s="41" t="s">
        <v>22</v>
      </c>
      <c r="N864" s="42" t="s">
        <v>23</v>
      </c>
      <c r="O864" s="43" t="s">
        <v>24</v>
      </c>
      <c r="P864" s="42" t="s">
        <v>25</v>
      </c>
      <c r="Q864" s="42" t="s">
        <v>21</v>
      </c>
      <c r="R864" s="95" t="s">
        <v>2051</v>
      </c>
    </row>
    <row r="865" spans="1:18" x14ac:dyDescent="0.25">
      <c r="A865" t="str">
        <f t="shared" si="26"/>
        <v>Impianto Antincendio_Pompa_ALR_RISERVA_IDRICA_POMPA_SOS-Allarme riserva idrica pompa SOS</v>
      </c>
      <c r="B865" t="str">
        <f t="shared" si="27"/>
        <v>ALR_RISERVA_IDRICA_POMPA_SOS-Allarme riserva idrica pompa SOS</v>
      </c>
      <c r="C865" t="str">
        <f>VLOOKUP(B865,'[2]Classi allarmi RMT-STIG_rev4'!$C:$C,1,0)</f>
        <v>ALR_RISERVA_IDRICA_POMPA_SOS-Allarme riserva idrica pompa SOS</v>
      </c>
      <c r="D865" t="str">
        <f>VLOOKUP(B865,'EXPORT IRIS PROD 13-11-2024'!A:A,1,0)</f>
        <v>ALR_RISERVA_IDRICA_POMPA_SOS-Allarme riserva idrica pompa SOS</v>
      </c>
      <c r="E865" t="str">
        <f>VLOOKUP(H865,'EXPORT IRIS PROD 13-11-2024'!F:F,1,0)</f>
        <v>ALR_RISERVA_IDRICA_POMPA_SOS</v>
      </c>
      <c r="F865" t="str">
        <f>VLOOKUP(I865,'EXPORT IRIS PROD 13-11-2024'!D:D,1,0)</f>
        <v>Allarme riserva idrica pompa SOS</v>
      </c>
      <c r="G865" s="37" t="s">
        <v>35</v>
      </c>
      <c r="H865" s="38" t="s">
        <v>1549</v>
      </c>
      <c r="I865" s="45" t="s">
        <v>1550</v>
      </c>
      <c r="J865" s="46" t="s">
        <v>38</v>
      </c>
      <c r="K865" s="46" t="s">
        <v>39</v>
      </c>
      <c r="L865" s="40" t="s">
        <v>21</v>
      </c>
      <c r="M865" s="41" t="s">
        <v>22</v>
      </c>
      <c r="N865" s="42" t="s">
        <v>23</v>
      </c>
      <c r="O865" s="43" t="s">
        <v>24</v>
      </c>
      <c r="P865" s="42" t="s">
        <v>25</v>
      </c>
      <c r="Q865" s="42" t="s">
        <v>21</v>
      </c>
      <c r="R865" s="44"/>
    </row>
    <row r="866" spans="1:18" x14ac:dyDescent="0.25">
      <c r="A866" t="str">
        <f t="shared" si="26"/>
        <v>Impianto Ventilazione_Ventilatore_ALR_SCALDIGLIA_MOTORE-Allarme scaldiglia motore</v>
      </c>
      <c r="B866" t="str">
        <f t="shared" si="27"/>
        <v>ALR_SCALDIGLIA_MOTORE-Allarme scaldiglia motore</v>
      </c>
      <c r="C866" t="str">
        <f>VLOOKUP(B866,'[2]Classi allarmi RMT-STIG_rev4'!$C:$C,1,0)</f>
        <v>ALR_SCALDIGLIA_MOTORE-Allarme scaldiglia motore</v>
      </c>
      <c r="D866" t="str">
        <f>VLOOKUP(B866,'EXPORT IRIS PROD 13-11-2024'!A:A,1,0)</f>
        <v>ALR_SCALDIGLIA_MOTORE-Allarme scaldiglia motore</v>
      </c>
      <c r="E866" t="str">
        <f>VLOOKUP(H866,'EXPORT IRIS PROD 13-11-2024'!F:F,1,0)</f>
        <v>ALR_SCALDIGLIA_MOTORE</v>
      </c>
      <c r="F866" t="str">
        <f>VLOOKUP(I866,'EXPORT IRIS PROD 13-11-2024'!D:D,1,0)</f>
        <v>Allarme scaldiglia motore</v>
      </c>
      <c r="G866" s="37" t="s">
        <v>85</v>
      </c>
      <c r="H866" s="38" t="s">
        <v>1551</v>
      </c>
      <c r="I866" s="45" t="s">
        <v>1552</v>
      </c>
      <c r="J866" s="46" t="s">
        <v>50</v>
      </c>
      <c r="K866" s="46" t="s">
        <v>124</v>
      </c>
      <c r="L866" s="40" t="s">
        <v>21</v>
      </c>
      <c r="M866" s="41" t="s">
        <v>22</v>
      </c>
      <c r="N866" s="42" t="s">
        <v>23</v>
      </c>
      <c r="O866" s="43" t="s">
        <v>24</v>
      </c>
      <c r="P866" s="42" t="s">
        <v>25</v>
      </c>
      <c r="Q866" s="42" t="s">
        <v>21</v>
      </c>
      <c r="R866" s="44"/>
    </row>
    <row r="867" spans="1:18" x14ac:dyDescent="0.25">
      <c r="A867" t="str">
        <f t="shared" si="26"/>
        <v>Impianto Elettrico_Scaricatori quadro_ALR_SCARICATORI_TENSIONE-Allarme scaricatori di sovratensione</v>
      </c>
      <c r="B867" t="str">
        <f t="shared" si="27"/>
        <v>ALR_SCARICATORI_TENSIONE-Allarme scaricatori di sovratensione</v>
      </c>
      <c r="C867" t="str">
        <f>VLOOKUP(B867,'[2]Classi allarmi RMT-STIG_rev4'!$C:$C,1,0)</f>
        <v>ALR_SCARICATORI_TENSIONE-Allarme scaricatori di sovratensione</v>
      </c>
      <c r="D867" t="str">
        <f>VLOOKUP(B867,'EXPORT IRIS PROD 13-11-2024'!A:A,1,0)</f>
        <v>ALR_SCARICATORI_TENSIONE-Allarme scaricatori di sovratensione</v>
      </c>
      <c r="E867" t="str">
        <f>VLOOKUP(H867,'EXPORT IRIS PROD 13-11-2024'!F:F,1,0)</f>
        <v>ALR_SCARICATORI_TENSIONE</v>
      </c>
      <c r="F867" t="str">
        <f>VLOOKUP(I867,'EXPORT IRIS PROD 13-11-2024'!D:D,1,0)</f>
        <v>Allarme scaricatori di sovratensione</v>
      </c>
      <c r="G867" s="37" t="s">
        <v>53</v>
      </c>
      <c r="H867" s="38" t="s">
        <v>1553</v>
      </c>
      <c r="I867" s="45" t="s">
        <v>639</v>
      </c>
      <c r="J867" s="46" t="s">
        <v>56</v>
      </c>
      <c r="K867" s="46" t="s">
        <v>1554</v>
      </c>
      <c r="L867" s="40" t="s">
        <v>21</v>
      </c>
      <c r="M867" s="41" t="s">
        <v>22</v>
      </c>
      <c r="N867" s="42" t="s">
        <v>23</v>
      </c>
      <c r="O867" s="43" t="s">
        <v>24</v>
      </c>
      <c r="P867" s="42" t="s">
        <v>25</v>
      </c>
      <c r="Q867" s="42" t="s">
        <v>21</v>
      </c>
      <c r="R867" s="44"/>
    </row>
    <row r="868" spans="1:18" x14ac:dyDescent="0.25">
      <c r="A868" t="str">
        <f t="shared" si="26"/>
        <v>Impianto videosorveglianza_Telecamera bypass_ALR_SCARSA_VISIB_FUMO-Allarme scarsa visibilità/fumo</v>
      </c>
      <c r="B868" t="str">
        <f t="shared" si="27"/>
        <v>ALR_SCARSA_VISIB_FUMO-Allarme scarsa visibilità/fumo</v>
      </c>
      <c r="C868" t="str">
        <f>VLOOKUP(B868,'[2]Classi allarmi RMT-STIG_rev4'!$C:$C,1,0)</f>
        <v>ALR_SCARSA_VISIB_FUMO-Allarme scarsa visibilità/fumo</v>
      </c>
      <c r="D868" t="str">
        <f>VLOOKUP(B868,'EXPORT IRIS PROD 13-11-2024'!A:A,1,0)</f>
        <v>ALR_SCARSA_VISIB_FUMO-Allarme scarsa visibilità/fumo</v>
      </c>
      <c r="E868" t="str">
        <f>VLOOKUP(H868,'EXPORT IRIS PROD 13-11-2024'!F:F,1,0)</f>
        <v>ALR_SCARSA_VISIB_FUMO</v>
      </c>
      <c r="F868" t="str">
        <f>VLOOKUP(I868,'EXPORT IRIS PROD 13-11-2024'!D:D,1,0)</f>
        <v>Allarme scarsa visibilità/fumo</v>
      </c>
      <c r="G868" s="37" t="s">
        <v>836</v>
      </c>
      <c r="H868" s="38" t="s">
        <v>1555</v>
      </c>
      <c r="I868" s="45" t="s">
        <v>1556</v>
      </c>
      <c r="J868" s="46" t="s">
        <v>1337</v>
      </c>
      <c r="K868" s="46" t="s">
        <v>1557</v>
      </c>
      <c r="L868" s="47" t="s">
        <v>31</v>
      </c>
      <c r="M868" s="48" t="s">
        <v>32</v>
      </c>
      <c r="N868" s="43">
        <v>2</v>
      </c>
      <c r="O868" s="43" t="s">
        <v>45</v>
      </c>
      <c r="P868" s="43" t="s">
        <v>46</v>
      </c>
      <c r="Q868" s="43" t="s">
        <v>31</v>
      </c>
      <c r="R868" s="49"/>
    </row>
    <row r="869" spans="1:18" x14ac:dyDescent="0.25">
      <c r="A869" t="str">
        <f t="shared" si="26"/>
        <v>Impianto Canalizzazione_Semaforo_ALR_SEMAFORO_GIALLO_GUASTO-Allarme semaforo giallo guasto</v>
      </c>
      <c r="B869" t="str">
        <f t="shared" si="27"/>
        <v>ALR_SEMAFORO_GIALLO_GUASTO-Allarme semaforo giallo guasto</v>
      </c>
      <c r="C869" t="str">
        <f>VLOOKUP(B869,'[2]Classi allarmi RMT-STIG_rev4'!$C:$C,1,0)</f>
        <v>ALR_SEMAFORO_GIALLO_GUASTO-Allarme semaforo giallo guasto</v>
      </c>
      <c r="D869" t="str">
        <f>VLOOKUP(B869,'EXPORT IRIS PROD 13-11-2024'!A:A,1,0)</f>
        <v>ALR_SEMAFORO_GIALLO_GUASTO-Allarme semaforo giallo guasto</v>
      </c>
      <c r="E869" t="str">
        <f>VLOOKUP(H869,'EXPORT IRIS PROD 13-11-2024'!F:F,1,0)</f>
        <v>ALR_SEMAFORO_GIALLO_GUASTO</v>
      </c>
      <c r="F869" t="str">
        <f>VLOOKUP(I869,'EXPORT IRIS PROD 13-11-2024'!D:D,1,0)</f>
        <v>Allarme semaforo giallo guasto</v>
      </c>
      <c r="G869" s="37" t="s">
        <v>109</v>
      </c>
      <c r="H869" s="38" t="s">
        <v>1558</v>
      </c>
      <c r="I869" s="45" t="s">
        <v>1559</v>
      </c>
      <c r="J869" s="46" t="s">
        <v>111</v>
      </c>
      <c r="K869" s="46" t="s">
        <v>376</v>
      </c>
      <c r="L869" s="40" t="s">
        <v>21</v>
      </c>
      <c r="M869" s="41" t="s">
        <v>22</v>
      </c>
      <c r="N869" s="42" t="s">
        <v>23</v>
      </c>
      <c r="O869" s="43" t="s">
        <v>157</v>
      </c>
      <c r="P869" s="42" t="s">
        <v>158</v>
      </c>
      <c r="Q869" s="42" t="s">
        <v>21</v>
      </c>
      <c r="R869" s="44"/>
    </row>
    <row r="870" spans="1:18" x14ac:dyDescent="0.25">
      <c r="A870" t="str">
        <f t="shared" si="26"/>
        <v>Impianto Canalizzazione_Semaforo_ALR_SEMAFORO_ROSSO_GUASTO-Allarme semaforo rosso guasto</v>
      </c>
      <c r="B870" t="str">
        <f t="shared" si="27"/>
        <v>ALR_SEMAFORO_ROSSO_GUASTO-Allarme semaforo rosso guasto</v>
      </c>
      <c r="C870" t="str">
        <f>VLOOKUP(B870,'[2]Classi allarmi RMT-STIG_rev4'!$C:$C,1,0)</f>
        <v>ALR_SEMAFORO_ROSSO_GUASTO-Allarme semaforo rosso guasto</v>
      </c>
      <c r="D870" t="str">
        <f>VLOOKUP(B870,'EXPORT IRIS PROD 13-11-2024'!A:A,1,0)</f>
        <v>ALR_SEMAFORO_ROSSO_GUASTO-Allarme semaforo rosso guasto</v>
      </c>
      <c r="E870" t="str">
        <f>VLOOKUP(H870,'EXPORT IRIS PROD 13-11-2024'!F:F,1,0)</f>
        <v>ALR_SEMAFORO_ROSSO_GUASTO</v>
      </c>
      <c r="F870" t="str">
        <f>VLOOKUP(I870,'EXPORT IRIS PROD 13-11-2024'!D:D,1,0)</f>
        <v>Allarme semaforo rosso guasto</v>
      </c>
      <c r="G870" s="37" t="s">
        <v>109</v>
      </c>
      <c r="H870" s="38" t="s">
        <v>1560</v>
      </c>
      <c r="I870" s="45" t="s">
        <v>1561</v>
      </c>
      <c r="J870" s="46" t="s">
        <v>111</v>
      </c>
      <c r="K870" s="46" t="s">
        <v>376</v>
      </c>
      <c r="L870" s="40" t="s">
        <v>21</v>
      </c>
      <c r="M870" s="41" t="s">
        <v>22</v>
      </c>
      <c r="N870" s="42" t="s">
        <v>23</v>
      </c>
      <c r="O870" s="43" t="s">
        <v>157</v>
      </c>
      <c r="P870" s="42" t="s">
        <v>158</v>
      </c>
      <c r="Q870" s="42" t="s">
        <v>21</v>
      </c>
      <c r="R870" s="44"/>
    </row>
    <row r="871" spans="1:18" x14ac:dyDescent="0.25">
      <c r="A871" t="str">
        <f t="shared" si="26"/>
        <v>Impianto Canalizzazione_Semaforo_ALR_SEMAFORO_VERDE_GUASTO-Allarme semaforo verde guasto</v>
      </c>
      <c r="B871" t="str">
        <f t="shared" si="27"/>
        <v>ALR_SEMAFORO_VERDE_GUASTO-Allarme semaforo verde guasto</v>
      </c>
      <c r="C871" t="str">
        <f>VLOOKUP(B871,'[2]Classi allarmi RMT-STIG_rev4'!$C:$C,1,0)</f>
        <v>ALR_SEMAFORO_VERDE_GUASTO-Allarme semaforo verde guasto</v>
      </c>
      <c r="D871" t="str">
        <f>VLOOKUP(B871,'EXPORT IRIS PROD 13-11-2024'!A:A,1,0)</f>
        <v>ALR_SEMAFORO_VERDE_GUASTO-Allarme semaforo verde guasto</v>
      </c>
      <c r="E871" t="str">
        <f>VLOOKUP(H871,'EXPORT IRIS PROD 13-11-2024'!F:F,1,0)</f>
        <v>ALR_SEMAFORO_VERDE_GUASTO</v>
      </c>
      <c r="F871" t="str">
        <f>VLOOKUP(I871,'EXPORT IRIS PROD 13-11-2024'!D:D,1,0)</f>
        <v>Allarme semaforo verde guasto</v>
      </c>
      <c r="G871" s="37" t="s">
        <v>109</v>
      </c>
      <c r="H871" s="38" t="s">
        <v>1562</v>
      </c>
      <c r="I871" s="45" t="s">
        <v>1563</v>
      </c>
      <c r="J871" s="46" t="s">
        <v>111</v>
      </c>
      <c r="K871" s="46" t="s">
        <v>376</v>
      </c>
      <c r="L871" s="40" t="s">
        <v>21</v>
      </c>
      <c r="M871" s="41" t="s">
        <v>22</v>
      </c>
      <c r="N871" s="42" t="s">
        <v>23</v>
      </c>
      <c r="O871" s="43" t="s">
        <v>157</v>
      </c>
      <c r="P871" s="42" t="s">
        <v>158</v>
      </c>
      <c r="Q871" s="42" t="s">
        <v>21</v>
      </c>
      <c r="R871" s="44"/>
    </row>
    <row r="872" spans="1:18" x14ac:dyDescent="0.25">
      <c r="A872" t="str">
        <f t="shared" si="26"/>
        <v>Smart Road_Sensore radar_ALR_SENSORE_RADAR-Allarme sensore Radar</v>
      </c>
      <c r="B872" t="str">
        <f t="shared" si="27"/>
        <v>ALR_SENSORE_RADAR-Allarme sensore Radar</v>
      </c>
      <c r="C872" t="str">
        <f>VLOOKUP(B872,'[2]Classi allarmi RMT-STIG_rev4'!$C:$C,1,0)</f>
        <v>ALR_SENSORE_RADAR-Allarme sensore Radar</v>
      </c>
      <c r="D872" t="str">
        <f>VLOOKUP(B872,'EXPORT IRIS PROD 13-11-2024'!A:A,1,0)</f>
        <v>ALR_SENSORE_RADAR-Allarme sensore Radar</v>
      </c>
      <c r="E872" t="str">
        <f>VLOOKUP(H872,'EXPORT IRIS PROD 13-11-2024'!F:F,1,0)</f>
        <v>ALR_SENSORE_RADAR</v>
      </c>
      <c r="F872" t="str">
        <f>VLOOKUP(I872,'EXPORT IRIS PROD 13-11-2024'!D:D,1,0)</f>
        <v>Allarme sensore Radar</v>
      </c>
      <c r="G872" s="37" t="s">
        <v>198</v>
      </c>
      <c r="H872" s="38" t="s">
        <v>1564</v>
      </c>
      <c r="I872" s="45" t="s">
        <v>1565</v>
      </c>
      <c r="J872" s="46" t="s">
        <v>965</v>
      </c>
      <c r="K872" s="46" t="s">
        <v>1566</v>
      </c>
      <c r="L872" s="47" t="s">
        <v>21</v>
      </c>
      <c r="M872" s="41" t="s">
        <v>22</v>
      </c>
      <c r="N872" s="43" t="s">
        <v>23</v>
      </c>
      <c r="O872" s="43" t="s">
        <v>24</v>
      </c>
      <c r="P872" s="42" t="s">
        <v>25</v>
      </c>
      <c r="Q872" s="42" t="s">
        <v>21</v>
      </c>
      <c r="R872" s="44"/>
    </row>
    <row r="873" spans="1:18" x14ac:dyDescent="0.25">
      <c r="A873" t="str">
        <f t="shared" si="26"/>
        <v>Impianto Ventilazione_Sensori qualità aria CO/OP/NO/AN_ALR_SENSORE_SCOLLEGATO-Allarme sensore scollegato</v>
      </c>
      <c r="B873" t="str">
        <f t="shared" si="27"/>
        <v>ALR_SENSORE_SCOLLEGATO-Allarme sensore scollegato</v>
      </c>
      <c r="C873" t="str">
        <f>VLOOKUP(B873,'[2]Classi allarmi RMT-STIG_rev4'!$C:$C,1,0)</f>
        <v>ALR_SENSORE_SCOLLEGATO-Allarme sensore scollegato</v>
      </c>
      <c r="D873" t="str">
        <f>VLOOKUP(B873,'EXPORT IRIS PROD 13-11-2024'!A:A,1,0)</f>
        <v>ALR_SENSORE_SCOLLEGATO-Allarme sensore scollegato</v>
      </c>
      <c r="E873" t="str">
        <f>VLOOKUP(H873,'EXPORT IRIS PROD 13-11-2024'!F:F,1,0)</f>
        <v>ALR_SENSORE_SCOLLEGATO</v>
      </c>
      <c r="F873" t="str">
        <f>VLOOKUP(I873,'EXPORT IRIS PROD 13-11-2024'!D:D,1,0)</f>
        <v>Allarme sensore scollegato</v>
      </c>
      <c r="G873" s="37" t="s">
        <v>85</v>
      </c>
      <c r="H873" s="38" t="s">
        <v>1567</v>
      </c>
      <c r="I873" s="45" t="s">
        <v>1568</v>
      </c>
      <c r="J873" s="46" t="s">
        <v>50</v>
      </c>
      <c r="K873" s="46" t="s">
        <v>1189</v>
      </c>
      <c r="L873" s="40" t="s">
        <v>21</v>
      </c>
      <c r="M873" s="41" t="s">
        <v>22</v>
      </c>
      <c r="N873" s="42" t="s">
        <v>23</v>
      </c>
      <c r="O873" s="43" t="s">
        <v>24</v>
      </c>
      <c r="P873" s="42" t="s">
        <v>25</v>
      </c>
      <c r="Q873" s="42" t="s">
        <v>21</v>
      </c>
      <c r="R873" s="44"/>
    </row>
    <row r="874" spans="1:18" x14ac:dyDescent="0.25">
      <c r="A874" t="str">
        <f t="shared" si="26"/>
        <v>Impianto illuminazione_Sonda luminanza_ALR_SENSORE_SCOLLEGATO-Allarme sensore scollegato</v>
      </c>
      <c r="B874" t="str">
        <f t="shared" si="27"/>
        <v>ALR_SENSORE_SCOLLEGATO-Allarme sensore scollegato</v>
      </c>
      <c r="C874" t="str">
        <f>VLOOKUP(B874,'[2]Classi allarmi RMT-STIG_rev4'!$C:$C,1,0)</f>
        <v>ALR_SENSORE_SCOLLEGATO-Allarme sensore scollegato</v>
      </c>
      <c r="D874" t="str">
        <f>VLOOKUP(B874,'EXPORT IRIS PROD 13-11-2024'!A:A,1,0)</f>
        <v>ALR_SENSORE_SCOLLEGATO-Allarme sensore scollegato</v>
      </c>
      <c r="E874" t="str">
        <f>VLOOKUP(H874,'EXPORT IRIS PROD 13-11-2024'!F:F,1,0)</f>
        <v>ALR_SENSORE_SCOLLEGATO</v>
      </c>
      <c r="F874" t="str">
        <f>VLOOKUP(I874,'EXPORT IRIS PROD 13-11-2024'!D:D,1,0)</f>
        <v>Allarme sensore scollegato</v>
      </c>
      <c r="G874" s="37" t="s">
        <v>115</v>
      </c>
      <c r="H874" s="38" t="s">
        <v>1567</v>
      </c>
      <c r="I874" s="45" t="s">
        <v>1568</v>
      </c>
      <c r="J874" s="46" t="s">
        <v>1142</v>
      </c>
      <c r="K874" s="46" t="s">
        <v>1569</v>
      </c>
      <c r="L874" s="40" t="s">
        <v>21</v>
      </c>
      <c r="M874" s="41" t="s">
        <v>22</v>
      </c>
      <c r="N874" s="42" t="s">
        <v>23</v>
      </c>
      <c r="O874" s="43" t="s">
        <v>24</v>
      </c>
      <c r="P874" s="42" t="s">
        <v>25</v>
      </c>
      <c r="Q874" s="42" t="s">
        <v>21</v>
      </c>
      <c r="R874" s="44"/>
    </row>
    <row r="875" spans="1:18" x14ac:dyDescent="0.25">
      <c r="A875" t="str">
        <f t="shared" si="26"/>
        <v>Impianto Antincendio_Pompa_ALR_SEQUENZA_FASE_ERRATA-Allarme sequenza fase errata</v>
      </c>
      <c r="B875" t="str">
        <f t="shared" si="27"/>
        <v>ALR_SEQUENZA_FASE_ERRATA-Allarme sequenza fase errata</v>
      </c>
      <c r="C875" t="str">
        <f>VLOOKUP(B875,'[2]Classi allarmi RMT-STIG_rev4'!$C:$C,1,0)</f>
        <v>ALR_SEQUENZA_FASE_ERRATA-Allarme sequenza fase errata</v>
      </c>
      <c r="D875" t="str">
        <f>VLOOKUP(B875,'EXPORT IRIS PROD 13-11-2024'!A:A,1,0)</f>
        <v>ALR_SEQUENZA_FASE_ERRATA-Allarme sequenza fase errata</v>
      </c>
      <c r="E875" t="str">
        <f>VLOOKUP(H875,'EXPORT IRIS PROD 13-11-2024'!F:F,1,0)</f>
        <v>ALR_SEQUENZA_FASE_ERRATA</v>
      </c>
      <c r="F875" t="str">
        <f>VLOOKUP(I875,'EXPORT IRIS PROD 13-11-2024'!D:D,1,0)</f>
        <v>Allarme sequenza fase errata</v>
      </c>
      <c r="G875" s="37" t="s">
        <v>35</v>
      </c>
      <c r="H875" s="38" t="s">
        <v>1570</v>
      </c>
      <c r="I875" s="45" t="s">
        <v>1571</v>
      </c>
      <c r="J875" s="46" t="s">
        <v>38</v>
      </c>
      <c r="K875" s="46" t="s">
        <v>39</v>
      </c>
      <c r="L875" s="40" t="s">
        <v>21</v>
      </c>
      <c r="M875" s="41" t="s">
        <v>22</v>
      </c>
      <c r="N875" s="42" t="s">
        <v>23</v>
      </c>
      <c r="O875" s="43" t="s">
        <v>24</v>
      </c>
      <c r="P875" s="42" t="s">
        <v>25</v>
      </c>
      <c r="Q875" s="42" t="s">
        <v>21</v>
      </c>
      <c r="R875" s="44"/>
    </row>
    <row r="876" spans="1:18" x14ac:dyDescent="0.25">
      <c r="A876" t="str">
        <f t="shared" si="26"/>
        <v>Impianto Antincendio_Serbatoio acqua_ALR_SERBATOIO_ACQUA_VUOTO-Allarme serbatoio acqua vuoto</v>
      </c>
      <c r="B876" t="str">
        <f t="shared" si="27"/>
        <v>ALR_SERBATOIO_ACQUA_VUOTO-Allarme serbatoio acqua vuoto</v>
      </c>
      <c r="C876" t="str">
        <f>VLOOKUP(B876,'[2]Classi allarmi RMT-STIG_rev4'!$C:$C,1,0)</f>
        <v>ALR_SERBATOIO_ACQUA_VUOTO-Allarme serbatoio acqua vuoto</v>
      </c>
      <c r="D876" t="str">
        <f>VLOOKUP(B876,'EXPORT IRIS PROD 13-11-2024'!A:A,1,0)</f>
        <v>ALR_SERBATOIO_ACQUA_VUOTO-Allarme serbatoio acqua vuoto</v>
      </c>
      <c r="E876" t="str">
        <f>VLOOKUP(H876,'EXPORT IRIS PROD 13-11-2024'!F:F,1,0)</f>
        <v>ALR_SERBATOIO_ACQUA_VUOTO</v>
      </c>
      <c r="F876" t="str">
        <f>VLOOKUP(I876,'EXPORT IRIS PROD 13-11-2024'!D:D,1,0)</f>
        <v>Allarme serbatoio acqua vuoto</v>
      </c>
      <c r="G876" s="37" t="s">
        <v>35</v>
      </c>
      <c r="H876" s="38" t="s">
        <v>1572</v>
      </c>
      <c r="I876" s="45" t="s">
        <v>1573</v>
      </c>
      <c r="J876" s="46" t="s">
        <v>38</v>
      </c>
      <c r="K876" s="46" t="s">
        <v>480</v>
      </c>
      <c r="L876" s="40" t="s">
        <v>21</v>
      </c>
      <c r="M876" s="41" t="s">
        <v>22</v>
      </c>
      <c r="N876" s="42" t="s">
        <v>23</v>
      </c>
      <c r="O876" s="43" t="s">
        <v>157</v>
      </c>
      <c r="P876" s="42" t="s">
        <v>158</v>
      </c>
      <c r="Q876" s="42" t="s">
        <v>21</v>
      </c>
      <c r="R876" s="44"/>
    </row>
    <row r="877" spans="1:18" x14ac:dyDescent="0.25">
      <c r="A877" t="str">
        <f t="shared" si="26"/>
        <v>Impianto elettrico_UPS_ALR_SHUTDOWN_IMMINENTE-Allarme shutdown imminente</v>
      </c>
      <c r="B877" t="str">
        <f t="shared" si="27"/>
        <v>ALR_SHUTDOWN_IMMINENTE-Allarme shutdown imminente</v>
      </c>
      <c r="C877" t="str">
        <f>VLOOKUP(B877,'[2]Classi allarmi RMT-STIG_rev4'!$C:$C,1,0)</f>
        <v>ALR_SHUTDOWN_IMMINENTE-Allarme shutdown imminente</v>
      </c>
      <c r="D877" t="str">
        <f>VLOOKUP(B877,'EXPORT IRIS PROD 13-11-2024'!A:A,1,0)</f>
        <v>ALR_SHUTDOWN_IMMINENTE-Allarme shutdown imminente</v>
      </c>
      <c r="E877" t="str">
        <f>VLOOKUP(H877,'EXPORT IRIS PROD 13-11-2024'!F:F,1,0)</f>
        <v>ALR_SHUTDOWN_IMMINENTE</v>
      </c>
      <c r="F877" t="str">
        <f>VLOOKUP(I877,'EXPORT IRIS PROD 13-11-2024'!D:D,1,0)</f>
        <v>Allarme shutdown imminente</v>
      </c>
      <c r="G877" s="37" t="s">
        <v>53</v>
      </c>
      <c r="H877" s="38" t="s">
        <v>1574</v>
      </c>
      <c r="I877" s="45" t="s">
        <v>1575</v>
      </c>
      <c r="J877" s="46" t="s">
        <v>1106</v>
      </c>
      <c r="K877" s="46" t="s">
        <v>104</v>
      </c>
      <c r="L877" s="40" t="s">
        <v>21</v>
      </c>
      <c r="M877" s="41" t="s">
        <v>22</v>
      </c>
      <c r="N877" s="42" t="s">
        <v>23</v>
      </c>
      <c r="O877" s="43" t="s">
        <v>24</v>
      </c>
      <c r="P877" s="42" t="s">
        <v>25</v>
      </c>
      <c r="Q877" s="42" t="s">
        <v>21</v>
      </c>
      <c r="R877" s="44"/>
    </row>
    <row r="878" spans="1:18" x14ac:dyDescent="0.25">
      <c r="A878" t="str">
        <f t="shared" si="26"/>
        <v>Impianto elettrico_UPS_ALR_SHUTDOWN_IN_ATTESA-Allarme shutdown in attesa</v>
      </c>
      <c r="B878" t="str">
        <f t="shared" si="27"/>
        <v>ALR_SHUTDOWN_IN_ATTESA-Allarme shutdown in attesa</v>
      </c>
      <c r="C878" t="str">
        <f>VLOOKUP(B878,'[2]Classi allarmi RMT-STIG_rev4'!$C:$C,1,0)</f>
        <v>ALR_SHUTDOWN_IN_ATTESA-Allarme shutdown in attesa</v>
      </c>
      <c r="D878" t="str">
        <f>VLOOKUP(B878,'EXPORT IRIS PROD 13-11-2024'!A:A,1,0)</f>
        <v>ALR_SHUTDOWN_IN_ATTESA-Allarme shutdown in attesa</v>
      </c>
      <c r="E878" t="str">
        <f>VLOOKUP(H878,'EXPORT IRIS PROD 13-11-2024'!F:F,1,0)</f>
        <v>ALR_SHUTDOWN_IN_ATTESA</v>
      </c>
      <c r="F878" t="str">
        <f>VLOOKUP(I878,'EXPORT IRIS PROD 13-11-2024'!D:D,1,0)</f>
        <v>Allarme shutdown in attesa</v>
      </c>
      <c r="G878" s="37" t="s">
        <v>53</v>
      </c>
      <c r="H878" s="38" t="s">
        <v>1576</v>
      </c>
      <c r="I878" s="45" t="s">
        <v>1577</v>
      </c>
      <c r="J878" s="46" t="s">
        <v>1106</v>
      </c>
      <c r="K878" s="46" t="s">
        <v>104</v>
      </c>
      <c r="L878" s="40" t="s">
        <v>21</v>
      </c>
      <c r="M878" s="41" t="s">
        <v>22</v>
      </c>
      <c r="N878" s="42" t="s">
        <v>23</v>
      </c>
      <c r="O878" s="43" t="s">
        <v>24</v>
      </c>
      <c r="P878" s="42" t="s">
        <v>25</v>
      </c>
      <c r="Q878" s="42" t="s">
        <v>21</v>
      </c>
      <c r="R878" s="44"/>
    </row>
    <row r="879" spans="1:18" x14ac:dyDescent="0.25">
      <c r="A879" t="str">
        <f t="shared" si="26"/>
        <v>Impianto Ventilazione_Ventilatore_ALR_SIMULATO_1-Allarme simulato 1</v>
      </c>
      <c r="B879" t="str">
        <f t="shared" si="27"/>
        <v>ALR_SIMULATO_1-Allarme simulato 1</v>
      </c>
      <c r="C879" t="str">
        <f>VLOOKUP(B879,'[2]Classi allarmi RMT-STIG_rev4'!$C:$C,1,0)</f>
        <v>ALR_SIMULATO_1-Allarme simulato 1</v>
      </c>
      <c r="D879" t="str">
        <f>VLOOKUP(B879,'EXPORT IRIS PROD 13-11-2024'!A:A,1,0)</f>
        <v>ALR_SIMULATO_1-Allarme simulato 1</v>
      </c>
      <c r="E879" t="str">
        <f>VLOOKUP(H879,'EXPORT IRIS PROD 13-11-2024'!F:F,1,0)</f>
        <v>ALR_SIMULATO_1</v>
      </c>
      <c r="F879" t="str">
        <f>VLOOKUP(I879,'EXPORT IRIS PROD 13-11-2024'!D:D,1,0)</f>
        <v>Allarme simulato 1</v>
      </c>
      <c r="G879" s="37" t="s">
        <v>85</v>
      </c>
      <c r="H879" s="38" t="s">
        <v>1578</v>
      </c>
      <c r="I879" s="45" t="s">
        <v>1579</v>
      </c>
      <c r="J879" s="46" t="s">
        <v>50</v>
      </c>
      <c r="K879" s="46" t="s">
        <v>124</v>
      </c>
      <c r="L879" s="40" t="s">
        <v>21</v>
      </c>
      <c r="M879" s="41" t="s">
        <v>22</v>
      </c>
      <c r="N879" s="42" t="s">
        <v>23</v>
      </c>
      <c r="O879" s="43" t="s">
        <v>24</v>
      </c>
      <c r="P879" s="42" t="s">
        <v>25</v>
      </c>
      <c r="Q879" s="42" t="s">
        <v>21</v>
      </c>
      <c r="R879" s="44"/>
    </row>
    <row r="880" spans="1:18" x14ac:dyDescent="0.25">
      <c r="A880" t="str">
        <f t="shared" si="26"/>
        <v>Impianto Ventilazione_Ventilatore_ALR_SIMULATO_2-Allarme simulato 2</v>
      </c>
      <c r="B880" t="str">
        <f t="shared" si="27"/>
        <v>ALR_SIMULATO_2-Allarme simulato 2</v>
      </c>
      <c r="C880" t="str">
        <f>VLOOKUP(B880,'[2]Classi allarmi RMT-STIG_rev4'!$C:$C,1,0)</f>
        <v>ALR_SIMULATO_2-Allarme simulato 2</v>
      </c>
      <c r="D880" t="str">
        <f>VLOOKUP(B880,'EXPORT IRIS PROD 13-11-2024'!A:A,1,0)</f>
        <v>ALR_SIMULATO_2-Allarme simulato 2</v>
      </c>
      <c r="E880" t="str">
        <f>VLOOKUP(H880,'EXPORT IRIS PROD 13-11-2024'!F:F,1,0)</f>
        <v>ALR_SIMULATO_2</v>
      </c>
      <c r="F880" t="str">
        <f>VLOOKUP(I880,'EXPORT IRIS PROD 13-11-2024'!D:D,1,0)</f>
        <v>Allarme simulato 2</v>
      </c>
      <c r="G880" s="37" t="s">
        <v>85</v>
      </c>
      <c r="H880" s="38" t="s">
        <v>1580</v>
      </c>
      <c r="I880" s="45" t="s">
        <v>1581</v>
      </c>
      <c r="J880" s="46" t="s">
        <v>50</v>
      </c>
      <c r="K880" s="46" t="s">
        <v>124</v>
      </c>
      <c r="L880" s="40" t="s">
        <v>21</v>
      </c>
      <c r="M880" s="41" t="s">
        <v>22</v>
      </c>
      <c r="N880" s="42" t="s">
        <v>23</v>
      </c>
      <c r="O880" s="43" t="s">
        <v>24</v>
      </c>
      <c r="P880" s="42" t="s">
        <v>25</v>
      </c>
      <c r="Q880" s="42" t="s">
        <v>21</v>
      </c>
      <c r="R880" s="44"/>
    </row>
    <row r="881" spans="1:18" x14ac:dyDescent="0.25">
      <c r="A881" t="str">
        <f t="shared" si="26"/>
        <v>Impianto Ventilazione_Ventilatore_ALR_SIMULATO_3-Allarme simulato 3</v>
      </c>
      <c r="B881" t="str">
        <f t="shared" si="27"/>
        <v>ALR_SIMULATO_3-Allarme simulato 3</v>
      </c>
      <c r="C881" t="str">
        <f>VLOOKUP(B881,'[2]Classi allarmi RMT-STIG_rev4'!$C:$C,1,0)</f>
        <v>ALR_SIMULATO_3-Allarme simulato 3</v>
      </c>
      <c r="D881" t="str">
        <f>VLOOKUP(B881,'EXPORT IRIS PROD 13-11-2024'!A:A,1,0)</f>
        <v>ALR_SIMULATO_3-Allarme simulato 3</v>
      </c>
      <c r="E881" t="str">
        <f>VLOOKUP(H881,'EXPORT IRIS PROD 13-11-2024'!F:F,1,0)</f>
        <v>ALR_SIMULATO_3</v>
      </c>
      <c r="F881" t="str">
        <f>VLOOKUP(I881,'EXPORT IRIS PROD 13-11-2024'!D:D,1,0)</f>
        <v>Allarme simulato 3</v>
      </c>
      <c r="G881" s="37" t="s">
        <v>85</v>
      </c>
      <c r="H881" s="38" t="s">
        <v>1582</v>
      </c>
      <c r="I881" s="45" t="s">
        <v>1583</v>
      </c>
      <c r="J881" s="46" t="s">
        <v>50</v>
      </c>
      <c r="K881" s="46" t="s">
        <v>124</v>
      </c>
      <c r="L881" s="40" t="s">
        <v>21</v>
      </c>
      <c r="M881" s="41" t="s">
        <v>22</v>
      </c>
      <c r="N881" s="42" t="s">
        <v>23</v>
      </c>
      <c r="O881" s="43" t="s">
        <v>24</v>
      </c>
      <c r="P881" s="42" t="s">
        <v>25</v>
      </c>
      <c r="Q881" s="42" t="s">
        <v>21</v>
      </c>
      <c r="R881" s="44"/>
    </row>
    <row r="882" spans="1:18" x14ac:dyDescent="0.25">
      <c r="A882" t="str">
        <f t="shared" si="26"/>
        <v>Impianto illuminazione_Sonda luminanza_ALR_SIMULAZIONE-Allarme simulazione</v>
      </c>
      <c r="B882" t="str">
        <f t="shared" si="27"/>
        <v>ALR_SIMULAZIONE-Allarme simulazione</v>
      </c>
      <c r="C882" t="str">
        <f>VLOOKUP(B882,'[2]Classi allarmi RMT-STIG_rev4'!$C:$C,1,0)</f>
        <v>ALR_SIMULAZIONE-Allarme simulazione</v>
      </c>
      <c r="D882" t="str">
        <f>VLOOKUP(B882,'EXPORT IRIS PROD 13-11-2024'!A:A,1,0)</f>
        <v>ALR_SIMULAZIONE-Allarme simulazione</v>
      </c>
      <c r="E882" t="str">
        <f>VLOOKUP(H882,'EXPORT IRIS PROD 13-11-2024'!F:F,1,0)</f>
        <v>ALR_SIMULAZIONE</v>
      </c>
      <c r="F882" t="str">
        <f>VLOOKUP(I882,'EXPORT IRIS PROD 13-11-2024'!D:D,1,0)</f>
        <v>Allarme simulazione</v>
      </c>
      <c r="G882" s="37" t="s">
        <v>115</v>
      </c>
      <c r="H882" s="38" t="s">
        <v>1584</v>
      </c>
      <c r="I882" s="45" t="s">
        <v>1585</v>
      </c>
      <c r="J882" s="46" t="s">
        <v>1142</v>
      </c>
      <c r="K882" s="46" t="s">
        <v>1569</v>
      </c>
      <c r="L882" s="40" t="s">
        <v>21</v>
      </c>
      <c r="M882" s="41" t="s">
        <v>22</v>
      </c>
      <c r="N882" s="42" t="s">
        <v>23</v>
      </c>
      <c r="O882" s="43" t="s">
        <v>24</v>
      </c>
      <c r="P882" s="42" t="s">
        <v>25</v>
      </c>
      <c r="Q882" s="42" t="s">
        <v>21</v>
      </c>
      <c r="R882" s="44"/>
    </row>
    <row r="883" spans="1:18" x14ac:dyDescent="0.25">
      <c r="A883" t="str">
        <f t="shared" si="26"/>
        <v>Impianto rete dati_PLC primario/di cabina_ALR_SINCRONIZZAZIONE_PLC-Allarme sincronizzazione PLC</v>
      </c>
      <c r="B883" t="str">
        <f t="shared" si="27"/>
        <v>ALR_SINCRONIZZAZIONE_PLC-Allarme sincronizzazione PLC</v>
      </c>
      <c r="C883" t="str">
        <f>VLOOKUP(B883,'[2]Classi allarmi RMT-STIG_rev4'!$C:$C,1,0)</f>
        <v>ALR_SINCRONIZZAZIONE_PLC-Allarme sincronizzazione PLC</v>
      </c>
      <c r="D883" t="str">
        <f>VLOOKUP(B883,'EXPORT IRIS PROD 13-11-2024'!A:A,1,0)</f>
        <v>ALR_SINCRONIZZAZIONE_PLC-Allarme sincronizzazione PLC</v>
      </c>
      <c r="E883" t="str">
        <f>VLOOKUP(H883,'EXPORT IRIS PROD 13-11-2024'!F:F,1,0)</f>
        <v>ALR_SINCRONIZZAZIONE_PLC</v>
      </c>
      <c r="F883" t="str">
        <f>VLOOKUP(I883,'EXPORT IRIS PROD 13-11-2024'!D:D,1,0)</f>
        <v>Allarme sincronizzazione PLC</v>
      </c>
      <c r="G883" s="37" t="s">
        <v>249</v>
      </c>
      <c r="H883" s="38" t="s">
        <v>1586</v>
      </c>
      <c r="I883" s="45" t="s">
        <v>1587</v>
      </c>
      <c r="J883" s="46" t="s">
        <v>1156</v>
      </c>
      <c r="K883" s="46" t="s">
        <v>1157</v>
      </c>
      <c r="L883" s="40" t="s">
        <v>31</v>
      </c>
      <c r="M883" s="41" t="s">
        <v>32</v>
      </c>
      <c r="N883" s="42">
        <v>3</v>
      </c>
      <c r="O883" s="43" t="s">
        <v>33</v>
      </c>
      <c r="P883" s="42" t="s">
        <v>34</v>
      </c>
      <c r="Q883" s="42" t="s">
        <v>31</v>
      </c>
      <c r="R883" s="44"/>
    </row>
    <row r="884" spans="1:18" x14ac:dyDescent="0.25">
      <c r="A884" t="str">
        <f t="shared" si="26"/>
        <v>Impianto elettrico_Gruppo soccorritore/UPS_ALR_SOCCORRITORE-Allarme soccorritore</v>
      </c>
      <c r="B884" t="str">
        <f t="shared" si="27"/>
        <v>ALR_SOCCORRITORE-Allarme soccorritore</v>
      </c>
      <c r="C884" t="str">
        <f>VLOOKUP(B884,'[2]Classi allarmi RMT-STIG_rev4'!$C:$C,1,0)</f>
        <v>ALR_SOCCORRITORE-Allarme soccorritore</v>
      </c>
      <c r="D884" t="str">
        <f>VLOOKUP(B884,'EXPORT IRIS PROD 13-11-2024'!A:A,1,0)</f>
        <v>ALR_SOCCORRITORE-Allarme soccorritore</v>
      </c>
      <c r="E884" t="str">
        <f>VLOOKUP(H884,'EXPORT IRIS PROD 13-11-2024'!F:F,1,0)</f>
        <v>ALR_SOCCORRITORE</v>
      </c>
      <c r="F884" t="str">
        <f>VLOOKUP(I884,'EXPORT IRIS PROD 13-11-2024'!D:D,1,0)</f>
        <v>Allarme soccorritore</v>
      </c>
      <c r="G884" s="37" t="s">
        <v>53</v>
      </c>
      <c r="H884" s="38" t="s">
        <v>1588</v>
      </c>
      <c r="I884" s="45" t="s">
        <v>1589</v>
      </c>
      <c r="J884" s="46" t="s">
        <v>1106</v>
      </c>
      <c r="K884" s="46" t="s">
        <v>1590</v>
      </c>
      <c r="L884" s="40" t="s">
        <v>21</v>
      </c>
      <c r="M884" s="41" t="s">
        <v>22</v>
      </c>
      <c r="N884" s="42" t="s">
        <v>23</v>
      </c>
      <c r="O884" s="43" t="s">
        <v>24</v>
      </c>
      <c r="P884" s="42" t="s">
        <v>25</v>
      </c>
      <c r="Q884" s="42" t="s">
        <v>21</v>
      </c>
      <c r="R884" s="44"/>
    </row>
    <row r="885" spans="1:18" x14ac:dyDescent="0.25">
      <c r="A885" t="str">
        <f t="shared" si="26"/>
        <v>Impianto Ventilazione_Ventilatore_ALR_SONDA_ASSORBIMENTO-Allarme sonda assorbimento</v>
      </c>
      <c r="B885" t="str">
        <f t="shared" si="27"/>
        <v>ALR_SONDA_ASSORBIMENTO-Allarme sonda assorbimento</v>
      </c>
      <c r="C885" t="str">
        <f>VLOOKUP(B885,'[2]Classi allarmi RMT-STIG_rev4'!$C:$C,1,0)</f>
        <v>ALR_SONDA_ASSORBIMENTO-Allarme sonda assorbimento</v>
      </c>
      <c r="D885" t="str">
        <f>VLOOKUP(B885,'EXPORT IRIS PROD 13-11-2024'!A:A,1,0)</f>
        <v>ALR_SONDA_ASSORBIMENTO-Allarme sonda assorbimento</v>
      </c>
      <c r="E885" t="str">
        <f>VLOOKUP(H885,'EXPORT IRIS PROD 13-11-2024'!F:F,1,0)</f>
        <v>ALR_SONDA_ASSORBIMENTO</v>
      </c>
      <c r="F885" t="str">
        <f>VLOOKUP(I885,'EXPORT IRIS PROD 13-11-2024'!D:D,1,0)</f>
        <v>Allarme sonda assorbimento</v>
      </c>
      <c r="G885" s="37" t="s">
        <v>85</v>
      </c>
      <c r="H885" s="38" t="s">
        <v>1591</v>
      </c>
      <c r="I885" s="45" t="s">
        <v>1592</v>
      </c>
      <c r="J885" s="46" t="s">
        <v>50</v>
      </c>
      <c r="K885" s="46" t="s">
        <v>124</v>
      </c>
      <c r="L885" s="40" t="s">
        <v>21</v>
      </c>
      <c r="M885" s="41" t="s">
        <v>22</v>
      </c>
      <c r="N885" s="42" t="s">
        <v>23</v>
      </c>
      <c r="O885" s="43" t="s">
        <v>24</v>
      </c>
      <c r="P885" s="42" t="s">
        <v>25</v>
      </c>
      <c r="Q885" s="42" t="s">
        <v>21</v>
      </c>
      <c r="R885" s="44"/>
    </row>
    <row r="886" spans="1:18" x14ac:dyDescent="0.25">
      <c r="A886" t="str">
        <f t="shared" si="26"/>
        <v>Impianto ventilazione_Ventilatore_ALR_SONDA_VIBRAZIONE-Allarme sonda vibrazione</v>
      </c>
      <c r="B886" t="str">
        <f t="shared" si="27"/>
        <v>ALR_SONDA_VIBRAZIONE-Allarme sonda vibrazione</v>
      </c>
      <c r="C886" t="str">
        <f>VLOOKUP(B886,'[2]Classi allarmi RMT-STIG_rev4'!$C:$C,1,0)</f>
        <v>ALR_SONDA_VIBRAZIONE-Allarme sonda vibrazione</v>
      </c>
      <c r="D886" t="str">
        <f>VLOOKUP(B886,'EXPORT IRIS PROD 13-11-2024'!A:A,1,0)</f>
        <v>ALR_SONDA_VIBRAZIONE-Allarme sonda vibrazione</v>
      </c>
      <c r="E886" t="str">
        <f>VLOOKUP(H886,'EXPORT IRIS PROD 13-11-2024'!F:F,1,0)</f>
        <v>ALR_SONDA_VIBRAZIONE</v>
      </c>
      <c r="F886" t="str">
        <f>VLOOKUP(I886,'EXPORT IRIS PROD 13-11-2024'!D:D,1,0)</f>
        <v>Allarme sonda vibrazione</v>
      </c>
      <c r="G886" s="37" t="s">
        <v>85</v>
      </c>
      <c r="H886" s="38" t="s">
        <v>1593</v>
      </c>
      <c r="I886" s="45" t="s">
        <v>1594</v>
      </c>
      <c r="J886" s="46" t="s">
        <v>1319</v>
      </c>
      <c r="K886" s="46" t="s">
        <v>124</v>
      </c>
      <c r="L886" s="40" t="s">
        <v>31</v>
      </c>
      <c r="M886" s="41" t="s">
        <v>32</v>
      </c>
      <c r="N886" s="42">
        <v>3</v>
      </c>
      <c r="O886" s="43" t="s">
        <v>24</v>
      </c>
      <c r="P886" s="42" t="s">
        <v>25</v>
      </c>
      <c r="Q886" s="42" t="s">
        <v>21</v>
      </c>
      <c r="R886" s="44"/>
    </row>
    <row r="887" spans="1:18" x14ac:dyDescent="0.25">
      <c r="A887" t="str">
        <f t="shared" si="26"/>
        <v>Impianto Elettrico_UPS_ALR_SOSTITUZIONE_BATTERIA-Allarme sostituzione batteria</v>
      </c>
      <c r="B887" t="str">
        <f t="shared" si="27"/>
        <v>ALR_SOSTITUZIONE_BATTERIA-Allarme sostituzione batteria</v>
      </c>
      <c r="C887" t="str">
        <f>VLOOKUP(B887,'[2]Classi allarmi RMT-STIG_rev4'!$C:$C,1,0)</f>
        <v>ALR_SOSTITUZIONE_BATTERIA-Allarme sostituzione batteria</v>
      </c>
      <c r="D887" t="str">
        <f>VLOOKUP(B887,'EXPORT IRIS PROD 13-11-2024'!A:A,1,0)</f>
        <v>ALR_SOSTITUZIONE_BATTERIA-Allarme sostituzione batteria</v>
      </c>
      <c r="E887" t="str">
        <f>VLOOKUP(H887,'EXPORT IRIS PROD 13-11-2024'!F:F,1,0)</f>
        <v>ALR_SOSTITUZIONE_BATTERIA</v>
      </c>
      <c r="F887" t="str">
        <f>VLOOKUP(I887,'EXPORT IRIS PROD 13-11-2024'!D:D,1,0)</f>
        <v>Allarme sostituzione batteria</v>
      </c>
      <c r="G887" s="37" t="s">
        <v>53</v>
      </c>
      <c r="H887" s="38" t="s">
        <v>1595</v>
      </c>
      <c r="I887" s="45" t="s">
        <v>1596</v>
      </c>
      <c r="J887" s="46" t="s">
        <v>56</v>
      </c>
      <c r="K887" s="46" t="s">
        <v>104</v>
      </c>
      <c r="L887" s="40" t="s">
        <v>21</v>
      </c>
      <c r="M887" s="41" t="s">
        <v>22</v>
      </c>
      <c r="N887" s="42" t="s">
        <v>23</v>
      </c>
      <c r="O887" s="43" t="s">
        <v>24</v>
      </c>
      <c r="P887" s="42" t="s">
        <v>25</v>
      </c>
      <c r="Q887" s="42" t="s">
        <v>21</v>
      </c>
      <c r="R887" s="44"/>
    </row>
    <row r="888" spans="1:18" x14ac:dyDescent="0.25">
      <c r="A888" t="str">
        <f t="shared" si="26"/>
        <v>Impianto Rilevazione Incendio_Centralina rilevazione incendio in cabina_ALR_SOSTITUZIONE_BATTERIA-Allarme sostituzione batteria</v>
      </c>
      <c r="B888" t="str">
        <f t="shared" si="27"/>
        <v>ALR_SOSTITUZIONE_BATTERIA-Allarme sostituzione batteria</v>
      </c>
      <c r="C888" t="str">
        <f>VLOOKUP(B888,'[2]Classi allarmi RMT-STIG_rev4'!$C:$C,1,0)</f>
        <v>ALR_SOSTITUZIONE_BATTERIA-Allarme sostituzione batteria</v>
      </c>
      <c r="D888" t="str">
        <f>VLOOKUP(B888,'EXPORT IRIS PROD 13-11-2024'!A:A,1,0)</f>
        <v>ALR_SOSTITUZIONE_BATTERIA-Allarme sostituzione batteria</v>
      </c>
      <c r="E888" t="str">
        <f>VLOOKUP(H888,'EXPORT IRIS PROD 13-11-2024'!F:F,1,0)</f>
        <v>ALR_SOSTITUZIONE_BATTERIA</v>
      </c>
      <c r="F888" t="str">
        <f>VLOOKUP(I888,'EXPORT IRIS PROD 13-11-2024'!D:D,1,0)</f>
        <v>Allarme sostituzione batteria</v>
      </c>
      <c r="G888" s="37" t="s">
        <v>105</v>
      </c>
      <c r="H888" s="38" t="s">
        <v>1595</v>
      </c>
      <c r="I888" s="45" t="s">
        <v>1596</v>
      </c>
      <c r="J888" s="46" t="s">
        <v>43</v>
      </c>
      <c r="K888" s="46" t="s">
        <v>44</v>
      </c>
      <c r="L888" s="40" t="s">
        <v>21</v>
      </c>
      <c r="M888" s="41" t="s">
        <v>22</v>
      </c>
      <c r="N888" s="42" t="s">
        <v>23</v>
      </c>
      <c r="O888" s="43" t="s">
        <v>24</v>
      </c>
      <c r="P888" s="42" t="s">
        <v>25</v>
      </c>
      <c r="Q888" s="42" t="s">
        <v>21</v>
      </c>
      <c r="R888" s="44"/>
    </row>
    <row r="889" spans="1:18" x14ac:dyDescent="0.25">
      <c r="A889" t="str">
        <f t="shared" si="26"/>
        <v>Impianto elettrico_UPS_ALR_SOVRAPOTENZA_IN_INGRESSO-Allarme sovrapotenza In Ingresso</v>
      </c>
      <c r="B889" t="str">
        <f t="shared" si="27"/>
        <v>ALR_SOVRAPOTENZA_IN_INGRESSO-Allarme sovrapotenza In Ingresso</v>
      </c>
      <c r="C889" t="str">
        <f>VLOOKUP(B889,'[2]Classi allarmi RMT-STIG_rev4'!$C:$C,1,0)</f>
        <v>ALR_SOVRAPOTENZA_IN_INGRESSO-Allarme sovrapotenza In Ingresso</v>
      </c>
      <c r="D889" t="str">
        <f>VLOOKUP(B889,'EXPORT IRIS PROD 13-11-2024'!A:A,1,0)</f>
        <v>ALR_SOVRAPOTENZA_IN_INGRESSO-Allarme sovrapotenza In Ingresso</v>
      </c>
      <c r="E889" t="str">
        <f>VLOOKUP(H889,'EXPORT IRIS PROD 13-11-2024'!F:F,1,0)</f>
        <v>ALR_SOVRAPOTENZA_IN_INGRESSO</v>
      </c>
      <c r="F889" t="str">
        <f>VLOOKUP(I889,'EXPORT IRIS PROD 13-11-2024'!D:D,1,0)</f>
        <v>Allarme sovrapotenza In Ingresso</v>
      </c>
      <c r="G889" s="37" t="s">
        <v>53</v>
      </c>
      <c r="H889" s="38" t="s">
        <v>1597</v>
      </c>
      <c r="I889" s="45" t="s">
        <v>1598</v>
      </c>
      <c r="J889" s="46" t="s">
        <v>1106</v>
      </c>
      <c r="K889" s="46" t="s">
        <v>104</v>
      </c>
      <c r="L889" s="40" t="s">
        <v>21</v>
      </c>
      <c r="M889" s="41" t="s">
        <v>22</v>
      </c>
      <c r="N889" s="42" t="s">
        <v>23</v>
      </c>
      <c r="O889" s="43" t="s">
        <v>24</v>
      </c>
      <c r="P889" s="42" t="s">
        <v>25</v>
      </c>
      <c r="Q889" s="42" t="s">
        <v>21</v>
      </c>
      <c r="R889" s="44"/>
    </row>
    <row r="890" spans="1:18" x14ac:dyDescent="0.25">
      <c r="A890" t="str">
        <f t="shared" si="26"/>
        <v>Impianto rete dati_PLC primario/di cabina_ALR_SOVRAVELOCITA_GE-Allarme sovravelocità gruppo elettrogeno</v>
      </c>
      <c r="B890" t="str">
        <f t="shared" si="27"/>
        <v>ALR_SOVRAVELOCITA_GE-Allarme sovravelocità gruppo elettrogeno</v>
      </c>
      <c r="C890" t="str">
        <f>VLOOKUP(B890,'[2]Classi allarmi RMT-STIG_rev4'!$C:$C,1,0)</f>
        <v>ALR_SOVRAVELOCITA_GE-Allarme sovravelocità gruppo elettrogeno</v>
      </c>
      <c r="D890" t="str">
        <f>VLOOKUP(B890,'EXPORT IRIS PROD 13-11-2024'!A:A,1,0)</f>
        <v>ALR_SOVRAVELOCITA_GE-Allarme sovravelocità gruppo elettrogeno</v>
      </c>
      <c r="E890" t="str">
        <f>VLOOKUP(H890,'EXPORT IRIS PROD 13-11-2024'!F:F,1,0)</f>
        <v>ALR_SOVRAVELOCITA_GE</v>
      </c>
      <c r="F890" t="str">
        <f>VLOOKUP(I890,'EXPORT IRIS PROD 13-11-2024'!D:D,1,0)</f>
        <v>Allarme sovravelocità gruppo elettrogeno</v>
      </c>
      <c r="G890" s="37" t="s">
        <v>16</v>
      </c>
      <c r="H890" s="38" t="s">
        <v>1599</v>
      </c>
      <c r="I890" s="45" t="s">
        <v>1600</v>
      </c>
      <c r="J890" s="46" t="s">
        <v>1156</v>
      </c>
      <c r="K890" s="46" t="s">
        <v>1157</v>
      </c>
      <c r="L890" s="40" t="s">
        <v>21</v>
      </c>
      <c r="M890" s="41" t="s">
        <v>22</v>
      </c>
      <c r="N890" s="42" t="s">
        <v>23</v>
      </c>
      <c r="O890" s="43" t="s">
        <v>24</v>
      </c>
      <c r="P890" s="42" t="s">
        <v>25</v>
      </c>
      <c r="Q890" s="42" t="s">
        <v>21</v>
      </c>
      <c r="R890" s="44"/>
    </row>
    <row r="891" spans="1:18" x14ac:dyDescent="0.25">
      <c r="A891" t="str">
        <f t="shared" si="26"/>
        <v>Impianto Ventilazione_Ventilatore_ALR_SPEGNIMENTO-Allarme spegnimento</v>
      </c>
      <c r="B891" t="str">
        <f t="shared" si="27"/>
        <v>ALR_SPEGNIMENTO-Allarme spegnimento</v>
      </c>
      <c r="C891" t="str">
        <f>VLOOKUP(B891,'[2]Classi allarmi RMT-STIG_rev4'!$C:$C,1,0)</f>
        <v>ALR_SPEGNIMENTO-Allarme spegnimento</v>
      </c>
      <c r="D891" t="str">
        <f>VLOOKUP(B891,'EXPORT IRIS PROD 13-11-2024'!A:A,1,0)</f>
        <v>ALR_SPEGNIMENTO-Allarme spegnimento</v>
      </c>
      <c r="E891" t="str">
        <f>VLOOKUP(H891,'EXPORT IRIS PROD 13-11-2024'!F:F,1,0)</f>
        <v>ALR_SPEGNIMENTO</v>
      </c>
      <c r="F891" t="str">
        <f>VLOOKUP(I891,'EXPORT IRIS PROD 13-11-2024'!D:D,1,0)</f>
        <v>Allarme spegnimento</v>
      </c>
      <c r="G891" s="37" t="s">
        <v>280</v>
      </c>
      <c r="H891" s="38" t="s">
        <v>1601</v>
      </c>
      <c r="I891" s="45" t="s">
        <v>1602</v>
      </c>
      <c r="J891" s="46" t="s">
        <v>50</v>
      </c>
      <c r="K891" s="46" t="s">
        <v>124</v>
      </c>
      <c r="L891" s="40" t="s">
        <v>21</v>
      </c>
      <c r="M891" s="41" t="s">
        <v>22</v>
      </c>
      <c r="N891" s="42" t="s">
        <v>23</v>
      </c>
      <c r="O891" s="43" t="s">
        <v>24</v>
      </c>
      <c r="P891" s="42" t="s">
        <v>25</v>
      </c>
      <c r="Q891" s="42" t="s">
        <v>21</v>
      </c>
      <c r="R891" s="44"/>
    </row>
    <row r="892" spans="1:18" x14ac:dyDescent="0.25">
      <c r="A892" t="str">
        <f t="shared" si="26"/>
        <v>Impianto elettrico_UPS_ALR_SPEGNIMENTO-Allarme spegnimento</v>
      </c>
      <c r="B892" t="str">
        <f t="shared" si="27"/>
        <v>ALR_SPEGNIMENTO-Allarme spegnimento</v>
      </c>
      <c r="C892" t="str">
        <f>VLOOKUP(B892,'[2]Classi allarmi RMT-STIG_rev4'!$C:$C,1,0)</f>
        <v>ALR_SPEGNIMENTO-Allarme spegnimento</v>
      </c>
      <c r="D892" t="str">
        <f>VLOOKUP(B892,'EXPORT IRIS PROD 13-11-2024'!A:A,1,0)</f>
        <v>ALR_SPEGNIMENTO-Allarme spegnimento</v>
      </c>
      <c r="E892" t="str">
        <f>VLOOKUP(H892,'EXPORT IRIS PROD 13-11-2024'!F:F,1,0)</f>
        <v>ALR_SPEGNIMENTO</v>
      </c>
      <c r="F892" t="str">
        <f>VLOOKUP(I892,'EXPORT IRIS PROD 13-11-2024'!D:D,1,0)</f>
        <v>Allarme spegnimento</v>
      </c>
      <c r="G892" s="37" t="s">
        <v>53</v>
      </c>
      <c r="H892" s="38" t="s">
        <v>1601</v>
      </c>
      <c r="I892" s="45" t="s">
        <v>1602</v>
      </c>
      <c r="J892" s="46" t="s">
        <v>1106</v>
      </c>
      <c r="K892" s="46" t="s">
        <v>104</v>
      </c>
      <c r="L892" s="40" t="s">
        <v>21</v>
      </c>
      <c r="M892" s="41" t="s">
        <v>22</v>
      </c>
      <c r="N892" s="42" t="s">
        <v>23</v>
      </c>
      <c r="O892" s="43" t="s">
        <v>24</v>
      </c>
      <c r="P892" s="42" t="s">
        <v>25</v>
      </c>
      <c r="Q892" s="42" t="s">
        <v>21</v>
      </c>
      <c r="R892" s="44"/>
    </row>
    <row r="893" spans="1:18" x14ac:dyDescent="0.25">
      <c r="A893" t="str">
        <f t="shared" si="26"/>
        <v>Impianto illuminazione_Picchetti luminosi_ALR_SPEGNIMENTO-Allarme spegnimento</v>
      </c>
      <c r="B893" t="str">
        <f t="shared" si="27"/>
        <v>ALR_SPEGNIMENTO-Allarme spegnimento</v>
      </c>
      <c r="C893" t="str">
        <f>VLOOKUP(B893,'[2]Classi allarmi RMT-STIG_rev4'!$C:$C,1,0)</f>
        <v>ALR_SPEGNIMENTO-Allarme spegnimento</v>
      </c>
      <c r="D893" t="str">
        <f>VLOOKUP(B893,'EXPORT IRIS PROD 13-11-2024'!A:A,1,0)</f>
        <v>ALR_SPEGNIMENTO-Allarme spegnimento</v>
      </c>
      <c r="E893" t="str">
        <f>VLOOKUP(H893,'EXPORT IRIS PROD 13-11-2024'!F:F,1,0)</f>
        <v>ALR_SPEGNIMENTO</v>
      </c>
      <c r="F893" t="str">
        <f>VLOOKUP(I893,'EXPORT IRIS PROD 13-11-2024'!D:D,1,0)</f>
        <v>Allarme spegnimento</v>
      </c>
      <c r="G893" s="37" t="s">
        <v>115</v>
      </c>
      <c r="H893" s="38" t="s">
        <v>1601</v>
      </c>
      <c r="I893" s="45" t="s">
        <v>1602</v>
      </c>
      <c r="J893" s="46" t="s">
        <v>1142</v>
      </c>
      <c r="K893" s="46" t="s">
        <v>715</v>
      </c>
      <c r="L893" s="40" t="s">
        <v>21</v>
      </c>
      <c r="M893" s="41" t="s">
        <v>22</v>
      </c>
      <c r="N893" s="42" t="s">
        <v>23</v>
      </c>
      <c r="O893" s="43" t="s">
        <v>24</v>
      </c>
      <c r="P893" s="42" t="s">
        <v>25</v>
      </c>
      <c r="Q893" s="42" t="s">
        <v>21</v>
      </c>
      <c r="R893" s="44"/>
    </row>
    <row r="894" spans="1:18" x14ac:dyDescent="0.25">
      <c r="A894" t="str">
        <f t="shared" si="26"/>
        <v>Impianto Ventilazione_Ventilazione generale_ALR_SUPERAMENTO_SOGLIA_1-Allarme superamento soglia 1</v>
      </c>
      <c r="B894" t="str">
        <f t="shared" si="27"/>
        <v>ALR_SUPERAMENTO_SOGLIA_1-Allarme superamento soglia 1</v>
      </c>
      <c r="C894" t="str">
        <f>VLOOKUP(B894,'[2]Classi allarmi RMT-STIG_rev4'!$C:$C,1,0)</f>
        <v>ALR_SUPERAMENTO_SOGLIA_1-Allarme superamento soglia 1</v>
      </c>
      <c r="D894" t="str">
        <f>VLOOKUP(B894,'EXPORT IRIS PROD 13-11-2024'!A:A,1,0)</f>
        <v>ALR_SUPERAMENTO_SOGLIA_1-Allarme superamento soglia 1</v>
      </c>
      <c r="E894" t="str">
        <f>VLOOKUP(H894,'EXPORT IRIS PROD 13-11-2024'!F:F,1,0)</f>
        <v>ALR_SUPERAMENTO_SOGLIA_1</v>
      </c>
      <c r="F894" t="str">
        <f>VLOOKUP(I894,'EXPORT IRIS PROD 13-11-2024'!D:D,1,0)</f>
        <v>Allarme superamento soglia 1</v>
      </c>
      <c r="G894" s="37" t="s">
        <v>85</v>
      </c>
      <c r="H894" s="38" t="s">
        <v>1603</v>
      </c>
      <c r="I894" s="38" t="s">
        <v>1604</v>
      </c>
      <c r="J894" s="39" t="s">
        <v>50</v>
      </c>
      <c r="K894" s="39" t="s">
        <v>445</v>
      </c>
      <c r="L894" s="40" t="s">
        <v>21</v>
      </c>
      <c r="M894" s="41" t="s">
        <v>22</v>
      </c>
      <c r="N894" s="42" t="s">
        <v>23</v>
      </c>
      <c r="O894" s="43" t="s">
        <v>24</v>
      </c>
      <c r="P894" s="42" t="s">
        <v>25</v>
      </c>
      <c r="Q894" s="42" t="s">
        <v>21</v>
      </c>
      <c r="R894" s="44"/>
    </row>
    <row r="895" spans="1:18" x14ac:dyDescent="0.25">
      <c r="A895" t="str">
        <f t="shared" si="26"/>
        <v>Impianto Ventilazione_Ventilazione generale_ALR_SUPERAMENTO_SOGLIA_2-Allarme superamento soglia 2</v>
      </c>
      <c r="B895" t="str">
        <f t="shared" si="27"/>
        <v>ALR_SUPERAMENTO_SOGLIA_2-Allarme superamento soglia 2</v>
      </c>
      <c r="C895" t="str">
        <f>VLOOKUP(B895,'[2]Classi allarmi RMT-STIG_rev4'!$C:$C,1,0)</f>
        <v>ALR_SUPERAMENTO_SOGLIA_2-Allarme superamento soglia 2</v>
      </c>
      <c r="D895" t="str">
        <f>VLOOKUP(B895,'EXPORT IRIS PROD 13-11-2024'!A:A,1,0)</f>
        <v>ALR_SUPERAMENTO_SOGLIA_2-Allarme superamento soglia 2</v>
      </c>
      <c r="E895" t="str">
        <f>VLOOKUP(H895,'EXPORT IRIS PROD 13-11-2024'!F:F,1,0)</f>
        <v>ALR_SUPERAMENTO_SOGLIA_2</v>
      </c>
      <c r="F895" t="str">
        <f>VLOOKUP(I895,'EXPORT IRIS PROD 13-11-2024'!D:D,1,0)</f>
        <v>Allarme superamento soglia 2</v>
      </c>
      <c r="G895" s="37" t="s">
        <v>85</v>
      </c>
      <c r="H895" s="38" t="s">
        <v>1605</v>
      </c>
      <c r="I895" s="38" t="s">
        <v>1606</v>
      </c>
      <c r="J895" s="39" t="s">
        <v>50</v>
      </c>
      <c r="K895" s="39" t="s">
        <v>445</v>
      </c>
      <c r="L895" s="40" t="s">
        <v>21</v>
      </c>
      <c r="M895" s="41" t="s">
        <v>22</v>
      </c>
      <c r="N895" s="42" t="s">
        <v>23</v>
      </c>
      <c r="O895" s="43" t="s">
        <v>24</v>
      </c>
      <c r="P895" s="42" t="s">
        <v>25</v>
      </c>
      <c r="Q895" s="42" t="s">
        <v>21</v>
      </c>
      <c r="R895" s="44"/>
    </row>
    <row r="896" spans="1:18" x14ac:dyDescent="0.25">
      <c r="A896" t="str">
        <f t="shared" si="26"/>
        <v>Impianto Ventilazione_Ventilazione generale_ALR_SUPERAMENTO_SOGLIA_3-Allarme superamento soglia 3</v>
      </c>
      <c r="B896" t="str">
        <f t="shared" si="27"/>
        <v>ALR_SUPERAMENTO_SOGLIA_3-Allarme superamento soglia 3</v>
      </c>
      <c r="C896" t="str">
        <f>VLOOKUP(B896,'[2]Classi allarmi RMT-STIG_rev4'!$C:$C,1,0)</f>
        <v>ALR_SUPERAMENTO_SOGLIA_3-Allarme superamento soglia 3</v>
      </c>
      <c r="D896" t="str">
        <f>VLOOKUP(B896,'EXPORT IRIS PROD 13-11-2024'!A:A,1,0)</f>
        <v>ALR_SUPERAMENTO_SOGLIA_3-Allarme superamento soglia 3</v>
      </c>
      <c r="E896" t="str">
        <f>VLOOKUP(H896,'EXPORT IRIS PROD 13-11-2024'!F:F,1,0)</f>
        <v>ALR_SUPERAMENTO_SOGLIA_3</v>
      </c>
      <c r="F896" t="str">
        <f>VLOOKUP(I896,'EXPORT IRIS PROD 13-11-2024'!D:D,1,0)</f>
        <v>Allarme superamento soglia 3</v>
      </c>
      <c r="G896" s="37" t="s">
        <v>85</v>
      </c>
      <c r="H896" s="38" t="s">
        <v>1607</v>
      </c>
      <c r="I896" s="38" t="s">
        <v>1608</v>
      </c>
      <c r="J896" s="39" t="s">
        <v>50</v>
      </c>
      <c r="K896" s="39" t="s">
        <v>445</v>
      </c>
      <c r="L896" s="40" t="s">
        <v>21</v>
      </c>
      <c r="M896" s="41" t="s">
        <v>22</v>
      </c>
      <c r="N896" s="42" t="s">
        <v>23</v>
      </c>
      <c r="O896" s="43" t="s">
        <v>24</v>
      </c>
      <c r="P896" s="42" t="s">
        <v>25</v>
      </c>
      <c r="Q896" s="42" t="s">
        <v>21</v>
      </c>
      <c r="R896" s="44"/>
    </row>
    <row r="897" spans="1:18" x14ac:dyDescent="0.25">
      <c r="A897" t="str">
        <f t="shared" si="26"/>
        <v>Impianto Ventilazione_Ventilazione generale_ALR_SUPERAMENTO_SOGLIA_4-Allarme superamento soglia 4</v>
      </c>
      <c r="B897" t="str">
        <f t="shared" si="27"/>
        <v>ALR_SUPERAMENTO_SOGLIA_4-Allarme superamento soglia 4</v>
      </c>
      <c r="C897" t="str">
        <f>VLOOKUP(B897,'[2]Classi allarmi RMT-STIG_rev4'!$C:$C,1,0)</f>
        <v>ALR_SUPERAMENTO_SOGLIA_4-Allarme superamento soglia 4</v>
      </c>
      <c r="D897" t="str">
        <f>VLOOKUP(B897,'EXPORT IRIS PROD 13-11-2024'!A:A,1,0)</f>
        <v>ALR_SUPERAMENTO_SOGLIA_4-Allarme superamento soglia 4</v>
      </c>
      <c r="E897" t="str">
        <f>VLOOKUP(H897,'EXPORT IRIS PROD 13-11-2024'!F:F,1,0)</f>
        <v>ALR_SUPERAMENTO_SOGLIA_4</v>
      </c>
      <c r="F897" t="str">
        <f>VLOOKUP(I897,'EXPORT IRIS PROD 13-11-2024'!D:D,1,0)</f>
        <v>Allarme superamento soglia 4</v>
      </c>
      <c r="G897" s="37" t="s">
        <v>85</v>
      </c>
      <c r="H897" s="38" t="s">
        <v>1609</v>
      </c>
      <c r="I897" s="38" t="s">
        <v>1610</v>
      </c>
      <c r="J897" s="39" t="s">
        <v>50</v>
      </c>
      <c r="K897" s="39" t="s">
        <v>445</v>
      </c>
      <c r="L897" s="40" t="s">
        <v>21</v>
      </c>
      <c r="M897" s="41" t="s">
        <v>22</v>
      </c>
      <c r="N897" s="42" t="s">
        <v>23</v>
      </c>
      <c r="O897" s="43" t="s">
        <v>24</v>
      </c>
      <c r="P897" s="42" t="s">
        <v>25</v>
      </c>
      <c r="Q897" s="42" t="s">
        <v>21</v>
      </c>
      <c r="R897" s="44"/>
    </row>
    <row r="898" spans="1:18" x14ac:dyDescent="0.25">
      <c r="A898" t="str">
        <f t="shared" ref="A898:A961" si="28">CONCATENATE(J898,"_",K898,"_",B898)</f>
        <v>Impianto Ventilazione_Ventilazione generale_ALR_SUPERAMENTO_SOGLIA_5-Allarme superamento soglia 5</v>
      </c>
      <c r="B898" t="str">
        <f t="shared" si="27"/>
        <v>ALR_SUPERAMENTO_SOGLIA_5-Allarme superamento soglia 5</v>
      </c>
      <c r="C898" t="str">
        <f>VLOOKUP(B898,'[2]Classi allarmi RMT-STIG_rev4'!$C:$C,1,0)</f>
        <v>ALR_SUPERAMENTO_SOGLIA_5-Allarme superamento soglia 5</v>
      </c>
      <c r="D898" t="str">
        <f>VLOOKUP(B898,'EXPORT IRIS PROD 13-11-2024'!A:A,1,0)</f>
        <v>ALR_SUPERAMENTO_SOGLIA_5-Allarme superamento soglia 5</v>
      </c>
      <c r="E898" t="str">
        <f>VLOOKUP(H898,'EXPORT IRIS PROD 13-11-2024'!F:F,1,0)</f>
        <v>ALR_SUPERAMENTO_SOGLIA_5</v>
      </c>
      <c r="F898" t="str">
        <f>VLOOKUP(I898,'EXPORT IRIS PROD 13-11-2024'!D:D,1,0)</f>
        <v>Allarme superamento soglia 5</v>
      </c>
      <c r="G898" s="37" t="s">
        <v>85</v>
      </c>
      <c r="H898" s="38" t="s">
        <v>1611</v>
      </c>
      <c r="I898" s="38" t="s">
        <v>1612</v>
      </c>
      <c r="J898" s="39" t="s">
        <v>50</v>
      </c>
      <c r="K898" s="39" t="s">
        <v>445</v>
      </c>
      <c r="L898" s="40" t="s">
        <v>21</v>
      </c>
      <c r="M898" s="41" t="s">
        <v>22</v>
      </c>
      <c r="N898" s="42" t="s">
        <v>23</v>
      </c>
      <c r="O898" s="43" t="s">
        <v>24</v>
      </c>
      <c r="P898" s="42" t="s">
        <v>25</v>
      </c>
      <c r="Q898" s="42" t="s">
        <v>21</v>
      </c>
      <c r="R898" s="44"/>
    </row>
    <row r="899" spans="1:18" x14ac:dyDescent="0.25">
      <c r="A899" t="str">
        <f t="shared" si="28"/>
        <v>Impianto Ventilazione_Sensore NO/ventilazione generale_ALR_SUPERAMENTO_SOGLIA_6-Allarme superamento soglia 6</v>
      </c>
      <c r="B899" t="str">
        <f t="shared" ref="B899:B962" si="29">CONCATENATE(H899,"-",I899)</f>
        <v>ALR_SUPERAMENTO_SOGLIA_6-Allarme superamento soglia 6</v>
      </c>
      <c r="C899" t="str">
        <f>VLOOKUP(B899,'[2]Classi allarmi RMT-STIG_rev4'!$C:$C,1,0)</f>
        <v>ALR_SUPERAMENTO_SOGLIA_6-Allarme superamento soglia 6</v>
      </c>
      <c r="D899" t="str">
        <f>VLOOKUP(B899,'EXPORT IRIS PROD 13-11-2024'!A:A,1,0)</f>
        <v>ALR_SUPERAMENTO_SOGLIA_6-Allarme superamento soglia 6</v>
      </c>
      <c r="E899" t="str">
        <f>VLOOKUP(H899,'EXPORT IRIS PROD 13-11-2024'!F:F,1,0)</f>
        <v>ALR_SUPERAMENTO_SOGLIA_6</v>
      </c>
      <c r="F899" t="str">
        <f>VLOOKUP(I899,'EXPORT IRIS PROD 13-11-2024'!D:D,1,0)</f>
        <v>Allarme superamento soglia 6</v>
      </c>
      <c r="G899" s="37" t="s">
        <v>85</v>
      </c>
      <c r="H899" s="38" t="s">
        <v>1613</v>
      </c>
      <c r="I899" s="45" t="s">
        <v>1614</v>
      </c>
      <c r="J899" s="46" t="s">
        <v>50</v>
      </c>
      <c r="K899" s="46" t="s">
        <v>1615</v>
      </c>
      <c r="L899" s="40" t="s">
        <v>21</v>
      </c>
      <c r="M899" s="41" t="s">
        <v>22</v>
      </c>
      <c r="N899" s="42" t="s">
        <v>23</v>
      </c>
      <c r="O899" s="43" t="s">
        <v>24</v>
      </c>
      <c r="P899" s="42" t="s">
        <v>25</v>
      </c>
      <c r="Q899" s="42" t="s">
        <v>21</v>
      </c>
      <c r="R899" s="44"/>
    </row>
    <row r="900" spans="1:18" x14ac:dyDescent="0.25">
      <c r="A900" t="str">
        <f t="shared" si="28"/>
        <v>Impianto rete dati_PLC primario/di cabina_ALR_SWITCH_PRIMARIO-Allarme switch su primario</v>
      </c>
      <c r="B900" t="str">
        <f t="shared" si="29"/>
        <v>ALR_SWITCH_PRIMARIO-Allarme switch su primario</v>
      </c>
      <c r="C900" t="str">
        <f>VLOOKUP(B900,'[2]Classi allarmi RMT-STIG_rev4'!$C:$C,1,0)</f>
        <v>ALR_SWITCH_PRIMARIO-Allarme switch su primario</v>
      </c>
      <c r="D900" t="str">
        <f>VLOOKUP(B900,'EXPORT IRIS PROD 13-11-2024'!A:A,1,0)</f>
        <v>ALR_SWITCH_PRIMARIO-Allarme switch su primario</v>
      </c>
      <c r="E900" t="str">
        <f>VLOOKUP(H900,'EXPORT IRIS PROD 13-11-2024'!F:F,1,0)</f>
        <v>ALR_SWITCH_PRIMARIO</v>
      </c>
      <c r="F900" t="str">
        <f>VLOOKUP(I900,'EXPORT IRIS PROD 13-11-2024'!D:D,1,0)</f>
        <v>Allarme switch su primario</v>
      </c>
      <c r="G900" s="37" t="s">
        <v>16</v>
      </c>
      <c r="H900" s="38" t="s">
        <v>1616</v>
      </c>
      <c r="I900" s="45" t="s">
        <v>1617</v>
      </c>
      <c r="J900" s="46" t="s">
        <v>1156</v>
      </c>
      <c r="K900" s="46" t="s">
        <v>1157</v>
      </c>
      <c r="L900" s="40" t="s">
        <v>21</v>
      </c>
      <c r="M900" s="41" t="s">
        <v>22</v>
      </c>
      <c r="N900" s="42" t="s">
        <v>23</v>
      </c>
      <c r="O900" s="43" t="s">
        <v>24</v>
      </c>
      <c r="P900" s="42" t="s">
        <v>25</v>
      </c>
      <c r="Q900" s="42" t="s">
        <v>21</v>
      </c>
      <c r="R900" s="44"/>
    </row>
    <row r="901" spans="1:18" x14ac:dyDescent="0.25">
      <c r="A901" t="str">
        <f t="shared" si="28"/>
        <v>Smart Road_Regolatore_ALR_TEMPERATURA_ALTA_REATTORE_PRINCIPALE-Allarme alta temperatura reattore principale</v>
      </c>
      <c r="B901" t="str">
        <f t="shared" si="29"/>
        <v>ALR_TEMPERATURA_ALTA_REATTORE_PRINCIPALE-Allarme alta temperatura reattore principale</v>
      </c>
      <c r="C901" t="str">
        <f>VLOOKUP(B901,'[2]Classi allarmi RMT-STIG_rev4'!$C:$C,1,0)</f>
        <v>ALR_TEMPERATURA_ALTA_REATTORE_PRINCIPALE-Allarme alta temperatura reattore principale</v>
      </c>
      <c r="D901" t="str">
        <f>VLOOKUP(B901,'EXPORT IRIS PROD 13-11-2024'!A:A,1,0)</f>
        <v>ALR_TEMPERATURA_ALTA_REATTORE_PRINCIPALE-Allarme alta temperatura reattore principale</v>
      </c>
      <c r="E901" t="str">
        <f>VLOOKUP(H901,'EXPORT IRIS PROD 13-11-2024'!F:F,1,0)</f>
        <v>ALR_TEMPERATURA_ALTA_REATTORE_PRINCIPALE</v>
      </c>
      <c r="F901" t="str">
        <f>VLOOKUP(I901,'EXPORT IRIS PROD 13-11-2024'!D:D,1,0)</f>
        <v>Allarme alta temperatura reattore principale</v>
      </c>
      <c r="G901" s="37" t="s">
        <v>1201</v>
      </c>
      <c r="H901" s="38" t="s">
        <v>1618</v>
      </c>
      <c r="I901" s="45" t="s">
        <v>1619</v>
      </c>
      <c r="J901" s="46" t="s">
        <v>965</v>
      </c>
      <c r="K901" s="46" t="s">
        <v>1204</v>
      </c>
      <c r="L901" s="40" t="s">
        <v>21</v>
      </c>
      <c r="M901" s="41" t="s">
        <v>22</v>
      </c>
      <c r="N901" s="42" t="s">
        <v>23</v>
      </c>
      <c r="O901" s="43" t="s">
        <v>24</v>
      </c>
      <c r="P901" s="42" t="s">
        <v>25</v>
      </c>
      <c r="Q901" s="42" t="s">
        <v>21</v>
      </c>
      <c r="R901" s="44"/>
    </row>
    <row r="902" spans="1:18" x14ac:dyDescent="0.25">
      <c r="A902" t="str">
        <f t="shared" si="28"/>
        <v>Smart Road_Regolatore_ALR_TEMPERATURA_ALTA_REATTORE_SERIE-Allarme alta temperatura reattore serie</v>
      </c>
      <c r="B902" t="str">
        <f t="shared" si="29"/>
        <v>ALR_TEMPERATURA_ALTA_REATTORE_SERIE-Allarme alta temperatura reattore serie</v>
      </c>
      <c r="C902" t="str">
        <f>VLOOKUP(B902,'[2]Classi allarmi RMT-STIG_rev4'!$C:$C,1,0)</f>
        <v>ALR_TEMPERATURA_ALTA_REATTORE_SERIE-Allarme alta temperatura reattore serie</v>
      </c>
      <c r="D902" t="str">
        <f>VLOOKUP(B902,'EXPORT IRIS PROD 13-11-2024'!A:A,1,0)</f>
        <v>ALR_TEMPERATURA_ALTA_REATTORE_SERIE-Allarme alta temperatura reattore serie</v>
      </c>
      <c r="E902" t="str">
        <f>VLOOKUP(H902,'EXPORT IRIS PROD 13-11-2024'!F:F,1,0)</f>
        <v>ALR_TEMPERATURA_ALTA_REATTORE_SERIE</v>
      </c>
      <c r="F902" t="str">
        <f>VLOOKUP(I902,'EXPORT IRIS PROD 13-11-2024'!D:D,1,0)</f>
        <v>Allarme alta temperatura reattore serie</v>
      </c>
      <c r="G902" s="37" t="s">
        <v>1201</v>
      </c>
      <c r="H902" s="38" t="s">
        <v>1620</v>
      </c>
      <c r="I902" s="45" t="s">
        <v>1621</v>
      </c>
      <c r="J902" s="46" t="s">
        <v>965</v>
      </c>
      <c r="K902" s="46" t="s">
        <v>1204</v>
      </c>
      <c r="L902" s="40" t="s">
        <v>21</v>
      </c>
      <c r="M902" s="41" t="s">
        <v>22</v>
      </c>
      <c r="N902" s="42" t="s">
        <v>23</v>
      </c>
      <c r="O902" s="43" t="s">
        <v>24</v>
      </c>
      <c r="P902" s="42" t="s">
        <v>25</v>
      </c>
      <c r="Q902" s="42" t="s">
        <v>21</v>
      </c>
      <c r="R902" s="44"/>
    </row>
    <row r="903" spans="1:18" x14ac:dyDescent="0.25">
      <c r="A903" t="str">
        <f t="shared" si="28"/>
        <v>Impianto bypass_Sentore temperatura_ALR_TEMPERATURA_ALTA_SENSORE_TEMPERATURA-Allarme alta temperatura Sensore di temperatura</v>
      </c>
      <c r="B903" t="str">
        <f t="shared" si="29"/>
        <v>ALR_TEMPERATURA_ALTA_SENSORE_TEMPERATURA-Allarme alta temperatura Sensore di temperatura</v>
      </c>
      <c r="C903" t="str">
        <f>VLOOKUP(B903,'[2]Classi allarmi RMT-STIG_rev4'!$C:$C,1,0)</f>
        <v>ALR_TEMPERATURA_ALTA_SENSORE_TEMPERATURA-Allarme alta temperatura Sensore di temperatura</v>
      </c>
      <c r="D903" t="str">
        <f>VLOOKUP(B903,'EXPORT IRIS PROD 13-11-2024'!A:A,1,0)</f>
        <v>ALR_TEMPERATURA_ALTA_SENSORE_TEMPERATURA-Allarme alta temperatura Sensore di temperatura</v>
      </c>
      <c r="E903" t="str">
        <f>VLOOKUP(H903,'EXPORT IRIS PROD 13-11-2024'!F:F,1,0)</f>
        <v>ALR_TEMPERATURA_ALTA_SENSORE_TEMPERATURA</v>
      </c>
      <c r="F903" t="str">
        <f>VLOOKUP(I903,'EXPORT IRIS PROD 13-11-2024'!D:D,1,0)</f>
        <v>Allarme alta temperatura Sensore di temperatura</v>
      </c>
      <c r="G903" s="37" t="s">
        <v>863</v>
      </c>
      <c r="H903" s="38" t="s">
        <v>1622</v>
      </c>
      <c r="I903" s="45" t="s">
        <v>1623</v>
      </c>
      <c r="J903" s="46" t="s">
        <v>1331</v>
      </c>
      <c r="K903" s="46" t="s">
        <v>1624</v>
      </c>
      <c r="L903" s="40" t="s">
        <v>21</v>
      </c>
      <c r="M903" s="41" t="s">
        <v>22</v>
      </c>
      <c r="N903" s="42" t="s">
        <v>23</v>
      </c>
      <c r="O903" s="43" t="s">
        <v>24</v>
      </c>
      <c r="P903" s="42" t="s">
        <v>25</v>
      </c>
      <c r="Q903" s="42" t="s">
        <v>21</v>
      </c>
      <c r="R903" s="44"/>
    </row>
    <row r="904" spans="1:18" x14ac:dyDescent="0.25">
      <c r="A904" t="str">
        <f t="shared" si="28"/>
        <v>Smart Road_Palo tecnologico_ALR_TEMPERATURA_PIASTRA-Allarme sovratemperatura piastra</v>
      </c>
      <c r="B904" t="str">
        <f t="shared" si="29"/>
        <v>ALR_TEMPERATURA_PIASTRA-Allarme sovratemperatura piastra</v>
      </c>
      <c r="C904" t="str">
        <f>VLOOKUP(B904,'[2]Classi allarmi RMT-STIG_rev4'!$C:$C,1,0)</f>
        <v>ALR_TEMPERATURA_PIASTRA-Allarme sovratemperatura piastra</v>
      </c>
      <c r="D904" t="str">
        <f>VLOOKUP(B904,'EXPORT IRIS PROD 13-11-2024'!A:A,1,0)</f>
        <v>ALR_TEMPERATURA_PIASTRA-Allarme sovratemperatura piastra</v>
      </c>
      <c r="E904" t="str">
        <f>VLOOKUP(H904,'EXPORT IRIS PROD 13-11-2024'!F:F,1,0)</f>
        <v>ALR_TEMPERATURA_PIASTRA</v>
      </c>
      <c r="F904" t="str">
        <f>VLOOKUP(I904,'EXPORT IRIS PROD 13-11-2024'!D:D,1,0)</f>
        <v>Allarme sovratemperatura piastra</v>
      </c>
      <c r="G904" s="37" t="s">
        <v>1088</v>
      </c>
      <c r="H904" s="38" t="s">
        <v>1625</v>
      </c>
      <c r="I904" s="45" t="s">
        <v>1626</v>
      </c>
      <c r="J904" s="46" t="s">
        <v>965</v>
      </c>
      <c r="K904" s="46" t="s">
        <v>1091</v>
      </c>
      <c r="L904" s="40" t="s">
        <v>21</v>
      </c>
      <c r="M904" s="41" t="s">
        <v>22</v>
      </c>
      <c r="N904" s="42" t="s">
        <v>23</v>
      </c>
      <c r="O904" s="43" t="s">
        <v>24</v>
      </c>
      <c r="P904" s="42" t="s">
        <v>25</v>
      </c>
      <c r="Q904" s="42" t="s">
        <v>21</v>
      </c>
      <c r="R904" s="44"/>
    </row>
    <row r="905" spans="1:18" x14ac:dyDescent="0.25">
      <c r="A905" t="str">
        <f t="shared" si="28"/>
        <v>Smart road_Regolatore_ALR_TENSIONE_IN_INGRESSO-Allarme stabilizzatore di tensione in ingresso</v>
      </c>
      <c r="B905" t="str">
        <f t="shared" si="29"/>
        <v>ALR_TENSIONE_IN_INGRESSO-Allarme stabilizzatore di tensione in ingresso</v>
      </c>
      <c r="C905" t="str">
        <f>VLOOKUP(B905,'[2]Classi allarmi RMT-STIG_rev4'!$C:$C,1,0)</f>
        <v>ALR_TENSIONE_IN_INGRESSO-Allarme stabilizzatore di tensione in ingresso</v>
      </c>
      <c r="D905" t="str">
        <f>VLOOKUP(B905,'EXPORT IRIS PROD 13-11-2024'!A:A,1,0)</f>
        <v>ALR_TENSIONE_IN_INGRESSO-Allarme stabilizzatore di tensione in ingresso</v>
      </c>
      <c r="E905" t="str">
        <f>VLOOKUP(H905,'EXPORT IRIS PROD 13-11-2024'!F:F,1,0)</f>
        <v>ALR_TENSIONE_IN_INGRESSO</v>
      </c>
      <c r="F905" t="str">
        <f>VLOOKUP(I905,'EXPORT IRIS PROD 13-11-2024'!D:D,1,0)</f>
        <v>Allarme stabilizzatore di tensione in ingresso</v>
      </c>
      <c r="G905" s="37" t="s">
        <v>1201</v>
      </c>
      <c r="H905" s="38" t="s">
        <v>1627</v>
      </c>
      <c r="I905" s="45" t="s">
        <v>1628</v>
      </c>
      <c r="J905" s="46" t="s">
        <v>1113</v>
      </c>
      <c r="K905" s="46" t="s">
        <v>1204</v>
      </c>
      <c r="L905" s="40" t="s">
        <v>21</v>
      </c>
      <c r="M905" s="41" t="s">
        <v>22</v>
      </c>
      <c r="N905" s="42" t="s">
        <v>23</v>
      </c>
      <c r="O905" s="43" t="s">
        <v>24</v>
      </c>
      <c r="P905" s="42" t="s">
        <v>25</v>
      </c>
      <c r="Q905" s="42" t="s">
        <v>21</v>
      </c>
      <c r="R905" s="44"/>
    </row>
    <row r="906" spans="1:18" x14ac:dyDescent="0.25">
      <c r="A906" t="str">
        <f t="shared" si="28"/>
        <v>Impianto Elettrico_UPS_ALR_TENSIONE_IN_INGRESSO-Allarme stabilizzatore di tensione in ingresso</v>
      </c>
      <c r="B906" t="str">
        <f t="shared" si="29"/>
        <v>ALR_TENSIONE_IN_INGRESSO-Allarme stabilizzatore di tensione in ingresso</v>
      </c>
      <c r="C906" t="str">
        <f>VLOOKUP(B906,'[2]Classi allarmi RMT-STIG_rev4'!$C:$C,1,0)</f>
        <v>ALR_TENSIONE_IN_INGRESSO-Allarme stabilizzatore di tensione in ingresso</v>
      </c>
      <c r="D906" t="str">
        <f>VLOOKUP(B906,'EXPORT IRIS PROD 13-11-2024'!A:A,1,0)</f>
        <v>ALR_TENSIONE_IN_INGRESSO-Allarme stabilizzatore di tensione in ingresso</v>
      </c>
      <c r="E906" t="str">
        <f>VLOOKUP(H906,'EXPORT IRIS PROD 13-11-2024'!F:F,1,0)</f>
        <v>ALR_TENSIONE_IN_INGRESSO</v>
      </c>
      <c r="F906" t="str">
        <f>VLOOKUP(I906,'EXPORT IRIS PROD 13-11-2024'!D:D,1,0)</f>
        <v>Allarme stabilizzatore di tensione in ingresso</v>
      </c>
      <c r="G906" s="37" t="s">
        <v>53</v>
      </c>
      <c r="H906" s="38" t="s">
        <v>1627</v>
      </c>
      <c r="I906" s="38" t="s">
        <v>1628</v>
      </c>
      <c r="J906" s="39" t="s">
        <v>56</v>
      </c>
      <c r="K906" s="39" t="s">
        <v>104</v>
      </c>
      <c r="L906" s="40" t="s">
        <v>21</v>
      </c>
      <c r="M906" s="41" t="s">
        <v>22</v>
      </c>
      <c r="N906" s="42" t="s">
        <v>23</v>
      </c>
      <c r="O906" s="43" t="s">
        <v>24</v>
      </c>
      <c r="P906" s="42" t="s">
        <v>25</v>
      </c>
      <c r="Q906" s="42" t="s">
        <v>21</v>
      </c>
      <c r="R906" s="44"/>
    </row>
    <row r="907" spans="1:18" x14ac:dyDescent="0.25">
      <c r="A907" t="str">
        <f t="shared" si="28"/>
        <v>Impianto Elettrico_UPS_ALR_TENSIONE_IN_USCITA-Allarme stabilizzatore di tensione in uscita</v>
      </c>
      <c r="B907" t="str">
        <f t="shared" si="29"/>
        <v>ALR_TENSIONE_IN_USCITA-Allarme stabilizzatore di tensione in uscita</v>
      </c>
      <c r="C907" t="str">
        <f>VLOOKUP(B907,'[2]Classi allarmi RMT-STIG_rev4'!$C:$C,1,0)</f>
        <v>ALR_TENSIONE_IN_USCITA-Allarme stabilizzatore di tensione in uscita</v>
      </c>
      <c r="D907" t="str">
        <f>VLOOKUP(B907,'EXPORT IRIS PROD 13-11-2024'!A:A,1,0)</f>
        <v>ALR_TENSIONE_IN_USCITA-Allarme stabilizzatore di tensione in uscita</v>
      </c>
      <c r="E907" t="str">
        <f>VLOOKUP(H907,'EXPORT IRIS PROD 13-11-2024'!F:F,1,0)</f>
        <v>ALR_TENSIONE_IN_USCITA</v>
      </c>
      <c r="F907" t="str">
        <f>VLOOKUP(I907,'EXPORT IRIS PROD 13-11-2024'!D:D,1,0)</f>
        <v>Allarme stabilizzatore di tensione in uscita</v>
      </c>
      <c r="G907" s="37" t="s">
        <v>53</v>
      </c>
      <c r="H907" s="38" t="s">
        <v>1629</v>
      </c>
      <c r="I907" s="38" t="s">
        <v>1630</v>
      </c>
      <c r="J907" s="39" t="s">
        <v>56</v>
      </c>
      <c r="K907" s="39" t="s">
        <v>104</v>
      </c>
      <c r="L907" s="40" t="s">
        <v>21</v>
      </c>
      <c r="M907" s="41" t="s">
        <v>22</v>
      </c>
      <c r="N907" s="42" t="s">
        <v>23</v>
      </c>
      <c r="O907" s="43" t="s">
        <v>24</v>
      </c>
      <c r="P907" s="42" t="s">
        <v>25</v>
      </c>
      <c r="Q907" s="42" t="s">
        <v>21</v>
      </c>
      <c r="R907" s="44"/>
    </row>
    <row r="908" spans="1:18" x14ac:dyDescent="0.25">
      <c r="A908" t="str">
        <f t="shared" si="28"/>
        <v>Impianto elettrico_Rele_ALR_TERMICA-Allarme termica</v>
      </c>
      <c r="B908" t="str">
        <f t="shared" si="29"/>
        <v>ALR_TERMICA-Allarme termica</v>
      </c>
      <c r="C908" t="str">
        <f>VLOOKUP(B908,'[2]Classi allarmi RMT-STIG_rev4'!$C:$C,1,0)</f>
        <v>ALR_TERMICA-Allarme termica</v>
      </c>
      <c r="D908" t="str">
        <f>VLOOKUP(B908,'EXPORT IRIS PROD 13-11-2024'!A:A,1,0)</f>
        <v>ALR_TERMICA-Allarme termica</v>
      </c>
      <c r="E908" t="str">
        <f>VLOOKUP(H908,'EXPORT IRIS PROD 13-11-2024'!F:F,1,0)</f>
        <v>ALR_TERMICA</v>
      </c>
      <c r="F908" t="str">
        <f>VLOOKUP(I908,'EXPORT IRIS PROD 13-11-2024'!D:D,1,0)</f>
        <v>Allarme termica</v>
      </c>
      <c r="G908" s="37" t="s">
        <v>53</v>
      </c>
      <c r="H908" s="38" t="s">
        <v>1631</v>
      </c>
      <c r="I908" s="45" t="s">
        <v>1632</v>
      </c>
      <c r="J908" s="46" t="s">
        <v>1106</v>
      </c>
      <c r="K908" s="46" t="s">
        <v>402</v>
      </c>
      <c r="L908" s="40" t="s">
        <v>21</v>
      </c>
      <c r="M908" s="41" t="s">
        <v>22</v>
      </c>
      <c r="N908" s="42" t="s">
        <v>23</v>
      </c>
      <c r="O908" s="43" t="s">
        <v>24</v>
      </c>
      <c r="P908" s="42" t="s">
        <v>25</v>
      </c>
      <c r="Q908" s="42" t="s">
        <v>21</v>
      </c>
      <c r="R908" s="44"/>
    </row>
    <row r="909" spans="1:18" x14ac:dyDescent="0.25">
      <c r="A909" t="str">
        <f t="shared" si="28"/>
        <v>Impianto ventilazione_Serranda_ALR_TERMICA-Allarme termica</v>
      </c>
      <c r="B909" t="str">
        <f t="shared" si="29"/>
        <v>ALR_TERMICA-Allarme termica</v>
      </c>
      <c r="C909" t="str">
        <f>VLOOKUP(B909,'[2]Classi allarmi RMT-STIG_rev4'!$C:$C,1,0)</f>
        <v>ALR_TERMICA-Allarme termica</v>
      </c>
      <c r="D909" t="str">
        <f>VLOOKUP(B909,'EXPORT IRIS PROD 13-11-2024'!A:A,1,0)</f>
        <v>ALR_TERMICA-Allarme termica</v>
      </c>
      <c r="E909" t="str">
        <f>VLOOKUP(H909,'EXPORT IRIS PROD 13-11-2024'!F:F,1,0)</f>
        <v>ALR_TERMICA</v>
      </c>
      <c r="F909" t="str">
        <f>VLOOKUP(I909,'EXPORT IRIS PROD 13-11-2024'!D:D,1,0)</f>
        <v>Allarme termica</v>
      </c>
      <c r="G909" s="37" t="s">
        <v>85</v>
      </c>
      <c r="H909" s="38" t="s">
        <v>1631</v>
      </c>
      <c r="I909" s="45" t="s">
        <v>1632</v>
      </c>
      <c r="J909" s="46" t="s">
        <v>1319</v>
      </c>
      <c r="K909" s="46" t="s">
        <v>275</v>
      </c>
      <c r="L909" s="40" t="s">
        <v>21</v>
      </c>
      <c r="M909" s="41" t="s">
        <v>22</v>
      </c>
      <c r="N909" s="42" t="s">
        <v>23</v>
      </c>
      <c r="O909" s="43" t="s">
        <v>24</v>
      </c>
      <c r="P909" s="42" t="s">
        <v>25</v>
      </c>
      <c r="Q909" s="42" t="s">
        <v>21</v>
      </c>
      <c r="R909" s="44"/>
    </row>
    <row r="910" spans="1:18" x14ac:dyDescent="0.25">
      <c r="A910" t="str">
        <f t="shared" si="28"/>
        <v>Impianto bypass_Ventilatore_ALR_TERMICO_VENTILATORE-Allarme termico ventilatore</v>
      </c>
      <c r="B910" t="str">
        <f t="shared" si="29"/>
        <v>ALR_TERMICO_VENTILATORE-Allarme termico ventilatore</v>
      </c>
      <c r="C910" t="str">
        <f>VLOOKUP(B910,'[2]Classi allarmi RMT-STIG_rev4'!$C:$C,1,0)</f>
        <v>ALR_TERMICO_VENTILATORE-Allarme termico ventilatore</v>
      </c>
      <c r="D910" t="str">
        <f>VLOOKUP(B910,'EXPORT IRIS PROD 13-11-2024'!A:A,1,0)</f>
        <v>ALR_TERMICO_VENTILATORE-Allarme termico ventilatore</v>
      </c>
      <c r="E910" t="str">
        <f>VLOOKUP(H910,'EXPORT IRIS PROD 13-11-2024'!F:F,1,0)</f>
        <v>ALR_TERMICO_VENTILATORE</v>
      </c>
      <c r="F910" t="str">
        <f>VLOOKUP(I910,'EXPORT IRIS PROD 13-11-2024'!D:D,1,0)</f>
        <v>Allarme termico ventilatore</v>
      </c>
      <c r="G910" s="37" t="s">
        <v>85</v>
      </c>
      <c r="H910" s="38" t="s">
        <v>1633</v>
      </c>
      <c r="I910" s="45" t="s">
        <v>1634</v>
      </c>
      <c r="J910" s="46" t="s">
        <v>1331</v>
      </c>
      <c r="K910" s="46" t="s">
        <v>124</v>
      </c>
      <c r="L910" s="40" t="s">
        <v>21</v>
      </c>
      <c r="M910" s="41" t="s">
        <v>22</v>
      </c>
      <c r="N910" s="42" t="s">
        <v>23</v>
      </c>
      <c r="O910" s="43" t="s">
        <v>24</v>
      </c>
      <c r="P910" s="42" t="s">
        <v>25</v>
      </c>
      <c r="Q910" s="42" t="s">
        <v>21</v>
      </c>
      <c r="R910" s="44"/>
    </row>
    <row r="911" spans="1:18" x14ac:dyDescent="0.25">
      <c r="A911" t="str">
        <f t="shared" si="28"/>
        <v>Impianto elettrico_UPS_ALR_TEST_FALLITO-Allarme test fallito</v>
      </c>
      <c r="B911" t="str">
        <f t="shared" si="29"/>
        <v>ALR_TEST_FALLITO-Allarme test fallito</v>
      </c>
      <c r="C911" t="str">
        <f>VLOOKUP(B911,'[2]Classi allarmi RMT-STIG_rev4'!$C:$C,1,0)</f>
        <v>ALR_TEST_FALLITO-Allarme test fallito</v>
      </c>
      <c r="D911" t="str">
        <f>VLOOKUP(B911,'EXPORT IRIS PROD 13-11-2024'!A:A,1,0)</f>
        <v>ALR_TEST_FALLITO-Allarme test fallito</v>
      </c>
      <c r="E911" t="str">
        <f>VLOOKUP(H911,'EXPORT IRIS PROD 13-11-2024'!F:F,1,0)</f>
        <v>ALR_TEST_FALLITO</v>
      </c>
      <c r="F911" t="str">
        <f>VLOOKUP(I911,'EXPORT IRIS PROD 13-11-2024'!D:D,1,0)</f>
        <v>Allarme test fallito</v>
      </c>
      <c r="G911" s="37" t="s">
        <v>53</v>
      </c>
      <c r="H911" s="38" t="s">
        <v>1635</v>
      </c>
      <c r="I911" s="45" t="s">
        <v>1636</v>
      </c>
      <c r="J911" s="46" t="s">
        <v>1106</v>
      </c>
      <c r="K911" s="46" t="s">
        <v>104</v>
      </c>
      <c r="L911" s="40" t="s">
        <v>21</v>
      </c>
      <c r="M911" s="41" t="s">
        <v>22</v>
      </c>
      <c r="N911" s="42" t="s">
        <v>23</v>
      </c>
      <c r="O911" s="43" t="s">
        <v>24</v>
      </c>
      <c r="P911" s="42" t="s">
        <v>25</v>
      </c>
      <c r="Q911" s="42" t="s">
        <v>21</v>
      </c>
      <c r="R911" s="44"/>
    </row>
    <row r="912" spans="1:18" x14ac:dyDescent="0.25">
      <c r="A912" t="str">
        <f t="shared" si="28"/>
        <v>Impianto Antincendio_Elettropompa_ALR_TEST_FALLITO-Allarme test fallito</v>
      </c>
      <c r="B912" t="str">
        <f t="shared" si="29"/>
        <v>ALR_TEST_FALLITO-Allarme test fallito</v>
      </c>
      <c r="C912" t="str">
        <f>VLOOKUP(B912,'[2]Classi allarmi RMT-STIG_rev4'!$C:$C,1,0)</f>
        <v>ALR_TEST_FALLITO-Allarme test fallito</v>
      </c>
      <c r="D912" t="str">
        <f>VLOOKUP(B912,'EXPORT IRIS PROD 13-11-2024'!A:A,1,0)</f>
        <v>ALR_TEST_FALLITO-Allarme test fallito</v>
      </c>
      <c r="E912" t="str">
        <f>VLOOKUP(H912,'EXPORT IRIS PROD 13-11-2024'!F:F,1,0)</f>
        <v>ALR_TEST_FALLITO</v>
      </c>
      <c r="F912" t="str">
        <f>VLOOKUP(I912,'EXPORT IRIS PROD 13-11-2024'!D:D,1,0)</f>
        <v>Allarme test fallito</v>
      </c>
      <c r="G912" s="37" t="s">
        <v>35</v>
      </c>
      <c r="H912" s="38" t="s">
        <v>1635</v>
      </c>
      <c r="I912" s="45" t="s">
        <v>1636</v>
      </c>
      <c r="J912" s="46" t="s">
        <v>38</v>
      </c>
      <c r="K912" s="46" t="s">
        <v>301</v>
      </c>
      <c r="L912" s="40" t="s">
        <v>21</v>
      </c>
      <c r="M912" s="41" t="s">
        <v>22</v>
      </c>
      <c r="N912" s="42" t="s">
        <v>23</v>
      </c>
      <c r="O912" s="43" t="s">
        <v>24</v>
      </c>
      <c r="P912" s="42" t="s">
        <v>25</v>
      </c>
      <c r="Q912" s="42" t="s">
        <v>21</v>
      </c>
      <c r="R912" s="44"/>
    </row>
    <row r="913" spans="1:18" x14ac:dyDescent="0.25">
      <c r="A913" t="str">
        <f t="shared" si="28"/>
        <v>Impianto Ventilazione_Centrale aspirazione_ALR_TIME_OUT_ASPIRAZIONE-Allarme time-out aspirazione</v>
      </c>
      <c r="B913" t="str">
        <f t="shared" si="29"/>
        <v>ALR_TIME_OUT_ASPIRAZIONE-Allarme time-out aspirazione</v>
      </c>
      <c r="C913" t="str">
        <f>VLOOKUP(B913,'[2]Classi allarmi RMT-STIG_rev4'!$C:$C,1,0)</f>
        <v>ALR_TIME_OUT_ASPIRAZIONE-Allarme time-out aspirazione</v>
      </c>
      <c r="D913" t="str">
        <f>VLOOKUP(B913,'EXPORT IRIS PROD 13-11-2024'!A:A,1,0)</f>
        <v>ALR_TIME_OUT_ASPIRAZIONE-Allarme time-out aspirazione</v>
      </c>
      <c r="E913" t="str">
        <f>VLOOKUP(H913,'EXPORT IRIS PROD 13-11-2024'!F:F,1,0)</f>
        <v>ALR_TIME_OUT_ASPIRAZIONE</v>
      </c>
      <c r="F913" t="str">
        <f>VLOOKUP(I913,'EXPORT IRIS PROD 13-11-2024'!D:D,1,0)</f>
        <v>Allarme time-out aspirazione</v>
      </c>
      <c r="G913" s="37" t="s">
        <v>85</v>
      </c>
      <c r="H913" s="38" t="s">
        <v>1637</v>
      </c>
      <c r="I913" s="45" t="s">
        <v>1638</v>
      </c>
      <c r="J913" s="46" t="s">
        <v>50</v>
      </c>
      <c r="K913" s="46" t="s">
        <v>1639</v>
      </c>
      <c r="L913" s="40" t="s">
        <v>21</v>
      </c>
      <c r="M913" s="41" t="s">
        <v>22</v>
      </c>
      <c r="N913" s="42" t="s">
        <v>23</v>
      </c>
      <c r="O913" s="43" t="s">
        <v>24</v>
      </c>
      <c r="P913" s="42" t="s">
        <v>25</v>
      </c>
      <c r="Q913" s="42" t="s">
        <v>21</v>
      </c>
      <c r="R913" s="44"/>
    </row>
    <row r="914" spans="1:18" x14ac:dyDescent="0.25">
      <c r="A914" t="str">
        <f t="shared" si="28"/>
        <v>Impianto Ventilazione_Centrale aspirazione_ALR_TIME_OUT_IMMISSIONE-Allarme time-out immissione</v>
      </c>
      <c r="B914" t="str">
        <f t="shared" si="29"/>
        <v>ALR_TIME_OUT_IMMISSIONE-Allarme time-out immissione</v>
      </c>
      <c r="C914" t="str">
        <f>VLOOKUP(B914,'[2]Classi allarmi RMT-STIG_rev4'!$C:$C,1,0)</f>
        <v>ALR_TIME_OUT_IMMISSIONE-Allarme time-out immissione</v>
      </c>
      <c r="D914" t="str">
        <f>VLOOKUP(B914,'EXPORT IRIS PROD 13-11-2024'!A:A,1,0)</f>
        <v>ALR_TIME_OUT_IMMISSIONE-Allarme time-out immissione</v>
      </c>
      <c r="E914" t="str">
        <f>VLOOKUP(H914,'EXPORT IRIS PROD 13-11-2024'!F:F,1,0)</f>
        <v>ALR_TIME_OUT_IMMISSIONE</v>
      </c>
      <c r="F914" t="str">
        <f>VLOOKUP(I914,'EXPORT IRIS PROD 13-11-2024'!D:D,1,0)</f>
        <v>Allarme time-out immissione</v>
      </c>
      <c r="G914" s="37" t="s">
        <v>85</v>
      </c>
      <c r="H914" s="38" t="s">
        <v>1640</v>
      </c>
      <c r="I914" s="45" t="s">
        <v>1641</v>
      </c>
      <c r="J914" s="46" t="s">
        <v>50</v>
      </c>
      <c r="K914" s="46" t="s">
        <v>1639</v>
      </c>
      <c r="L914" s="40" t="s">
        <v>21</v>
      </c>
      <c r="M914" s="41" t="s">
        <v>22</v>
      </c>
      <c r="N914" s="42" t="s">
        <v>23</v>
      </c>
      <c r="O914" s="43" t="s">
        <v>24</v>
      </c>
      <c r="P914" s="42" t="s">
        <v>25</v>
      </c>
      <c r="Q914" s="42" t="s">
        <v>21</v>
      </c>
      <c r="R914" s="44"/>
    </row>
    <row r="915" spans="1:18" x14ac:dyDescent="0.25">
      <c r="A915" t="str">
        <f t="shared" si="28"/>
        <v>Impianto Elettrico_Centrale scambio rete-gruppo_ALR_TIMEOUT_INT_LINEA_2-Allarme interruttore linea 2 aperto</v>
      </c>
      <c r="B915" t="str">
        <f t="shared" si="29"/>
        <v>ALR_TIMEOUT_INT_LINEA_2-Allarme interruttore linea 2 aperto</v>
      </c>
      <c r="C915" t="str">
        <f>VLOOKUP(B915,'[2]Classi allarmi RMT-STIG_rev4'!$C:$C,1,0)</f>
        <v>ALR_TIMEOUT_INT_LINEA_2-Allarme interruttore linea 2 aperto</v>
      </c>
      <c r="D915" t="str">
        <f>VLOOKUP(B915,'EXPORT IRIS PROD 13-11-2024'!A:A,1,0)</f>
        <v>ALR_TIMEOUT_INT_LINEA_2-Allarme interruttore linea 2 aperto</v>
      </c>
      <c r="E915" t="str">
        <f>VLOOKUP(H915,'EXPORT IRIS PROD 13-11-2024'!F:F,1,0)</f>
        <v>ALR_TIMEOUT_INT_LINEA_2</v>
      </c>
      <c r="F915" t="str">
        <f>VLOOKUP(I915,'EXPORT IRIS PROD 13-11-2024'!D:D,1,0)</f>
        <v>Allarme interruttore linea 2 aperto</v>
      </c>
      <c r="G915" s="37" t="s">
        <v>53</v>
      </c>
      <c r="H915" s="38" t="s">
        <v>1642</v>
      </c>
      <c r="I915" s="45" t="s">
        <v>1643</v>
      </c>
      <c r="J915" s="46" t="s">
        <v>56</v>
      </c>
      <c r="K915" s="46" t="s">
        <v>1198</v>
      </c>
      <c r="L915" s="40" t="s">
        <v>21</v>
      </c>
      <c r="M915" s="41" t="s">
        <v>22</v>
      </c>
      <c r="N915" s="42" t="s">
        <v>23</v>
      </c>
      <c r="O915" s="43" t="s">
        <v>24</v>
      </c>
      <c r="P915" s="42" t="s">
        <v>25</v>
      </c>
      <c r="Q915" s="42" t="s">
        <v>21</v>
      </c>
      <c r="R915" s="44"/>
    </row>
    <row r="916" spans="1:18" x14ac:dyDescent="0.25">
      <c r="A916" t="str">
        <f t="shared" si="28"/>
        <v>Impianto Elettrico_Centrale scambio rete-gruppo_ALR_TIMEOUT_INT_LINEA-1-Allarme interruttore linea 1 aperto</v>
      </c>
      <c r="B916" t="str">
        <f t="shared" si="29"/>
        <v>ALR_TIMEOUT_INT_LINEA-1-Allarme interruttore linea 1 aperto</v>
      </c>
      <c r="C916" t="str">
        <f>VLOOKUP(B916,'[2]Classi allarmi RMT-STIG_rev4'!$C:$C,1,0)</f>
        <v>ALR_TIMEOUT_INT_LINEA-1-Allarme interruttore linea 1 aperto</v>
      </c>
      <c r="D916" t="str">
        <f>VLOOKUP(B916,'EXPORT IRIS PROD 13-11-2024'!A:A,1,0)</f>
        <v>ALR_TIMEOUT_INT_LINEA-1-Allarme interruttore linea 1 aperto</v>
      </c>
      <c r="E916" t="str">
        <f>VLOOKUP(H916,'EXPORT IRIS PROD 13-11-2024'!F:F,1,0)</f>
        <v>ALR_TIMEOUT_INT_LINEA-1</v>
      </c>
      <c r="F916" t="str">
        <f>VLOOKUP(I916,'EXPORT IRIS PROD 13-11-2024'!D:D,1,0)</f>
        <v>Allarme interruttore linea 1 aperto</v>
      </c>
      <c r="G916" s="37" t="s">
        <v>53</v>
      </c>
      <c r="H916" s="38" t="s">
        <v>1644</v>
      </c>
      <c r="I916" s="45" t="s">
        <v>1645</v>
      </c>
      <c r="J916" s="46" t="s">
        <v>56</v>
      </c>
      <c r="K916" s="46" t="s">
        <v>1198</v>
      </c>
      <c r="L916" s="40" t="s">
        <v>21</v>
      </c>
      <c r="M916" s="41" t="s">
        <v>22</v>
      </c>
      <c r="N916" s="42" t="s">
        <v>23</v>
      </c>
      <c r="O916" s="43" t="s">
        <v>24</v>
      </c>
      <c r="P916" s="42" t="s">
        <v>25</v>
      </c>
      <c r="Q916" s="42" t="s">
        <v>21</v>
      </c>
      <c r="R916" s="44"/>
    </row>
    <row r="917" spans="1:18" x14ac:dyDescent="0.25">
      <c r="A917" t="str">
        <f t="shared" si="28"/>
        <v>Smart Road_Rilevatore contromano_ALR_TLC_CONTESTO-Allarme telecamera di contesto</v>
      </c>
      <c r="B917" t="str">
        <f t="shared" si="29"/>
        <v>ALR_TLC_CONTESTO-Allarme telecamera di contesto</v>
      </c>
      <c r="C917" t="str">
        <f>VLOOKUP(B917,'[2]Classi allarmi RMT-STIG_rev4'!$C:$C,1,0)</f>
        <v>ALR_TLC_CONTESTO-Allarme telecamera di contesto</v>
      </c>
      <c r="D917" t="str">
        <f>VLOOKUP(B917,'EXPORT IRIS PROD 13-11-2024'!A:A,1,0)</f>
        <v>ALR_TLC_CONTESTO-Allarme telecamera di contesto</v>
      </c>
      <c r="E917" t="str">
        <f>VLOOKUP(H917,'EXPORT IRIS PROD 13-11-2024'!F:F,1,0)</f>
        <v>ALR_TLC_CONTESTO</v>
      </c>
      <c r="F917" t="str">
        <f>VLOOKUP(I917,'EXPORT IRIS PROD 13-11-2024'!D:D,1,0)</f>
        <v>Allarme telecamera di contesto</v>
      </c>
      <c r="G917" s="37" t="s">
        <v>198</v>
      </c>
      <c r="H917" s="38" t="s">
        <v>1646</v>
      </c>
      <c r="I917" s="45" t="s">
        <v>1647</v>
      </c>
      <c r="J917" s="46" t="s">
        <v>965</v>
      </c>
      <c r="K917" s="46" t="s">
        <v>1648</v>
      </c>
      <c r="L917" s="47" t="s">
        <v>21</v>
      </c>
      <c r="M917" s="41" t="s">
        <v>22</v>
      </c>
      <c r="N917" s="43" t="s">
        <v>23</v>
      </c>
      <c r="O917" s="43" t="s">
        <v>24</v>
      </c>
      <c r="P917" s="42" t="s">
        <v>25</v>
      </c>
      <c r="Q917" s="42" t="s">
        <v>21</v>
      </c>
      <c r="R917" s="44"/>
    </row>
    <row r="918" spans="1:18" x14ac:dyDescent="0.25">
      <c r="A918" t="str">
        <f t="shared" si="28"/>
        <v>Smart Road_Telecamera termica_ALR_TLC_TERMICA-Allarme telecamera Termica</v>
      </c>
      <c r="B918" t="str">
        <f t="shared" si="29"/>
        <v>ALR_TLC_TERMICA-Allarme telecamera Termica</v>
      </c>
      <c r="C918" t="str">
        <f>VLOOKUP(B918,'[2]Classi allarmi RMT-STIG_rev4'!$C:$C,1,0)</f>
        <v>ALR_TLC_TERMICA-Allarme telecamera Termica</v>
      </c>
      <c r="D918" t="str">
        <f>VLOOKUP(B918,'EXPORT IRIS PROD 13-11-2024'!A:A,1,0)</f>
        <v>ALR_TLC_TERMICA-Allarme telecamera Termica</v>
      </c>
      <c r="E918" t="str">
        <f>VLOOKUP(H918,'EXPORT IRIS PROD 13-11-2024'!F:F,1,0)</f>
        <v>ALR_TLC_TERMICA</v>
      </c>
      <c r="F918" t="str">
        <f>VLOOKUP(I918,'EXPORT IRIS PROD 13-11-2024'!D:D,1,0)</f>
        <v>Allarme telecamera Termica</v>
      </c>
      <c r="G918" s="37" t="s">
        <v>198</v>
      </c>
      <c r="H918" s="38" t="s">
        <v>1649</v>
      </c>
      <c r="I918" s="45" t="s">
        <v>1650</v>
      </c>
      <c r="J918" s="46" t="s">
        <v>965</v>
      </c>
      <c r="K918" s="46" t="s">
        <v>1651</v>
      </c>
      <c r="L918" s="47" t="s">
        <v>21</v>
      </c>
      <c r="M918" s="41" t="s">
        <v>22</v>
      </c>
      <c r="N918" s="43" t="s">
        <v>23</v>
      </c>
      <c r="O918" s="43" t="s">
        <v>24</v>
      </c>
      <c r="P918" s="42" t="s">
        <v>25</v>
      </c>
      <c r="Q918" s="42" t="s">
        <v>21</v>
      </c>
      <c r="R918" s="44"/>
    </row>
    <row r="919" spans="1:18" x14ac:dyDescent="0.25">
      <c r="A919" t="str">
        <f t="shared" si="28"/>
        <v>Impianto elettrico_Multimetro_ALR_TRIP_I-Allarme Corrente</v>
      </c>
      <c r="B919" t="str">
        <f t="shared" si="29"/>
        <v>ALR_TRIP_I-Allarme Corrente</v>
      </c>
      <c r="C919" t="str">
        <f>VLOOKUP(B919,'[2]Classi allarmi RMT-STIG_rev4'!$C:$C,1,0)</f>
        <v>ALR_TRIP_I-Allarme Corrente</v>
      </c>
      <c r="D919" t="str">
        <f>VLOOKUP(B919,'EXPORT IRIS PROD 13-11-2024'!A:A,1,0)</f>
        <v>ALR_TRIP_I-Allarme Corrente</v>
      </c>
      <c r="E919" t="str">
        <f>VLOOKUP(H919,'EXPORT IRIS PROD 13-11-2024'!F:F,1,0)</f>
        <v>ALR_TRIP_I</v>
      </c>
      <c r="F919" t="str">
        <f>VLOOKUP(I919,'EXPORT IRIS PROD 13-11-2024'!D:D,1,0)</f>
        <v>Allarme Corrente</v>
      </c>
      <c r="G919" s="37" t="s">
        <v>53</v>
      </c>
      <c r="H919" s="38" t="s">
        <v>1652</v>
      </c>
      <c r="I919" s="45" t="s">
        <v>1653</v>
      </c>
      <c r="J919" s="46" t="s">
        <v>1106</v>
      </c>
      <c r="K919" s="46" t="s">
        <v>254</v>
      </c>
      <c r="L919" s="40" t="s">
        <v>21</v>
      </c>
      <c r="M919" s="41" t="s">
        <v>22</v>
      </c>
      <c r="N919" s="42" t="s">
        <v>23</v>
      </c>
      <c r="O919" s="43" t="s">
        <v>24</v>
      </c>
      <c r="P919" s="42" t="s">
        <v>25</v>
      </c>
      <c r="Q919" s="42" t="s">
        <v>21</v>
      </c>
      <c r="R919" s="44"/>
    </row>
    <row r="920" spans="1:18" x14ac:dyDescent="0.25">
      <c r="A920" t="str">
        <f t="shared" si="28"/>
        <v>Impianto elettrico_Multimetro_ALR_TRIP_IE-Allarme Corrente Nominale</v>
      </c>
      <c r="B920" t="str">
        <f t="shared" si="29"/>
        <v>ALR_TRIP_IE-Allarme Corrente Nominale</v>
      </c>
      <c r="C920" t="str">
        <f>VLOOKUP(B920,'[2]Classi allarmi RMT-STIG_rev4'!$C:$C,1,0)</f>
        <v>ALR_TRIP_IE-Allarme Corrente Nominale</v>
      </c>
      <c r="D920" t="str">
        <f>VLOOKUP(B920,'EXPORT IRIS PROD 13-11-2024'!A:A,1,0)</f>
        <v>ALR_TRIP_IE-Allarme Corrente Nominale</v>
      </c>
      <c r="E920" t="str">
        <f>VLOOKUP(H920,'EXPORT IRIS PROD 13-11-2024'!F:F,1,0)</f>
        <v>ALR_TRIP_IE</v>
      </c>
      <c r="F920" t="str">
        <f>VLOOKUP(I920,'EXPORT IRIS PROD 13-11-2024'!D:D,1,0)</f>
        <v>Allarme Corrente Nominale</v>
      </c>
      <c r="G920" s="37" t="s">
        <v>53</v>
      </c>
      <c r="H920" s="38" t="s">
        <v>1654</v>
      </c>
      <c r="I920" s="45" t="s">
        <v>1655</v>
      </c>
      <c r="J920" s="46" t="s">
        <v>1106</v>
      </c>
      <c r="K920" s="46" t="s">
        <v>254</v>
      </c>
      <c r="L920" s="40" t="s">
        <v>21</v>
      </c>
      <c r="M920" s="41" t="s">
        <v>22</v>
      </c>
      <c r="N920" s="42" t="s">
        <v>23</v>
      </c>
      <c r="O920" s="43" t="s">
        <v>24</v>
      </c>
      <c r="P920" s="42" t="s">
        <v>25</v>
      </c>
      <c r="Q920" s="42" t="s">
        <v>21</v>
      </c>
      <c r="R920" s="44"/>
    </row>
    <row r="921" spans="1:18" x14ac:dyDescent="0.25">
      <c r="A921" t="str">
        <f t="shared" si="28"/>
        <v>Impianto elettrico_UPS_ALR_UPS_BLOCCATO-Allarme ups bloccato</v>
      </c>
      <c r="B921" t="str">
        <f t="shared" si="29"/>
        <v>ALR_UPS_BLOCCATO-Allarme ups bloccato</v>
      </c>
      <c r="C921" t="str">
        <f>VLOOKUP(B921,'[2]Classi allarmi RMT-STIG_rev4'!$C:$C,1,0)</f>
        <v>ALR_UPS_BLOCCATO-Allarme ups bloccato</v>
      </c>
      <c r="D921" t="str">
        <f>VLOOKUP(B921,'EXPORT IRIS PROD 13-11-2024'!A:A,1,0)</f>
        <v>ALR_UPS_BLOCCATO-Allarme ups bloccato</v>
      </c>
      <c r="E921" t="str">
        <f>VLOOKUP(H921,'EXPORT IRIS PROD 13-11-2024'!F:F,1,0)</f>
        <v>ALR_UPS_BLOCCATO</v>
      </c>
      <c r="F921" t="str">
        <f>VLOOKUP(I921,'EXPORT IRIS PROD 13-11-2024'!D:D,1,0)</f>
        <v>Allarme ups bloccato</v>
      </c>
      <c r="G921" s="37" t="s">
        <v>53</v>
      </c>
      <c r="H921" s="38" t="s">
        <v>1656</v>
      </c>
      <c r="I921" s="45" t="s">
        <v>1657</v>
      </c>
      <c r="J921" s="46" t="s">
        <v>1106</v>
      </c>
      <c r="K921" s="46" t="s">
        <v>104</v>
      </c>
      <c r="L921" s="40" t="s">
        <v>21</v>
      </c>
      <c r="M921" s="41" t="s">
        <v>22</v>
      </c>
      <c r="N921" s="42" t="s">
        <v>23</v>
      </c>
      <c r="O921" s="43" t="s">
        <v>24</v>
      </c>
      <c r="P921" s="42" t="s">
        <v>25</v>
      </c>
      <c r="Q921" s="42" t="s">
        <v>21</v>
      </c>
      <c r="R921" s="44"/>
    </row>
    <row r="922" spans="1:18" x14ac:dyDescent="0.25">
      <c r="A922" t="str">
        <f t="shared" si="28"/>
        <v>Impianto elettrico_UPS_ALR_UPS_IN_BATTERIA-Allarme UPS in batteria</v>
      </c>
      <c r="B922" t="str">
        <f t="shared" si="29"/>
        <v>ALR_UPS_IN_BATTERIA-Allarme UPS in batteria</v>
      </c>
      <c r="C922" t="str">
        <f>VLOOKUP(B922,'[2]Classi allarmi RMT-STIG_rev4'!$C:$C,1,0)</f>
        <v>ALR_UPS_IN_BATTERIA-Allarme UPS in batteria</v>
      </c>
      <c r="D922" t="str">
        <f>VLOOKUP(B922,'EXPORT IRIS PROD 13-11-2024'!A:A,1,0)</f>
        <v>ALR_UPS_IN_BATTERIA-Allarme UPS in batteria</v>
      </c>
      <c r="E922" t="str">
        <f>VLOOKUP(H922,'EXPORT IRIS PROD 13-11-2024'!F:F,1,0)</f>
        <v>ALR_UPS_IN_BATTERIA</v>
      </c>
      <c r="F922" t="str">
        <f>VLOOKUP(I922,'EXPORT IRIS PROD 13-11-2024'!D:D,1,0)</f>
        <v>Allarme UPS in batteria</v>
      </c>
      <c r="G922" s="37" t="s">
        <v>53</v>
      </c>
      <c r="H922" s="38" t="s">
        <v>1658</v>
      </c>
      <c r="I922" s="45" t="s">
        <v>1659</v>
      </c>
      <c r="J922" s="46" t="s">
        <v>1106</v>
      </c>
      <c r="K922" s="46" t="s">
        <v>104</v>
      </c>
      <c r="L922" s="40" t="s">
        <v>21</v>
      </c>
      <c r="M922" s="41" t="s">
        <v>22</v>
      </c>
      <c r="N922" s="42" t="s">
        <v>23</v>
      </c>
      <c r="O922" s="43" t="s">
        <v>24</v>
      </c>
      <c r="P922" s="42" t="s">
        <v>25</v>
      </c>
      <c r="Q922" s="42" t="s">
        <v>21</v>
      </c>
      <c r="R922" s="44"/>
    </row>
    <row r="923" spans="1:18" x14ac:dyDescent="0.25">
      <c r="A923" t="str">
        <f t="shared" si="28"/>
        <v>Impianto elettrico_UPS_ALR_UPS_IN_BYPASS-Allarme UPS in bypass</v>
      </c>
      <c r="B923" t="str">
        <f t="shared" si="29"/>
        <v>ALR_UPS_IN_BYPASS-Allarme UPS in bypass</v>
      </c>
      <c r="C923" t="str">
        <f>VLOOKUP(B923,'[2]Classi allarmi RMT-STIG_rev4'!$C:$C,1,0)</f>
        <v>ALR_UPS_IN_BYPASS-Allarme UPS in bypass</v>
      </c>
      <c r="D923" t="str">
        <f>VLOOKUP(B923,'EXPORT IRIS PROD 13-11-2024'!A:A,1,0)</f>
        <v>ALR_UPS_IN_BYPASS-Allarme UPS in bypass</v>
      </c>
      <c r="E923" t="str">
        <f>VLOOKUP(H923,'EXPORT IRIS PROD 13-11-2024'!F:F,1,0)</f>
        <v>ALR_UPS_IN_BYPASS</v>
      </c>
      <c r="F923" t="str">
        <f>VLOOKUP(I923,'EXPORT IRIS PROD 13-11-2024'!D:D,1,0)</f>
        <v>Allarme UPS in bypass</v>
      </c>
      <c r="G923" s="37" t="s">
        <v>53</v>
      </c>
      <c r="H923" s="38" t="s">
        <v>1660</v>
      </c>
      <c r="I923" s="45" t="s">
        <v>1661</v>
      </c>
      <c r="J923" s="46" t="s">
        <v>1106</v>
      </c>
      <c r="K923" s="46" t="s">
        <v>104</v>
      </c>
      <c r="L923" s="40" t="s">
        <v>21</v>
      </c>
      <c r="M923" s="41" t="s">
        <v>22</v>
      </c>
      <c r="N923" s="42" t="s">
        <v>23</v>
      </c>
      <c r="O923" s="43" t="s">
        <v>24</v>
      </c>
      <c r="P923" s="42" t="s">
        <v>25</v>
      </c>
      <c r="Q923" s="42" t="s">
        <v>21</v>
      </c>
      <c r="R923" s="44"/>
    </row>
    <row r="924" spans="1:18" x14ac:dyDescent="0.25">
      <c r="A924" t="str">
        <f t="shared" si="28"/>
        <v>Impianto elettrico_UPS_ALR_UPS_INVERTER_ATTIVO-Allarme inverter Attivo</v>
      </c>
      <c r="B924" t="str">
        <f t="shared" si="29"/>
        <v>ALR_UPS_INVERTER_ATTIVO-Allarme inverter Attivo</v>
      </c>
      <c r="C924" t="str">
        <f>VLOOKUP(B924,'[2]Classi allarmi RMT-STIG_rev4'!$C:$C,1,0)</f>
        <v>ALR_UPS_INVERTER_ATTIVO-Allarme inverter Attivo</v>
      </c>
      <c r="D924" t="str">
        <f>VLOOKUP(B924,'EXPORT IRIS PROD 13-11-2024'!A:A,1,0)</f>
        <v>ALR_UPS_INVERTER_ATTIVO-Allarme inverter Attivo</v>
      </c>
      <c r="E924" t="str">
        <f>VLOOKUP(H924,'EXPORT IRIS PROD 13-11-2024'!F:F,1,0)</f>
        <v>ALR_UPS_INVERTER_ATTIVO</v>
      </c>
      <c r="F924" t="str">
        <f>VLOOKUP(I924,'EXPORT IRIS PROD 13-11-2024'!D:D,1,0)</f>
        <v>Allarme inverter Attivo</v>
      </c>
      <c r="G924" s="37" t="s">
        <v>53</v>
      </c>
      <c r="H924" s="38" t="s">
        <v>1662</v>
      </c>
      <c r="I924" s="45" t="s">
        <v>1663</v>
      </c>
      <c r="J924" s="46" t="s">
        <v>1106</v>
      </c>
      <c r="K924" s="46" t="s">
        <v>104</v>
      </c>
      <c r="L924" s="40" t="s">
        <v>21</v>
      </c>
      <c r="M924" s="41" t="s">
        <v>22</v>
      </c>
      <c r="N924" s="42" t="s">
        <v>23</v>
      </c>
      <c r="O924" s="43" t="s">
        <v>24</v>
      </c>
      <c r="P924" s="42" t="s">
        <v>25</v>
      </c>
      <c r="Q924" s="42" t="s">
        <v>21</v>
      </c>
      <c r="R924" s="44"/>
    </row>
    <row r="925" spans="1:18" x14ac:dyDescent="0.25">
      <c r="A925" t="str">
        <f t="shared" si="28"/>
        <v>Impianto elettrico_UPS_ALR_UPS_SOVRA-CARICO_IN_INGRESSO-Allarme UPS Inverter sovra carico in ingresso</v>
      </c>
      <c r="B925" t="str">
        <f t="shared" si="29"/>
        <v>ALR_UPS_SOVRA-CARICO_IN_INGRESSO-Allarme UPS Inverter sovra carico in ingresso</v>
      </c>
      <c r="C925" t="str">
        <f>VLOOKUP(B925,'[2]Classi allarmi RMT-STIG_rev4'!$C:$C,1,0)</f>
        <v>ALR_UPS_SOVRA-CARICO_IN_INGRESSO-Allarme UPS Inverter sovra carico in ingresso</v>
      </c>
      <c r="D925" t="str">
        <f>VLOOKUP(B925,'EXPORT IRIS PROD 13-11-2024'!A:A,1,0)</f>
        <v>ALR_UPS_SOVRA-CARICO_IN_INGRESSO-Allarme UPS Inverter sovra carico in ingresso</v>
      </c>
      <c r="E925" t="str">
        <f>VLOOKUP(H925,'EXPORT IRIS PROD 13-11-2024'!F:F,1,0)</f>
        <v>ALR_UPS_SOVRA-CARICO_IN_INGRESSO</v>
      </c>
      <c r="F925" t="str">
        <f>VLOOKUP(I925,'EXPORT IRIS PROD 13-11-2024'!D:D,1,0)</f>
        <v>Allarme UPS Inverter sovra carico in ingresso</v>
      </c>
      <c r="G925" s="37" t="s">
        <v>53</v>
      </c>
      <c r="H925" s="38" t="s">
        <v>1664</v>
      </c>
      <c r="I925" s="45" t="s">
        <v>1665</v>
      </c>
      <c r="J925" s="46" t="s">
        <v>1106</v>
      </c>
      <c r="K925" s="46" t="s">
        <v>104</v>
      </c>
      <c r="L925" s="40" t="s">
        <v>21</v>
      </c>
      <c r="M925" s="41" t="s">
        <v>22</v>
      </c>
      <c r="N925" s="42" t="s">
        <v>23</v>
      </c>
      <c r="O925" s="43" t="s">
        <v>24</v>
      </c>
      <c r="P925" s="42" t="s">
        <v>25</v>
      </c>
      <c r="Q925" s="42" t="s">
        <v>21</v>
      </c>
      <c r="R925" s="44"/>
    </row>
    <row r="926" spans="1:18" x14ac:dyDescent="0.25">
      <c r="A926" t="str">
        <f t="shared" si="28"/>
        <v>Impianto Ventilazione_Ventilazione generale_ALR_VENTILATORI_IN_AUMENTO-Allarme ventilatori in aumento</v>
      </c>
      <c r="B926" t="str">
        <f t="shared" si="29"/>
        <v>ALR_VENTILATORI_IN_AUMENTO-Allarme ventilatori in aumento</v>
      </c>
      <c r="C926" t="str">
        <f>VLOOKUP(B926,'[2]Classi allarmi RMT-STIG_rev4'!$C:$C,1,0)</f>
        <v>ALR_VENTILATORI_IN_AUMENTO-Allarme ventilatori in aumento</v>
      </c>
      <c r="D926" t="str">
        <f>VLOOKUP(B926,'EXPORT IRIS PROD 13-11-2024'!A:A,1,0)</f>
        <v>ALR_VENTILATORI_IN_AUMENTO-Allarme ventilatori in aumento</v>
      </c>
      <c r="E926" t="str">
        <f>VLOOKUP(H926,'EXPORT IRIS PROD 13-11-2024'!F:F,1,0)</f>
        <v>ALR_VENTILATORI_IN_AUMENTO</v>
      </c>
      <c r="F926" t="str">
        <f>VLOOKUP(I926,'EXPORT IRIS PROD 13-11-2024'!D:D,1,0)</f>
        <v>Allarme ventilatori in aumento</v>
      </c>
      <c r="G926" s="37" t="s">
        <v>280</v>
      </c>
      <c r="H926" s="38" t="s">
        <v>1666</v>
      </c>
      <c r="I926" s="45" t="s">
        <v>1667</v>
      </c>
      <c r="J926" s="46" t="s">
        <v>50</v>
      </c>
      <c r="K926" s="46" t="s">
        <v>445</v>
      </c>
      <c r="L926" s="40" t="s">
        <v>21</v>
      </c>
      <c r="M926" s="41" t="s">
        <v>22</v>
      </c>
      <c r="N926" s="42" t="s">
        <v>23</v>
      </c>
      <c r="O926" s="43" t="s">
        <v>24</v>
      </c>
      <c r="P926" s="42" t="s">
        <v>25</v>
      </c>
      <c r="Q926" s="42" t="s">
        <v>21</v>
      </c>
      <c r="R926" s="44"/>
    </row>
    <row r="927" spans="1:18" x14ac:dyDescent="0.25">
      <c r="A927" t="str">
        <f t="shared" si="28"/>
        <v>Impianto Ventilazione_Ventilazione generale_ALR_VENTILATORI_IN_DIMINIZIONE-Allarme ventilatori in diminuzione</v>
      </c>
      <c r="B927" t="str">
        <f t="shared" si="29"/>
        <v>ALR_VENTILATORI_IN_DIMINIZIONE-Allarme ventilatori in diminuzione</v>
      </c>
      <c r="C927" t="str">
        <f>VLOOKUP(B927,'[2]Classi allarmi RMT-STIG_rev4'!$C:$C,1,0)</f>
        <v>ALR_VENTILATORI_IN_DIMINIZIONE-Allarme ventilatori in diminuzione</v>
      </c>
      <c r="D927" t="str">
        <f>VLOOKUP(B927,'EXPORT IRIS PROD 13-11-2024'!A:A,1,0)</f>
        <v>ALR_VENTILATORI_IN_DIMINIZIONE-Allarme ventilatori in diminuzione</v>
      </c>
      <c r="E927" t="str">
        <f>VLOOKUP(H927,'EXPORT IRIS PROD 13-11-2024'!F:F,1,0)</f>
        <v>ALR_VENTILATORI_IN_DIMINIZIONE</v>
      </c>
      <c r="F927" t="str">
        <f>VLOOKUP(I927,'EXPORT IRIS PROD 13-11-2024'!D:D,1,0)</f>
        <v>Allarme ventilatori in diminuzione</v>
      </c>
      <c r="G927" s="37" t="s">
        <v>280</v>
      </c>
      <c r="H927" s="38" t="s">
        <v>1668</v>
      </c>
      <c r="I927" s="45" t="s">
        <v>1669</v>
      </c>
      <c r="J927" s="46" t="s">
        <v>50</v>
      </c>
      <c r="K927" s="46" t="s">
        <v>445</v>
      </c>
      <c r="L927" s="40" t="s">
        <v>21</v>
      </c>
      <c r="M927" s="41" t="s">
        <v>22</v>
      </c>
      <c r="N927" s="42" t="s">
        <v>23</v>
      </c>
      <c r="O927" s="43" t="s">
        <v>24</v>
      </c>
      <c r="P927" s="42" t="s">
        <v>25</v>
      </c>
      <c r="Q927" s="42" t="s">
        <v>21</v>
      </c>
      <c r="R927" s="44"/>
    </row>
    <row r="928" spans="1:18" x14ac:dyDescent="0.25">
      <c r="A928" t="str">
        <f t="shared" si="28"/>
        <v>Impianto Ventilazione_Ventilazione generale_ALR_VENTILATORI_STABILI-Allarme ventilatori stabili</v>
      </c>
      <c r="B928" t="str">
        <f t="shared" si="29"/>
        <v>ALR_VENTILATORI_STABILI-Allarme ventilatori stabili</v>
      </c>
      <c r="C928" t="str">
        <f>VLOOKUP(B928,'[2]Classi allarmi RMT-STIG_rev4'!$C:$C,1,0)</f>
        <v>ALR_VENTILATORI_STABILI-Allarme ventilatori stabili</v>
      </c>
      <c r="D928" t="str">
        <f>VLOOKUP(B928,'EXPORT IRIS PROD 13-11-2024'!A:A,1,0)</f>
        <v>ALR_VENTILATORI_STABILI-Allarme ventilatori stabili</v>
      </c>
      <c r="E928" t="str">
        <f>VLOOKUP(H928,'EXPORT IRIS PROD 13-11-2024'!F:F,1,0)</f>
        <v>ALR_VENTILATORI_STABILI</v>
      </c>
      <c r="F928" t="str">
        <f>VLOOKUP(I928,'EXPORT IRIS PROD 13-11-2024'!D:D,1,0)</f>
        <v>Allarme ventilatori stabili</v>
      </c>
      <c r="G928" s="37" t="s">
        <v>280</v>
      </c>
      <c r="H928" s="38" t="s">
        <v>1670</v>
      </c>
      <c r="I928" s="45" t="s">
        <v>1671</v>
      </c>
      <c r="J928" s="46" t="s">
        <v>50</v>
      </c>
      <c r="K928" s="46" t="s">
        <v>445</v>
      </c>
      <c r="L928" s="40" t="s">
        <v>21</v>
      </c>
      <c r="M928" s="41" t="s">
        <v>22</v>
      </c>
      <c r="N928" s="42" t="s">
        <v>23</v>
      </c>
      <c r="O928" s="43" t="s">
        <v>24</v>
      </c>
      <c r="P928" s="42" t="s">
        <v>25</v>
      </c>
      <c r="Q928" s="42" t="s">
        <v>21</v>
      </c>
      <c r="R928" s="44"/>
    </row>
    <row r="929" spans="1:18" x14ac:dyDescent="0.25">
      <c r="A929" t="str">
        <f t="shared" si="28"/>
        <v>Impianto Ventilazione_Centrale aspirazione_ALR_VIBRA_BASAMENTO-Allarme vibrazioni basamento</v>
      </c>
      <c r="B929" t="str">
        <f t="shared" si="29"/>
        <v>ALR_VIBRA_BASAMENTO-Allarme vibrazioni basamento</v>
      </c>
      <c r="C929" t="str">
        <f>VLOOKUP(B929,'[2]Classi allarmi RMT-STIG_rev4'!$C:$C,1,0)</f>
        <v>ALR_VIBRA_BASAMENTO-Allarme vibrazioni basamento</v>
      </c>
      <c r="D929" t="str">
        <f>VLOOKUP(B929,'EXPORT IRIS PROD 13-11-2024'!A:A,1,0)</f>
        <v>ALR_VIBRA_BASAMENTO-Allarme vibrazioni basamento</v>
      </c>
      <c r="E929" t="str">
        <f>VLOOKUP(H929,'EXPORT IRIS PROD 13-11-2024'!F:F,1,0)</f>
        <v>ALR_VIBRA_BASAMENTO</v>
      </c>
      <c r="F929" t="str">
        <f>VLOOKUP(I929,'EXPORT IRIS PROD 13-11-2024'!D:D,1,0)</f>
        <v>Allarme vibrazioni basamento</v>
      </c>
      <c r="G929" s="37" t="s">
        <v>85</v>
      </c>
      <c r="H929" s="38" t="s">
        <v>1672</v>
      </c>
      <c r="I929" s="45" t="s">
        <v>1673</v>
      </c>
      <c r="J929" s="46" t="s">
        <v>50</v>
      </c>
      <c r="K929" s="46" t="s">
        <v>1639</v>
      </c>
      <c r="L929" s="40" t="s">
        <v>31</v>
      </c>
      <c r="M929" s="41" t="s">
        <v>32</v>
      </c>
      <c r="N929" s="42">
        <v>3</v>
      </c>
      <c r="O929" s="43" t="s">
        <v>24</v>
      </c>
      <c r="P929" s="42" t="s">
        <v>25</v>
      </c>
      <c r="Q929" s="42" t="s">
        <v>21</v>
      </c>
      <c r="R929" s="44"/>
    </row>
    <row r="930" spans="1:18" x14ac:dyDescent="0.25">
      <c r="A930" t="str">
        <f t="shared" si="28"/>
        <v>Impianto Ventilazione_Centrale aspirazione_ALR_VIBRA_CARCASSA-Allarme vibrazioni carcassa</v>
      </c>
      <c r="B930" t="str">
        <f t="shared" si="29"/>
        <v>ALR_VIBRA_CARCASSA-Allarme vibrazioni carcassa</v>
      </c>
      <c r="C930" t="str">
        <f>VLOOKUP(B930,'[2]Classi allarmi RMT-STIG_rev4'!$C:$C,1,0)</f>
        <v>ALR_VIBRA_CARCASSA-Allarme vibrazioni carcassa</v>
      </c>
      <c r="D930" t="str">
        <f>VLOOKUP(B930,'EXPORT IRIS PROD 13-11-2024'!A:A,1,0)</f>
        <v>ALR_VIBRA_CARCASSA-Allarme vibrazioni carcassa</v>
      </c>
      <c r="E930" t="str">
        <f>VLOOKUP(H930,'EXPORT IRIS PROD 13-11-2024'!F:F,1,0)</f>
        <v>ALR_VIBRA_CARCASSA</v>
      </c>
      <c r="F930" t="str">
        <f>VLOOKUP(I930,'EXPORT IRIS PROD 13-11-2024'!D:D,1,0)</f>
        <v>Allarme vibrazioni carcassa</v>
      </c>
      <c r="G930" s="37" t="s">
        <v>85</v>
      </c>
      <c r="H930" s="38" t="s">
        <v>1674</v>
      </c>
      <c r="I930" s="45" t="s">
        <v>1675</v>
      </c>
      <c r="J930" s="46" t="s">
        <v>50</v>
      </c>
      <c r="K930" s="46" t="s">
        <v>1639</v>
      </c>
      <c r="L930" s="40" t="s">
        <v>31</v>
      </c>
      <c r="M930" s="41" t="s">
        <v>32</v>
      </c>
      <c r="N930" s="42">
        <v>3</v>
      </c>
      <c r="O930" s="43" t="s">
        <v>24</v>
      </c>
      <c r="P930" s="42" t="s">
        <v>25</v>
      </c>
      <c r="Q930" s="42" t="s">
        <v>21</v>
      </c>
      <c r="R930" s="44"/>
    </row>
    <row r="931" spans="1:18" x14ac:dyDescent="0.25">
      <c r="A931" t="str">
        <f t="shared" si="28"/>
        <v>Impianto Ventilazione_Ventilatore_ALR_VIBRAZIONE_CUSCINETTO-Allarme vibrazione cuscinetto</v>
      </c>
      <c r="B931" t="str">
        <f t="shared" si="29"/>
        <v>ALR_VIBRAZIONE_CUSCINETTO-Allarme vibrazione cuscinetto</v>
      </c>
      <c r="C931" t="str">
        <f>VLOOKUP(B931,'[2]Classi allarmi RMT-STIG_rev4'!$C:$C,1,0)</f>
        <v>ALR_VIBRAZIONE_CUSCINETTO-Allarme vibrazione cuscinetto</v>
      </c>
      <c r="D931" t="str">
        <f>VLOOKUP(B931,'EXPORT IRIS PROD 13-11-2024'!A:A,1,0)</f>
        <v>ALR_VIBRAZIONE_CUSCINETTO-Allarme vibrazione cuscinetto</v>
      </c>
      <c r="E931" t="str">
        <f>VLOOKUP(H931,'EXPORT IRIS PROD 13-11-2024'!F:F,1,0)</f>
        <v>ALR_VIBRAZIONE_CUSCINETTO</v>
      </c>
      <c r="F931" t="str">
        <f>VLOOKUP(I931,'EXPORT IRIS PROD 13-11-2024'!D:D,1,0)</f>
        <v>Allarme vibrazione cuscinetto</v>
      </c>
      <c r="G931" s="37" t="s">
        <v>85</v>
      </c>
      <c r="H931" s="38" t="s">
        <v>1676</v>
      </c>
      <c r="I931" s="45" t="s">
        <v>1677</v>
      </c>
      <c r="J931" s="46" t="s">
        <v>50</v>
      </c>
      <c r="K931" s="46" t="s">
        <v>124</v>
      </c>
      <c r="L931" s="40" t="s">
        <v>31</v>
      </c>
      <c r="M931" s="41" t="s">
        <v>32</v>
      </c>
      <c r="N931" s="42">
        <v>3</v>
      </c>
      <c r="O931" s="43" t="s">
        <v>24</v>
      </c>
      <c r="P931" s="42" t="s">
        <v>25</v>
      </c>
      <c r="Q931" s="42" t="s">
        <v>21</v>
      </c>
      <c r="R931" s="44"/>
    </row>
    <row r="932" spans="1:18" x14ac:dyDescent="0.25">
      <c r="A932" t="str">
        <f t="shared" si="28"/>
        <v>Impianto Ventilazione_Ventilazione generale_ALR-CUM-VENT-NORD-Allarme cumulativo ventilatore Nord</v>
      </c>
      <c r="B932" t="str">
        <f t="shared" si="29"/>
        <v>ALR-CUM-VENT-NORD-Allarme cumulativo ventilatore Nord</v>
      </c>
      <c r="C932" t="str">
        <f>VLOOKUP(B932,'[2]Classi allarmi RMT-STIG_rev4'!$C:$C,1,0)</f>
        <v>ALR-CUM-VENT-NORD-Allarme cumulativo ventilatore Nord</v>
      </c>
      <c r="D932" t="str">
        <f>VLOOKUP(B932,'EXPORT IRIS PROD 13-11-2024'!A:A,1,0)</f>
        <v>ALR-CUM-VENT-NORD-Allarme cumulativo ventilatore Nord</v>
      </c>
      <c r="E932" t="str">
        <f>VLOOKUP(H932,'EXPORT IRIS PROD 13-11-2024'!F:F,1,0)</f>
        <v>ALR-CUM-VENT-NORD</v>
      </c>
      <c r="F932" t="str">
        <f>VLOOKUP(I932,'EXPORT IRIS PROD 13-11-2024'!D:D,1,0)</f>
        <v>Allarme cumulativo ventilatore Nord</v>
      </c>
      <c r="G932" s="37" t="s">
        <v>85</v>
      </c>
      <c r="H932" s="38" t="s">
        <v>1678</v>
      </c>
      <c r="I932" s="45" t="s">
        <v>1679</v>
      </c>
      <c r="J932" s="46" t="s">
        <v>50</v>
      </c>
      <c r="K932" s="46" t="s">
        <v>445</v>
      </c>
      <c r="L932" s="40" t="s">
        <v>21</v>
      </c>
      <c r="M932" s="41" t="s">
        <v>22</v>
      </c>
      <c r="N932" s="42" t="s">
        <v>23</v>
      </c>
      <c r="O932" s="43" t="s">
        <v>24</v>
      </c>
      <c r="P932" s="42" t="s">
        <v>25</v>
      </c>
      <c r="Q932" s="42" t="s">
        <v>21</v>
      </c>
      <c r="R932" s="44"/>
    </row>
    <row r="933" spans="1:18" x14ac:dyDescent="0.25">
      <c r="A933" t="str">
        <f t="shared" si="28"/>
        <v>Impianto Ventilazione_Ventilazione generale_ALR-CUM-VENT-SUD-Allarme cumulativo ventilatore Sud</v>
      </c>
      <c r="B933" t="str">
        <f t="shared" si="29"/>
        <v>ALR-CUM-VENT-SUD-Allarme cumulativo ventilatore Sud</v>
      </c>
      <c r="C933" t="str">
        <f>VLOOKUP(B933,'[2]Classi allarmi RMT-STIG_rev4'!$C:$C,1,0)</f>
        <v>ALR-CUM-VENT-SUD-Allarme cumulativo ventilatore Sud</v>
      </c>
      <c r="D933" t="str">
        <f>VLOOKUP(B933,'EXPORT IRIS PROD 13-11-2024'!A:A,1,0)</f>
        <v>ALR-CUM-VENT-SUD-Allarme cumulativo ventilatore Sud</v>
      </c>
      <c r="E933" t="str">
        <f>VLOOKUP(H933,'EXPORT IRIS PROD 13-11-2024'!F:F,1,0)</f>
        <v>ALR-CUM-VENT-SUD</v>
      </c>
      <c r="F933" t="str">
        <f>VLOOKUP(I933,'EXPORT IRIS PROD 13-11-2024'!D:D,1,0)</f>
        <v>Allarme cumulativo ventilatore Sud</v>
      </c>
      <c r="G933" s="37" t="s">
        <v>85</v>
      </c>
      <c r="H933" s="38" t="s">
        <v>1680</v>
      </c>
      <c r="I933" s="45" t="s">
        <v>1681</v>
      </c>
      <c r="J933" s="46" t="s">
        <v>50</v>
      </c>
      <c r="K933" s="46" t="s">
        <v>445</v>
      </c>
      <c r="L933" s="40" t="s">
        <v>21</v>
      </c>
      <c r="M933" s="41" t="s">
        <v>22</v>
      </c>
      <c r="N933" s="42" t="s">
        <v>23</v>
      </c>
      <c r="O933" s="43" t="s">
        <v>24</v>
      </c>
      <c r="P933" s="42" t="s">
        <v>25</v>
      </c>
      <c r="Q933" s="42" t="s">
        <v>21</v>
      </c>
      <c r="R933" s="44"/>
    </row>
    <row r="934" spans="1:18" x14ac:dyDescent="0.25">
      <c r="A934" t="str">
        <f t="shared" si="28"/>
        <v>Impianto illuminazione_Picchetti luminosi_ANOMALIA_DISPOSITIVO_CE1-Allarme dispositivo in errore CE1</v>
      </c>
      <c r="B934" t="str">
        <f t="shared" si="29"/>
        <v>ANOMALIA_DISPOSITIVO_CE1-Allarme dispositivo in errore CE1</v>
      </c>
      <c r="C934" t="str">
        <f>VLOOKUP(B934,'[2]Classi allarmi RMT-STIG_rev4'!$C:$C,1,0)</f>
        <v>ANOMALIA_DISPOSITIVO_CE1-Allarme dispositivo in errore CE1</v>
      </c>
      <c r="D934" t="str">
        <f>VLOOKUP(B934,'EXPORT IRIS PROD 13-11-2024'!A:A,1,0)</f>
        <v>ANOMALIA_DISPOSITIVO_CE1-Allarme dispositivo in errore CE1</v>
      </c>
      <c r="E934" t="str">
        <f>VLOOKUP(H934,'EXPORT IRIS PROD 13-11-2024'!F:F,1,0)</f>
        <v>ANOMALIA_DISPOSITIVO_CE1</v>
      </c>
      <c r="F934" t="str">
        <f>VLOOKUP(I934,'EXPORT IRIS PROD 13-11-2024'!D:D,1,0)</f>
        <v>Allarme dispositivo in errore CE1</v>
      </c>
      <c r="G934" s="37" t="s">
        <v>115</v>
      </c>
      <c r="H934" s="38" t="s">
        <v>1682</v>
      </c>
      <c r="I934" s="45" t="s">
        <v>1683</v>
      </c>
      <c r="J934" s="46" t="s">
        <v>1142</v>
      </c>
      <c r="K934" s="46" t="s">
        <v>715</v>
      </c>
      <c r="L934" s="40" t="s">
        <v>21</v>
      </c>
      <c r="M934" s="41" t="s">
        <v>22</v>
      </c>
      <c r="N934" s="42" t="s">
        <v>23</v>
      </c>
      <c r="O934" s="43" t="s">
        <v>24</v>
      </c>
      <c r="P934" s="42" t="s">
        <v>25</v>
      </c>
      <c r="Q934" s="42" t="s">
        <v>21</v>
      </c>
      <c r="R934" s="44"/>
    </row>
    <row r="935" spans="1:18" x14ac:dyDescent="0.25">
      <c r="A935" t="str">
        <f t="shared" si="28"/>
        <v>Impianto illuminazione_Picchetti luminosi_ANOMALIA_DISPOSITIVO_CE2-Allarme dispositivo in errore CE2</v>
      </c>
      <c r="B935" t="str">
        <f t="shared" si="29"/>
        <v>ANOMALIA_DISPOSITIVO_CE2-Allarme dispositivo in errore CE2</v>
      </c>
      <c r="C935" t="str">
        <f>VLOOKUP(B935,'[2]Classi allarmi RMT-STIG_rev4'!$C:$C,1,0)</f>
        <v>ANOMALIA_DISPOSITIVO_CE2-Allarme dispositivo in errore CE2</v>
      </c>
      <c r="D935" t="str">
        <f>VLOOKUP(B935,'EXPORT IRIS PROD 13-11-2024'!A:A,1,0)</f>
        <v>ANOMALIA_DISPOSITIVO_CE2-Allarme dispositivo in errore CE2</v>
      </c>
      <c r="E935" t="str">
        <f>VLOOKUP(H935,'EXPORT IRIS PROD 13-11-2024'!F:F,1,0)</f>
        <v>ANOMALIA_DISPOSITIVO_CE2</v>
      </c>
      <c r="F935" t="str">
        <f>VLOOKUP(I935,'EXPORT IRIS PROD 13-11-2024'!D:D,1,0)</f>
        <v>Allarme dispositivo in errore CE2</v>
      </c>
      <c r="G935" s="37" t="s">
        <v>115</v>
      </c>
      <c r="H935" s="38" t="s">
        <v>1684</v>
      </c>
      <c r="I935" s="45" t="s">
        <v>1685</v>
      </c>
      <c r="J935" s="46" t="s">
        <v>1142</v>
      </c>
      <c r="K935" s="46" t="s">
        <v>715</v>
      </c>
      <c r="L935" s="40" t="s">
        <v>21</v>
      </c>
      <c r="M935" s="41" t="s">
        <v>22</v>
      </c>
      <c r="N935" s="42" t="s">
        <v>23</v>
      </c>
      <c r="O935" s="43" t="s">
        <v>24</v>
      </c>
      <c r="P935" s="42" t="s">
        <v>25</v>
      </c>
      <c r="Q935" s="42" t="s">
        <v>21</v>
      </c>
      <c r="R935" s="44"/>
    </row>
    <row r="936" spans="1:18" x14ac:dyDescent="0.25">
      <c r="A936" t="str">
        <f t="shared" si="28"/>
        <v>Impianto bypass_Illuminazione bypass generale/emergenza_ANOMALIA_ILLUMINAZIONE_DIR_NORD-Allarme anomalia illuminazione dir. nord</v>
      </c>
      <c r="B936" t="str">
        <f t="shared" si="29"/>
        <v>ANOMALIA_ILLUMINAZIONE_DIR_NORD-Allarme anomalia illuminazione dir. nord</v>
      </c>
      <c r="C936" t="str">
        <f>VLOOKUP(B936,'[2]Classi allarmi RMT-STIG_rev4'!$C:$C,1,0)</f>
        <v>ANOMALIA_ILLUMINAZIONE_DIR_NORD-Allarme anomalia illuminazione dir. nord</v>
      </c>
      <c r="D936" t="str">
        <f>VLOOKUP(B936,'EXPORT IRIS PROD 13-11-2024'!A:A,1,0)</f>
        <v>ANOMALIA_ILLUMINAZIONE_DIR_NORD-Allarme anomalia illuminazione dir. nord</v>
      </c>
      <c r="E936" t="str">
        <f>VLOOKUP(H936,'EXPORT IRIS PROD 13-11-2024'!F:F,1,0)</f>
        <v>ANOMALIA_ILLUMINAZIONE_DIR_NORD</v>
      </c>
      <c r="F936" t="str">
        <f>VLOOKUP(I936,'EXPORT IRIS PROD 13-11-2024'!D:D,1,0)</f>
        <v>Allarme anomalia illuminazione dir. nord</v>
      </c>
      <c r="G936" s="37" t="s">
        <v>115</v>
      </c>
      <c r="H936" s="38" t="s">
        <v>1686</v>
      </c>
      <c r="I936" s="45" t="s">
        <v>1687</v>
      </c>
      <c r="J936" s="46" t="s">
        <v>1331</v>
      </c>
      <c r="K936" s="46" t="s">
        <v>1688</v>
      </c>
      <c r="L936" s="40" t="s">
        <v>21</v>
      </c>
      <c r="M936" s="41" t="s">
        <v>22</v>
      </c>
      <c r="N936" s="42" t="s">
        <v>23</v>
      </c>
      <c r="O936" s="43" t="s">
        <v>24</v>
      </c>
      <c r="P936" s="42" t="s">
        <v>25</v>
      </c>
      <c r="Q936" s="42" t="s">
        <v>21</v>
      </c>
      <c r="R936" s="44"/>
    </row>
    <row r="937" spans="1:18" x14ac:dyDescent="0.25">
      <c r="A937" t="str">
        <f t="shared" si="28"/>
        <v>Impianto illuminazione_Illuminazione generale_ANOMALIA_ILLUMINAZIONE_DIR_NORD-Allarme anomalia illuminazione dir. nord</v>
      </c>
      <c r="B937" t="str">
        <f t="shared" si="29"/>
        <v>ANOMALIA_ILLUMINAZIONE_DIR_NORD-Allarme anomalia illuminazione dir. nord</v>
      </c>
      <c r="C937" t="str">
        <f>VLOOKUP(B937,'[2]Classi allarmi RMT-STIG_rev4'!$C:$C,1,0)</f>
        <v>ANOMALIA_ILLUMINAZIONE_DIR_NORD-Allarme anomalia illuminazione dir. nord</v>
      </c>
      <c r="D937" t="str">
        <f>VLOOKUP(B937,'EXPORT IRIS PROD 13-11-2024'!A:A,1,0)</f>
        <v>ANOMALIA_ILLUMINAZIONE_DIR_NORD-Allarme anomalia illuminazione dir. nord</v>
      </c>
      <c r="E937" t="str">
        <f>VLOOKUP(H937,'EXPORT IRIS PROD 13-11-2024'!F:F,1,0)</f>
        <v>ANOMALIA_ILLUMINAZIONE_DIR_NORD</v>
      </c>
      <c r="F937" t="str">
        <f>VLOOKUP(I937,'EXPORT IRIS PROD 13-11-2024'!D:D,1,0)</f>
        <v>Allarme anomalia illuminazione dir. nord</v>
      </c>
      <c r="G937" s="37" t="s">
        <v>115</v>
      </c>
      <c r="H937" s="38" t="s">
        <v>1686</v>
      </c>
      <c r="I937" s="45" t="s">
        <v>1687</v>
      </c>
      <c r="J937" s="46" t="s">
        <v>1142</v>
      </c>
      <c r="K937" s="46" t="s">
        <v>1216</v>
      </c>
      <c r="L937" s="40" t="s">
        <v>21</v>
      </c>
      <c r="M937" s="41" t="s">
        <v>22</v>
      </c>
      <c r="N937" s="42" t="s">
        <v>23</v>
      </c>
      <c r="O937" s="43" t="s">
        <v>24</v>
      </c>
      <c r="P937" s="42" t="s">
        <v>25</v>
      </c>
      <c r="Q937" s="42" t="s">
        <v>21</v>
      </c>
      <c r="R937" s="44"/>
    </row>
    <row r="938" spans="1:18" x14ac:dyDescent="0.25">
      <c r="A938" t="str">
        <f t="shared" si="28"/>
        <v>Impianto bypass_Illuminazione bypass generale/emergenza_ANOMALIA_ILLUMINAZIONE_DIR_NORD_1-Allarme anomalia illuminazione dir. nord bypass 1</v>
      </c>
      <c r="B938" t="str">
        <f t="shared" si="29"/>
        <v>ANOMALIA_ILLUMINAZIONE_DIR_NORD_1-Allarme anomalia illuminazione dir. nord bypass 1</v>
      </c>
      <c r="C938" t="str">
        <f>VLOOKUP(B938,'[2]Classi allarmi RMT-STIG_rev4'!$C:$C,1,0)</f>
        <v>ANOMALIA_ILLUMINAZIONE_DIR_NORD_1-Allarme anomalia illuminazione dir. nord bypass 1</v>
      </c>
      <c r="D938" t="str">
        <f>VLOOKUP(B938,'EXPORT IRIS PROD 13-11-2024'!A:A,1,0)</f>
        <v>ANOMALIA_ILLUMINAZIONE_DIR_NORD_1-Allarme anomalia illuminazione dir. nord bypass 1</v>
      </c>
      <c r="E938" t="str">
        <f>VLOOKUP(H938,'EXPORT IRIS PROD 13-11-2024'!F:F,1,0)</f>
        <v>ANOMALIA_ILLUMINAZIONE_DIR_NORD_1</v>
      </c>
      <c r="F938" t="str">
        <f>VLOOKUP(I938,'EXPORT IRIS PROD 13-11-2024'!D:D,1,0)</f>
        <v>Allarme anomalia illuminazione dir. nord bypass 1</v>
      </c>
      <c r="G938" s="37" t="s">
        <v>115</v>
      </c>
      <c r="H938" s="38" t="s">
        <v>1689</v>
      </c>
      <c r="I938" s="45" t="s">
        <v>1690</v>
      </c>
      <c r="J938" s="46" t="s">
        <v>1331</v>
      </c>
      <c r="K938" s="46" t="s">
        <v>1688</v>
      </c>
      <c r="L938" s="40" t="s">
        <v>21</v>
      </c>
      <c r="M938" s="41" t="s">
        <v>22</v>
      </c>
      <c r="N938" s="42" t="s">
        <v>23</v>
      </c>
      <c r="O938" s="43" t="s">
        <v>24</v>
      </c>
      <c r="P938" s="42" t="s">
        <v>25</v>
      </c>
      <c r="Q938" s="42" t="s">
        <v>21</v>
      </c>
      <c r="R938" s="44"/>
    </row>
    <row r="939" spans="1:18" x14ac:dyDescent="0.25">
      <c r="A939" t="str">
        <f t="shared" si="28"/>
        <v>Impianto bypass_Illuminazione bypass generale/emergenza_ANOMALIA_ILLUMINAZIONE_DIR_NORD_2-Allarme anomalia illuminazione dir. nord bypass 2</v>
      </c>
      <c r="B939" t="str">
        <f t="shared" si="29"/>
        <v>ANOMALIA_ILLUMINAZIONE_DIR_NORD_2-Allarme anomalia illuminazione dir. nord bypass 2</v>
      </c>
      <c r="C939" t="str">
        <f>VLOOKUP(B939,'[2]Classi allarmi RMT-STIG_rev4'!$C:$C,1,0)</f>
        <v>ANOMALIA_ILLUMINAZIONE_DIR_NORD_2-Allarme anomalia illuminazione dir. nord bypass 2</v>
      </c>
      <c r="D939" t="str">
        <f>VLOOKUP(B939,'EXPORT IRIS PROD 13-11-2024'!A:A,1,0)</f>
        <v>ANOMALIA_ILLUMINAZIONE_DIR_NORD_2-Allarme anomalia illuminazione dir. nord bypass 2</v>
      </c>
      <c r="E939" t="str">
        <f>VLOOKUP(H939,'EXPORT IRIS PROD 13-11-2024'!F:F,1,0)</f>
        <v>ANOMALIA_ILLUMINAZIONE_DIR_NORD_2</v>
      </c>
      <c r="F939" t="str">
        <f>VLOOKUP(I939,'EXPORT IRIS PROD 13-11-2024'!D:D,1,0)</f>
        <v>Allarme anomalia illuminazione dir. nord bypass 2</v>
      </c>
      <c r="G939" s="37" t="s">
        <v>115</v>
      </c>
      <c r="H939" s="38" t="s">
        <v>1691</v>
      </c>
      <c r="I939" s="45" t="s">
        <v>1692</v>
      </c>
      <c r="J939" s="46" t="s">
        <v>1331</v>
      </c>
      <c r="K939" s="46" t="s">
        <v>1688</v>
      </c>
      <c r="L939" s="40" t="s">
        <v>21</v>
      </c>
      <c r="M939" s="41" t="s">
        <v>22</v>
      </c>
      <c r="N939" s="42" t="s">
        <v>23</v>
      </c>
      <c r="O939" s="43" t="s">
        <v>24</v>
      </c>
      <c r="P939" s="42" t="s">
        <v>25</v>
      </c>
      <c r="Q939" s="42" t="s">
        <v>21</v>
      </c>
      <c r="R939" s="44"/>
    </row>
    <row r="940" spans="1:18" x14ac:dyDescent="0.25">
      <c r="A940" t="str">
        <f t="shared" si="28"/>
        <v>Impianto bypass_Illuminazione bypass generale/emergenza_ANOMALIA_ILLUMINAZIONE_DIR_NORD_3-Allarme anomalia illuminazione dir. nord bypass 3</v>
      </c>
      <c r="B940" t="str">
        <f t="shared" si="29"/>
        <v>ANOMALIA_ILLUMINAZIONE_DIR_NORD_3-Allarme anomalia illuminazione dir. nord bypass 3</v>
      </c>
      <c r="C940" t="str">
        <f>VLOOKUP(B940,'[2]Classi allarmi RMT-STIG_rev4'!$C:$C,1,0)</f>
        <v>ANOMALIA_ILLUMINAZIONE_DIR_NORD_3-Allarme anomalia illuminazione dir. nord bypass 3</v>
      </c>
      <c r="D940" t="str">
        <f>VLOOKUP(B940,'EXPORT IRIS PROD 13-11-2024'!A:A,1,0)</f>
        <v>ANOMALIA_ILLUMINAZIONE_DIR_NORD_3-Allarme anomalia illuminazione dir. nord bypass 3</v>
      </c>
      <c r="E940" t="str">
        <f>VLOOKUP(H940,'EXPORT IRIS PROD 13-11-2024'!F:F,1,0)</f>
        <v>ANOMALIA_ILLUMINAZIONE_DIR_NORD_3</v>
      </c>
      <c r="F940" t="str">
        <f>VLOOKUP(I940,'EXPORT IRIS PROD 13-11-2024'!D:D,1,0)</f>
        <v>Allarme anomalia illuminazione dir. nord bypass 3</v>
      </c>
      <c r="G940" s="37" t="s">
        <v>115</v>
      </c>
      <c r="H940" s="38" t="s">
        <v>1693</v>
      </c>
      <c r="I940" s="45" t="s">
        <v>1694</v>
      </c>
      <c r="J940" s="46" t="s">
        <v>1331</v>
      </c>
      <c r="K940" s="46" t="s">
        <v>1688</v>
      </c>
      <c r="L940" s="40" t="s">
        <v>21</v>
      </c>
      <c r="M940" s="41" t="s">
        <v>22</v>
      </c>
      <c r="N940" s="42" t="s">
        <v>23</v>
      </c>
      <c r="O940" s="43" t="s">
        <v>24</v>
      </c>
      <c r="P940" s="42" t="s">
        <v>25</v>
      </c>
      <c r="Q940" s="42" t="s">
        <v>21</v>
      </c>
      <c r="R940" s="44"/>
    </row>
    <row r="941" spans="1:18" x14ac:dyDescent="0.25">
      <c r="A941" t="str">
        <f t="shared" si="28"/>
        <v>Impianto bypass_Illuminazione bypass generale/emergenza_ANOMALIA_ILLUMINAZIONE_DIR_SUD-Allarme anomalia illuminazione dir. sud</v>
      </c>
      <c r="B941" t="str">
        <f t="shared" si="29"/>
        <v>ANOMALIA_ILLUMINAZIONE_DIR_SUD-Allarme anomalia illuminazione dir. sud</v>
      </c>
      <c r="C941" t="str">
        <f>VLOOKUP(B941,'[2]Classi allarmi RMT-STIG_rev4'!$C:$C,1,0)</f>
        <v>ANOMALIA_ILLUMINAZIONE_DIR_SUD-Allarme anomalia illuminazione dir. sud</v>
      </c>
      <c r="D941" t="str">
        <f>VLOOKUP(B941,'EXPORT IRIS PROD 13-11-2024'!A:A,1,0)</f>
        <v>ANOMALIA_ILLUMINAZIONE_DIR_SUD-Allarme anomalia illuminazione dir. sud</v>
      </c>
      <c r="E941" t="str">
        <f>VLOOKUP(H941,'EXPORT IRIS PROD 13-11-2024'!F:F,1,0)</f>
        <v>ANOMALIA_ILLUMINAZIONE_DIR_SUD</v>
      </c>
      <c r="F941" t="str">
        <f>VLOOKUP(I941,'EXPORT IRIS PROD 13-11-2024'!D:D,1,0)</f>
        <v>Allarme anomalia illuminazione dir. sud</v>
      </c>
      <c r="G941" s="37" t="s">
        <v>115</v>
      </c>
      <c r="H941" s="38" t="s">
        <v>1695</v>
      </c>
      <c r="I941" s="45" t="s">
        <v>1696</v>
      </c>
      <c r="J941" s="46" t="s">
        <v>1331</v>
      </c>
      <c r="K941" s="46" t="s">
        <v>1688</v>
      </c>
      <c r="L941" s="40" t="s">
        <v>21</v>
      </c>
      <c r="M941" s="41" t="s">
        <v>22</v>
      </c>
      <c r="N941" s="42" t="s">
        <v>23</v>
      </c>
      <c r="O941" s="43" t="s">
        <v>24</v>
      </c>
      <c r="P941" s="42" t="s">
        <v>25</v>
      </c>
      <c r="Q941" s="42" t="s">
        <v>21</v>
      </c>
      <c r="R941" s="44"/>
    </row>
    <row r="942" spans="1:18" x14ac:dyDescent="0.25">
      <c r="A942" t="str">
        <f t="shared" si="28"/>
        <v>Impianto illuminazione_Illuminazione generale_ANOMALIA_ILLUMINAZIONE_DIR_SUD-Allarme anomalia illuminazione dir. sud</v>
      </c>
      <c r="B942" t="str">
        <f t="shared" si="29"/>
        <v>ANOMALIA_ILLUMINAZIONE_DIR_SUD-Allarme anomalia illuminazione dir. sud</v>
      </c>
      <c r="C942" t="str">
        <f>VLOOKUP(B942,'[2]Classi allarmi RMT-STIG_rev4'!$C:$C,1,0)</f>
        <v>ANOMALIA_ILLUMINAZIONE_DIR_SUD-Allarme anomalia illuminazione dir. sud</v>
      </c>
      <c r="D942" t="str">
        <f>VLOOKUP(B942,'EXPORT IRIS PROD 13-11-2024'!A:A,1,0)</f>
        <v>ANOMALIA_ILLUMINAZIONE_DIR_SUD-Allarme anomalia illuminazione dir. sud</v>
      </c>
      <c r="E942" t="str">
        <f>VLOOKUP(H942,'EXPORT IRIS PROD 13-11-2024'!F:F,1,0)</f>
        <v>ANOMALIA_ILLUMINAZIONE_DIR_SUD</v>
      </c>
      <c r="F942" t="str">
        <f>VLOOKUP(I942,'EXPORT IRIS PROD 13-11-2024'!D:D,1,0)</f>
        <v>Allarme anomalia illuminazione dir. sud</v>
      </c>
      <c r="G942" s="37" t="s">
        <v>115</v>
      </c>
      <c r="H942" s="38" t="s">
        <v>1695</v>
      </c>
      <c r="I942" s="45" t="s">
        <v>1696</v>
      </c>
      <c r="J942" s="46" t="s">
        <v>1142</v>
      </c>
      <c r="K942" s="46" t="s">
        <v>1216</v>
      </c>
      <c r="L942" s="40" t="s">
        <v>21</v>
      </c>
      <c r="M942" s="41" t="s">
        <v>22</v>
      </c>
      <c r="N942" s="42" t="s">
        <v>23</v>
      </c>
      <c r="O942" s="43" t="s">
        <v>24</v>
      </c>
      <c r="P942" s="42" t="s">
        <v>25</v>
      </c>
      <c r="Q942" s="42" t="s">
        <v>21</v>
      </c>
      <c r="R942" s="44"/>
    </row>
    <row r="943" spans="1:18" x14ac:dyDescent="0.25">
      <c r="A943" t="str">
        <f t="shared" si="28"/>
        <v>Impianto bypass_Illuminazione bypass generale/emergenza_ANOMALIA_ILLUMINAZIONE_DIR_SUD_1-Allarme anomalia illuminazione dir. sud bypass 1</v>
      </c>
      <c r="B943" t="str">
        <f t="shared" si="29"/>
        <v>ANOMALIA_ILLUMINAZIONE_DIR_SUD_1-Allarme anomalia illuminazione dir. sud bypass 1</v>
      </c>
      <c r="C943" t="str">
        <f>VLOOKUP(B943,'[2]Classi allarmi RMT-STIG_rev4'!$C:$C,1,0)</f>
        <v>ANOMALIA_ILLUMINAZIONE_DIR_SUD_1-Allarme anomalia illuminazione dir. sud bypass 1</v>
      </c>
      <c r="D943" t="str">
        <f>VLOOKUP(B943,'EXPORT IRIS PROD 13-11-2024'!A:A,1,0)</f>
        <v>ANOMALIA_ILLUMINAZIONE_DIR_SUD_1-Allarme anomalia illuminazione dir. sud bypass 1</v>
      </c>
      <c r="E943" t="str">
        <f>VLOOKUP(H943,'EXPORT IRIS PROD 13-11-2024'!F:F,1,0)</f>
        <v>ANOMALIA_ILLUMINAZIONE_DIR_SUD_1</v>
      </c>
      <c r="F943" t="str">
        <f>VLOOKUP(I943,'EXPORT IRIS PROD 13-11-2024'!D:D,1,0)</f>
        <v>Allarme anomalia illuminazione dir. sud bypass 1</v>
      </c>
      <c r="G943" s="37" t="s">
        <v>115</v>
      </c>
      <c r="H943" s="38" t="s">
        <v>1697</v>
      </c>
      <c r="I943" s="45" t="s">
        <v>1698</v>
      </c>
      <c r="J943" s="46" t="s">
        <v>1331</v>
      </c>
      <c r="K943" s="46" t="s">
        <v>1688</v>
      </c>
      <c r="L943" s="40" t="s">
        <v>21</v>
      </c>
      <c r="M943" s="41" t="s">
        <v>22</v>
      </c>
      <c r="N943" s="42" t="s">
        <v>23</v>
      </c>
      <c r="O943" s="43" t="s">
        <v>24</v>
      </c>
      <c r="P943" s="42" t="s">
        <v>25</v>
      </c>
      <c r="Q943" s="42" t="s">
        <v>21</v>
      </c>
      <c r="R943" s="44"/>
    </row>
    <row r="944" spans="1:18" x14ac:dyDescent="0.25">
      <c r="A944" t="str">
        <f t="shared" si="28"/>
        <v>Impianto bypass_Illuminazione bypass generale/emergenza_ANOMALIA_ILLUMINAZIONE_DIR_SUD_2-Allarme anomalia illuminazione dir. sud bypass 2</v>
      </c>
      <c r="B944" t="str">
        <f t="shared" si="29"/>
        <v>ANOMALIA_ILLUMINAZIONE_DIR_SUD_2-Allarme anomalia illuminazione dir. sud bypass 2</v>
      </c>
      <c r="C944" t="str">
        <f>VLOOKUP(B944,'[2]Classi allarmi RMT-STIG_rev4'!$C:$C,1,0)</f>
        <v>ANOMALIA_ILLUMINAZIONE_DIR_SUD_2-Allarme anomalia illuminazione dir. sud bypass 2</v>
      </c>
      <c r="D944" t="str">
        <f>VLOOKUP(B944,'EXPORT IRIS PROD 13-11-2024'!A:A,1,0)</f>
        <v>ANOMALIA_ILLUMINAZIONE_DIR_SUD_2-Allarme anomalia illuminazione dir. sud bypass 2</v>
      </c>
      <c r="E944" t="str">
        <f>VLOOKUP(H944,'EXPORT IRIS PROD 13-11-2024'!F:F,1,0)</f>
        <v>ANOMALIA_ILLUMINAZIONE_DIR_SUD_2</v>
      </c>
      <c r="F944" t="str">
        <f>VLOOKUP(I944,'EXPORT IRIS PROD 13-11-2024'!D:D,1,0)</f>
        <v>Allarme anomalia illuminazione dir. sud bypass 2</v>
      </c>
      <c r="G944" s="37" t="s">
        <v>115</v>
      </c>
      <c r="H944" s="38" t="s">
        <v>1699</v>
      </c>
      <c r="I944" s="45" t="s">
        <v>1700</v>
      </c>
      <c r="J944" s="46" t="s">
        <v>1331</v>
      </c>
      <c r="K944" s="46" t="s">
        <v>1688</v>
      </c>
      <c r="L944" s="40" t="s">
        <v>21</v>
      </c>
      <c r="M944" s="41" t="s">
        <v>22</v>
      </c>
      <c r="N944" s="42" t="s">
        <v>23</v>
      </c>
      <c r="O944" s="43" t="s">
        <v>24</v>
      </c>
      <c r="P944" s="42" t="s">
        <v>25</v>
      </c>
      <c r="Q944" s="42" t="s">
        <v>21</v>
      </c>
      <c r="R944" s="44"/>
    </row>
    <row r="945" spans="1:18" x14ac:dyDescent="0.25">
      <c r="A945" t="str">
        <f t="shared" si="28"/>
        <v>Impianto bypass_Illuminazione bypass generale/emergenza_ANOMALIA_ILLUMINAZIONE_DIR_SUD_3-Allarme anomalia illuminazione dir. sud bypass 3</v>
      </c>
      <c r="B945" t="str">
        <f t="shared" si="29"/>
        <v>ANOMALIA_ILLUMINAZIONE_DIR_SUD_3-Allarme anomalia illuminazione dir. sud bypass 3</v>
      </c>
      <c r="C945" t="str">
        <f>VLOOKUP(B945,'[2]Classi allarmi RMT-STIG_rev4'!$C:$C,1,0)</f>
        <v>ANOMALIA_ILLUMINAZIONE_DIR_SUD_3-Allarme anomalia illuminazione dir. sud bypass 3</v>
      </c>
      <c r="D945" t="str">
        <f>VLOOKUP(B945,'EXPORT IRIS PROD 13-11-2024'!A:A,1,0)</f>
        <v>ANOMALIA_ILLUMINAZIONE_DIR_SUD_3-Allarme anomalia illuminazione dir. sud bypass 3</v>
      </c>
      <c r="E945" t="str">
        <f>VLOOKUP(H945,'EXPORT IRIS PROD 13-11-2024'!F:F,1,0)</f>
        <v>ANOMALIA_ILLUMINAZIONE_DIR_SUD_3</v>
      </c>
      <c r="F945" t="str">
        <f>VLOOKUP(I945,'EXPORT IRIS PROD 13-11-2024'!D:D,1,0)</f>
        <v>Allarme anomalia illuminazione dir. sud bypass 3</v>
      </c>
      <c r="G945" s="37" t="s">
        <v>115</v>
      </c>
      <c r="H945" s="38" t="s">
        <v>1701</v>
      </c>
      <c r="I945" s="45" t="s">
        <v>1702</v>
      </c>
      <c r="J945" s="46" t="s">
        <v>1331</v>
      </c>
      <c r="K945" s="46" t="s">
        <v>1688</v>
      </c>
      <c r="L945" s="40" t="s">
        <v>21</v>
      </c>
      <c r="M945" s="41" t="s">
        <v>22</v>
      </c>
      <c r="N945" s="42" t="s">
        <v>23</v>
      </c>
      <c r="O945" s="43" t="s">
        <v>24</v>
      </c>
      <c r="P945" s="42" t="s">
        <v>25</v>
      </c>
      <c r="Q945" s="42" t="s">
        <v>21</v>
      </c>
      <c r="R945" s="44"/>
    </row>
    <row r="946" spans="1:18" x14ac:dyDescent="0.25">
      <c r="A946" t="str">
        <f t="shared" si="28"/>
        <v>Impianto rete dati_PLC primario/di cabina_ANOMALIA_PLC-Anomalia plc</v>
      </c>
      <c r="B946" t="str">
        <f t="shared" si="29"/>
        <v>ANOMALIA_PLC-Anomalia plc</v>
      </c>
      <c r="C946" t="str">
        <f>VLOOKUP(B946,'[2]Classi allarmi RMT-STIG_rev4'!$C:$C,1,0)</f>
        <v>ANOMALIA_PLC-Anomalia plc</v>
      </c>
      <c r="D946" t="str">
        <f>VLOOKUP(B946,'EXPORT IRIS PROD 13-11-2024'!A:A,1,0)</f>
        <v>ANOMALIA_PLC-Anomalia plc</v>
      </c>
      <c r="E946" t="str">
        <f>VLOOKUP(H946,'EXPORT IRIS PROD 13-11-2024'!F:F,1,0)</f>
        <v>ANOMALIA_PLC</v>
      </c>
      <c r="F946" t="str">
        <f>VLOOKUP(I946,'EXPORT IRIS PROD 13-11-2024'!D:D,1,0)</f>
        <v>Anomalia plc</v>
      </c>
      <c r="G946" s="37" t="s">
        <v>16</v>
      </c>
      <c r="H946" s="38" t="s">
        <v>1703</v>
      </c>
      <c r="I946" s="45" t="s">
        <v>1704</v>
      </c>
      <c r="J946" s="46" t="s">
        <v>1156</v>
      </c>
      <c r="K946" s="46" t="s">
        <v>1157</v>
      </c>
      <c r="L946" s="40" t="s">
        <v>31</v>
      </c>
      <c r="M946" s="41" t="s">
        <v>32</v>
      </c>
      <c r="N946" s="42">
        <v>3</v>
      </c>
      <c r="O946" s="43" t="s">
        <v>33</v>
      </c>
      <c r="P946" s="42" t="s">
        <v>34</v>
      </c>
      <c r="Q946" s="42" t="s">
        <v>31</v>
      </c>
      <c r="R946" s="44"/>
    </row>
    <row r="947" spans="1:18" x14ac:dyDescent="0.25">
      <c r="A947" t="str">
        <f t="shared" si="28"/>
        <v>Impianto videosorveglianza_TVCC generale_CAMERA_FAULT_DIR_NORD-Allarme camera KO dir. nord</v>
      </c>
      <c r="B947" t="str">
        <f t="shared" si="29"/>
        <v>CAMERA_FAULT_DIR_NORD-Allarme camera KO dir. nord</v>
      </c>
      <c r="C947" t="str">
        <f>VLOOKUP(B947,'[2]Classi allarmi RMT-STIG_rev4'!$C:$C,1,0)</f>
        <v>CAMERA_FAULT_DIR_NORD-Allarme camera KO dir. nord</v>
      </c>
      <c r="D947" t="str">
        <f>VLOOKUP(B947,'EXPORT IRIS PROD 13-11-2024'!A:A,1,0)</f>
        <v>CAMERA_FAULT_DIR_NORD-Allarme camera KO dir. nord</v>
      </c>
      <c r="E947" t="str">
        <f>VLOOKUP(H947,'EXPORT IRIS PROD 13-11-2024'!F:F,1,0)</f>
        <v>CAMERA_FAULT_DIR_NORD</v>
      </c>
      <c r="F947" t="str">
        <f>VLOOKUP(I947,'EXPORT IRIS PROD 13-11-2024'!D:D,1,0)</f>
        <v>Allarme camera KO dir. nord</v>
      </c>
      <c r="G947" s="37" t="s">
        <v>198</v>
      </c>
      <c r="H947" s="38" t="s">
        <v>1705</v>
      </c>
      <c r="I947" s="45" t="s">
        <v>1706</v>
      </c>
      <c r="J947" s="46" t="s">
        <v>1337</v>
      </c>
      <c r="K947" s="46" t="s">
        <v>1338</v>
      </c>
      <c r="L947" s="40" t="s">
        <v>21</v>
      </c>
      <c r="M947" s="41" t="s">
        <v>22</v>
      </c>
      <c r="N947" s="42" t="s">
        <v>23</v>
      </c>
      <c r="O947" s="43" t="s">
        <v>24</v>
      </c>
      <c r="P947" s="42" t="s">
        <v>25</v>
      </c>
      <c r="Q947" s="42" t="s">
        <v>21</v>
      </c>
      <c r="R947" s="44"/>
    </row>
    <row r="948" spans="1:18" x14ac:dyDescent="0.25">
      <c r="A948" t="str">
        <f t="shared" si="28"/>
        <v>Impianto videosorveglianza_TVCC generale_CAMERA_FAULT_DIR_SUD-Allarme camera KO dir. sud</v>
      </c>
      <c r="B948" t="str">
        <f t="shared" si="29"/>
        <v>CAMERA_FAULT_DIR_SUD-Allarme camera KO dir. sud</v>
      </c>
      <c r="C948" t="str">
        <f>VLOOKUP(B948,'[2]Classi allarmi RMT-STIG_rev4'!$C:$C,1,0)</f>
        <v>CAMERA_FAULT_DIR_SUD-Allarme camera KO dir. sud</v>
      </c>
      <c r="D948" t="str">
        <f>VLOOKUP(B948,'EXPORT IRIS PROD 13-11-2024'!A:A,1,0)</f>
        <v>CAMERA_FAULT_DIR_SUD-Allarme camera KO dir. sud</v>
      </c>
      <c r="E948" t="str">
        <f>VLOOKUP(H948,'EXPORT IRIS PROD 13-11-2024'!F:F,1,0)</f>
        <v>CAMERA_FAULT_DIR_SUD</v>
      </c>
      <c r="F948" t="str">
        <f>VLOOKUP(I948,'EXPORT IRIS PROD 13-11-2024'!D:D,1,0)</f>
        <v>Allarme camera KO dir. sud</v>
      </c>
      <c r="G948" s="37" t="s">
        <v>198</v>
      </c>
      <c r="H948" s="38" t="s">
        <v>1707</v>
      </c>
      <c r="I948" s="45" t="s">
        <v>1708</v>
      </c>
      <c r="J948" s="46" t="s">
        <v>1337</v>
      </c>
      <c r="K948" s="46" t="s">
        <v>1338</v>
      </c>
      <c r="L948" s="40" t="s">
        <v>21</v>
      </c>
      <c r="M948" s="41" t="s">
        <v>22</v>
      </c>
      <c r="N948" s="42" t="s">
        <v>23</v>
      </c>
      <c r="O948" s="43" t="s">
        <v>24</v>
      </c>
      <c r="P948" s="42" t="s">
        <v>25</v>
      </c>
      <c r="Q948" s="42" t="s">
        <v>21</v>
      </c>
      <c r="R948" s="44"/>
    </row>
    <row r="949" spans="1:18" x14ac:dyDescent="0.25">
      <c r="A949" t="str">
        <f t="shared" si="28"/>
        <v>Impianto videosorveglianza_Telecamera_CODA_CORSIA_1-Allarme coda in corsia di emergenza</v>
      </c>
      <c r="B949" t="str">
        <f t="shared" si="29"/>
        <v>CODA_CORSIA_1-Allarme coda in corsia di emergenza</v>
      </c>
      <c r="C949" t="str">
        <f>VLOOKUP(B949,'[2]Classi allarmi RMT-STIG_rev4'!$C:$C,1,0)</f>
        <v>CODA_CORSIA_1-Allarme coda in corsia di emergenza</v>
      </c>
      <c r="D949" t="str">
        <f>VLOOKUP(B949,'EXPORT IRIS PROD 13-11-2024'!A:A,1,0)</f>
        <v>CODA_CORSIA_1-Allarme coda in corsia di emergenza</v>
      </c>
      <c r="E949" t="str">
        <f>VLOOKUP(H949,'EXPORT IRIS PROD 13-11-2024'!F:F,1,0)</f>
        <v>CODA_CORSIA_1</v>
      </c>
      <c r="F949" t="str">
        <f>VLOOKUP(I949,'EXPORT IRIS PROD 13-11-2024'!D:D,1,0)</f>
        <v>Allarme coda in corsia di emergenza</v>
      </c>
      <c r="G949" s="37" t="s">
        <v>807</v>
      </c>
      <c r="H949" s="38" t="s">
        <v>1709</v>
      </c>
      <c r="I949" s="45" t="s">
        <v>1710</v>
      </c>
      <c r="J949" s="46" t="s">
        <v>1337</v>
      </c>
      <c r="K949" s="46" t="s">
        <v>1321</v>
      </c>
      <c r="L949" s="47" t="s">
        <v>31</v>
      </c>
      <c r="M949" s="48" t="s">
        <v>32</v>
      </c>
      <c r="N949" s="43">
        <v>1</v>
      </c>
      <c r="O949" s="43" t="s">
        <v>24</v>
      </c>
      <c r="P949" s="43" t="s">
        <v>25</v>
      </c>
      <c r="Q949" s="42" t="s">
        <v>21</v>
      </c>
      <c r="R949" s="44"/>
    </row>
    <row r="950" spans="1:18" x14ac:dyDescent="0.25">
      <c r="A950" t="str">
        <f t="shared" si="28"/>
        <v>Impianto videosorveglianza_Telecamera_CODA_CORSIA_LENTA-Allarme coda in corsia lenta</v>
      </c>
      <c r="B950" t="str">
        <f t="shared" si="29"/>
        <v>CODA_CORSIA_LENTA-Allarme coda in corsia lenta</v>
      </c>
      <c r="C950" t="str">
        <f>VLOOKUP(B950,'[2]Classi allarmi RMT-STIG_rev4'!$C:$C,1,0)</f>
        <v>CODA_CORSIA_LENTA-Allarme coda in corsia lenta</v>
      </c>
      <c r="D950" t="str">
        <f>VLOOKUP(B950,'EXPORT IRIS PROD 13-11-2024'!A:A,1,0)</f>
        <v>CODA_CORSIA_LENTA-Allarme coda in corsia lenta</v>
      </c>
      <c r="E950" t="str">
        <f>VLOOKUP(H950,'EXPORT IRIS PROD 13-11-2024'!F:F,1,0)</f>
        <v>CODA_CORSIA_LENTA</v>
      </c>
      <c r="F950" t="str">
        <f>VLOOKUP(I950,'EXPORT IRIS PROD 13-11-2024'!D:D,1,0)</f>
        <v>Allarme coda in corsia lenta</v>
      </c>
      <c r="G950" s="37" t="s">
        <v>807</v>
      </c>
      <c r="H950" s="38" t="s">
        <v>1711</v>
      </c>
      <c r="I950" s="38" t="s">
        <v>1712</v>
      </c>
      <c r="J950" s="39" t="s">
        <v>1337</v>
      </c>
      <c r="K950" s="39" t="s">
        <v>1321</v>
      </c>
      <c r="L950" s="40" t="s">
        <v>31</v>
      </c>
      <c r="M950" s="41" t="s">
        <v>32</v>
      </c>
      <c r="N950" s="43">
        <v>1</v>
      </c>
      <c r="O950" s="43" t="s">
        <v>24</v>
      </c>
      <c r="P950" s="42" t="s">
        <v>25</v>
      </c>
      <c r="Q950" s="42" t="s">
        <v>21</v>
      </c>
      <c r="R950" s="44"/>
    </row>
    <row r="951" spans="1:18" x14ac:dyDescent="0.25">
      <c r="A951" t="str">
        <f t="shared" si="28"/>
        <v>Impianto videosorveglianza_Telecamera_CODA_CORSIA_MARCIA_NORD-Allarme coda in corsia di marcia dir. nord</v>
      </c>
      <c r="B951" t="str">
        <f t="shared" si="29"/>
        <v>CODA_CORSIA_MARCIA_NORD-Allarme coda in corsia di marcia dir. nord</v>
      </c>
      <c r="C951" t="str">
        <f>VLOOKUP(B951,'[2]Classi allarmi RMT-STIG_rev4'!$C:$C,1,0)</f>
        <v>CODA_CORSIA_MARCIA_NORD-Allarme coda in corsia di marcia dir. nord</v>
      </c>
      <c r="D951" t="str">
        <f>VLOOKUP(B951,'EXPORT IRIS PROD 13-11-2024'!A:A,1,0)</f>
        <v>CODA_CORSIA_MARCIA_NORD-Allarme coda in corsia di marcia dir. nord</v>
      </c>
      <c r="E951" t="str">
        <f>VLOOKUP(H951,'EXPORT IRIS PROD 13-11-2024'!F:F,1,0)</f>
        <v>CODA_CORSIA_MARCIA_NORD</v>
      </c>
      <c r="F951" t="str">
        <f>VLOOKUP(I951,'EXPORT IRIS PROD 13-11-2024'!D:D,1,0)</f>
        <v>Allarme coda in corsia di marcia dir. nord</v>
      </c>
      <c r="G951" s="37" t="s">
        <v>807</v>
      </c>
      <c r="H951" s="38" t="s">
        <v>1713</v>
      </c>
      <c r="I951" s="45" t="s">
        <v>1714</v>
      </c>
      <c r="J951" s="46" t="s">
        <v>1337</v>
      </c>
      <c r="K951" s="46" t="s">
        <v>1321</v>
      </c>
      <c r="L951" s="47" t="s">
        <v>31</v>
      </c>
      <c r="M951" s="48" t="s">
        <v>32</v>
      </c>
      <c r="N951" s="43">
        <v>1</v>
      </c>
      <c r="O951" s="43" t="s">
        <v>24</v>
      </c>
      <c r="P951" s="43" t="s">
        <v>25</v>
      </c>
      <c r="Q951" s="42" t="s">
        <v>21</v>
      </c>
      <c r="R951" s="44"/>
    </row>
    <row r="952" spans="1:18" x14ac:dyDescent="0.25">
      <c r="A952" t="str">
        <f t="shared" si="28"/>
        <v>Impianto videosorveglianza_TVCC generale_CODA_CORSIA_MARCIA_NORD-Allarme coda in corsia di marcia dir. nord</v>
      </c>
      <c r="B952" t="str">
        <f t="shared" si="29"/>
        <v>CODA_CORSIA_MARCIA_NORD-Allarme coda in corsia di marcia dir. nord</v>
      </c>
      <c r="C952" t="str">
        <f>VLOOKUP(B952,'[2]Classi allarmi RMT-STIG_rev4'!$C:$C,1,0)</f>
        <v>CODA_CORSIA_MARCIA_NORD-Allarme coda in corsia di marcia dir. nord</v>
      </c>
      <c r="D952" t="str">
        <f>VLOOKUP(B952,'EXPORT IRIS PROD 13-11-2024'!A:A,1,0)</f>
        <v>CODA_CORSIA_MARCIA_NORD-Allarme coda in corsia di marcia dir. nord</v>
      </c>
      <c r="E952" t="str">
        <f>VLOOKUP(H952,'EXPORT IRIS PROD 13-11-2024'!F:F,1,0)</f>
        <v>CODA_CORSIA_MARCIA_NORD</v>
      </c>
      <c r="F952" t="str">
        <f>VLOOKUP(I952,'EXPORT IRIS PROD 13-11-2024'!D:D,1,0)</f>
        <v>Allarme coda in corsia di marcia dir. nord</v>
      </c>
      <c r="G952" s="37" t="s">
        <v>807</v>
      </c>
      <c r="H952" s="38" t="s">
        <v>1713</v>
      </c>
      <c r="I952" s="45" t="s">
        <v>1714</v>
      </c>
      <c r="J952" s="46" t="s">
        <v>1337</v>
      </c>
      <c r="K952" s="46" t="s">
        <v>1338</v>
      </c>
      <c r="L952" s="47" t="s">
        <v>31</v>
      </c>
      <c r="M952" s="48" t="s">
        <v>32</v>
      </c>
      <c r="N952" s="43">
        <v>1</v>
      </c>
      <c r="O952" s="43" t="s">
        <v>24</v>
      </c>
      <c r="P952" s="43" t="s">
        <v>25</v>
      </c>
      <c r="Q952" s="42" t="s">
        <v>21</v>
      </c>
      <c r="R952" s="44"/>
    </row>
    <row r="953" spans="1:18" x14ac:dyDescent="0.25">
      <c r="A953" t="str">
        <f t="shared" si="28"/>
        <v>Impianto videosorveglianza_Telecamera_CODA_CORSIA_MARCIA_SUD-Allarme coda in corsia di marcia dir. sud</v>
      </c>
      <c r="B953" t="str">
        <f t="shared" si="29"/>
        <v>CODA_CORSIA_MARCIA_SUD-Allarme coda in corsia di marcia dir. sud</v>
      </c>
      <c r="C953" t="str">
        <f>VLOOKUP(B953,'[2]Classi allarmi RMT-STIG_rev4'!$C:$C,1,0)</f>
        <v>CODA_CORSIA_MARCIA_SUD-Allarme coda in corsia di marcia dir. sud</v>
      </c>
      <c r="D953" t="str">
        <f>VLOOKUP(B953,'EXPORT IRIS PROD 13-11-2024'!A:A,1,0)</f>
        <v>CODA_CORSIA_MARCIA_SUD-Allarme coda in corsia di marcia dir. sud</v>
      </c>
      <c r="E953" t="str">
        <f>VLOOKUP(H953,'EXPORT IRIS PROD 13-11-2024'!F:F,1,0)</f>
        <v>CODA_CORSIA_MARCIA_SUD</v>
      </c>
      <c r="F953" t="str">
        <f>VLOOKUP(I953,'EXPORT IRIS PROD 13-11-2024'!D:D,1,0)</f>
        <v>Allarme coda in corsia di marcia dir. sud</v>
      </c>
      <c r="G953" s="37" t="s">
        <v>807</v>
      </c>
      <c r="H953" s="38" t="s">
        <v>1715</v>
      </c>
      <c r="I953" s="45" t="s">
        <v>1716</v>
      </c>
      <c r="J953" s="46" t="s">
        <v>1337</v>
      </c>
      <c r="K953" s="46" t="s">
        <v>1321</v>
      </c>
      <c r="L953" s="47" t="s">
        <v>31</v>
      </c>
      <c r="M953" s="48" t="s">
        <v>32</v>
      </c>
      <c r="N953" s="43">
        <v>1</v>
      </c>
      <c r="O953" s="43" t="s">
        <v>24</v>
      </c>
      <c r="P953" s="43" t="s">
        <v>25</v>
      </c>
      <c r="Q953" s="42" t="s">
        <v>21</v>
      </c>
      <c r="R953" s="44"/>
    </row>
    <row r="954" spans="1:18" x14ac:dyDescent="0.25">
      <c r="A954" t="str">
        <f t="shared" si="28"/>
        <v>Impianto videosorveglianza_TVCC generale_CODA_CORSIA_MARCIA_SUD-Allarme coda in corsia di marcia dir. sud</v>
      </c>
      <c r="B954" t="str">
        <f t="shared" si="29"/>
        <v>CODA_CORSIA_MARCIA_SUD-Allarme coda in corsia di marcia dir. sud</v>
      </c>
      <c r="C954" t="str">
        <f>VLOOKUP(B954,'[2]Classi allarmi RMT-STIG_rev4'!$C:$C,1,0)</f>
        <v>CODA_CORSIA_MARCIA_SUD-Allarme coda in corsia di marcia dir. sud</v>
      </c>
      <c r="D954" t="str">
        <f>VLOOKUP(B954,'EXPORT IRIS PROD 13-11-2024'!A:A,1,0)</f>
        <v>CODA_CORSIA_MARCIA_SUD-Allarme coda in corsia di marcia dir. sud</v>
      </c>
      <c r="E954" t="str">
        <f>VLOOKUP(H954,'EXPORT IRIS PROD 13-11-2024'!F:F,1,0)</f>
        <v>CODA_CORSIA_MARCIA_SUD</v>
      </c>
      <c r="F954" t="str">
        <f>VLOOKUP(I954,'EXPORT IRIS PROD 13-11-2024'!D:D,1,0)</f>
        <v>Allarme coda in corsia di marcia dir. sud</v>
      </c>
      <c r="G954" s="37" t="s">
        <v>807</v>
      </c>
      <c r="H954" s="38" t="s">
        <v>1715</v>
      </c>
      <c r="I954" s="45" t="s">
        <v>1716</v>
      </c>
      <c r="J954" s="46" t="s">
        <v>1337</v>
      </c>
      <c r="K954" s="46" t="s">
        <v>1338</v>
      </c>
      <c r="L954" s="47" t="s">
        <v>31</v>
      </c>
      <c r="M954" s="48" t="s">
        <v>32</v>
      </c>
      <c r="N954" s="43">
        <v>1</v>
      </c>
      <c r="O954" s="43" t="s">
        <v>24</v>
      </c>
      <c r="P954" s="43" t="s">
        <v>25</v>
      </c>
      <c r="Q954" s="42" t="s">
        <v>21</v>
      </c>
      <c r="R954" s="44"/>
    </row>
    <row r="955" spans="1:18" x14ac:dyDescent="0.25">
      <c r="A955" t="str">
        <f t="shared" si="28"/>
        <v>Impianto videosorveglianza_Telecamera_CODA_CORSIA_SORPASSO_NORD-Allarme coda in corsia di sorpasso dir. nord</v>
      </c>
      <c r="B955" t="str">
        <f t="shared" si="29"/>
        <v>CODA_CORSIA_SORPASSO_NORD-Allarme coda in corsia di sorpasso dir. nord</v>
      </c>
      <c r="C955" t="str">
        <f>VLOOKUP(B955,'[2]Classi allarmi RMT-STIG_rev4'!$C:$C,1,0)</f>
        <v>CODA_CORSIA_SORPASSO_NORD-Allarme coda in corsia di sorpasso dir. nord</v>
      </c>
      <c r="D955" t="str">
        <f>VLOOKUP(B955,'EXPORT IRIS PROD 13-11-2024'!A:A,1,0)</f>
        <v>CODA_CORSIA_SORPASSO_NORD-Allarme coda in corsia di sorpasso dir. nord</v>
      </c>
      <c r="E955" t="str">
        <f>VLOOKUP(H955,'EXPORT IRIS PROD 13-11-2024'!F:F,1,0)</f>
        <v>CODA_CORSIA_SORPASSO_NORD</v>
      </c>
      <c r="F955" t="str">
        <f>VLOOKUP(I955,'EXPORT IRIS PROD 13-11-2024'!D:D,1,0)</f>
        <v>Allarme coda in corsia di sorpasso dir. nord</v>
      </c>
      <c r="G955" s="37" t="s">
        <v>807</v>
      </c>
      <c r="H955" s="38" t="s">
        <v>1717</v>
      </c>
      <c r="I955" s="45" t="s">
        <v>1718</v>
      </c>
      <c r="J955" s="46" t="s">
        <v>1337</v>
      </c>
      <c r="K955" s="46" t="s">
        <v>1321</v>
      </c>
      <c r="L955" s="47" t="s">
        <v>31</v>
      </c>
      <c r="M955" s="48" t="s">
        <v>32</v>
      </c>
      <c r="N955" s="43">
        <v>1</v>
      </c>
      <c r="O955" s="43" t="s">
        <v>24</v>
      </c>
      <c r="P955" s="43" t="s">
        <v>25</v>
      </c>
      <c r="Q955" s="42" t="s">
        <v>21</v>
      </c>
      <c r="R955" s="44"/>
    </row>
    <row r="956" spans="1:18" x14ac:dyDescent="0.25">
      <c r="A956" t="str">
        <f t="shared" si="28"/>
        <v>Impianto videosorveglianza_TVCC generale_CODA_CORSIA_SORPASSO_NORD-Allarme coda in corsia di sorpasso dir. nord</v>
      </c>
      <c r="B956" t="str">
        <f t="shared" si="29"/>
        <v>CODA_CORSIA_SORPASSO_NORD-Allarme coda in corsia di sorpasso dir. nord</v>
      </c>
      <c r="C956" t="str">
        <f>VLOOKUP(B956,'[2]Classi allarmi RMT-STIG_rev4'!$C:$C,1,0)</f>
        <v>CODA_CORSIA_SORPASSO_NORD-Allarme coda in corsia di sorpasso dir. nord</v>
      </c>
      <c r="D956" t="str">
        <f>VLOOKUP(B956,'EXPORT IRIS PROD 13-11-2024'!A:A,1,0)</f>
        <v>CODA_CORSIA_SORPASSO_NORD-Allarme coda in corsia di sorpasso dir. nord</v>
      </c>
      <c r="E956" t="str">
        <f>VLOOKUP(H956,'EXPORT IRIS PROD 13-11-2024'!F:F,1,0)</f>
        <v>CODA_CORSIA_SORPASSO_NORD</v>
      </c>
      <c r="F956" t="str">
        <f>VLOOKUP(I956,'EXPORT IRIS PROD 13-11-2024'!D:D,1,0)</f>
        <v>Allarme coda in corsia di sorpasso dir. nord</v>
      </c>
      <c r="G956" s="37" t="s">
        <v>807</v>
      </c>
      <c r="H956" s="38" t="s">
        <v>1717</v>
      </c>
      <c r="I956" s="45" t="s">
        <v>1718</v>
      </c>
      <c r="J956" s="46" t="s">
        <v>1337</v>
      </c>
      <c r="K956" s="46" t="s">
        <v>1338</v>
      </c>
      <c r="L956" s="47" t="s">
        <v>31</v>
      </c>
      <c r="M956" s="48" t="s">
        <v>32</v>
      </c>
      <c r="N956" s="43">
        <v>1</v>
      </c>
      <c r="O956" s="43" t="s">
        <v>24</v>
      </c>
      <c r="P956" s="43" t="s">
        <v>25</v>
      </c>
      <c r="Q956" s="42" t="s">
        <v>21</v>
      </c>
      <c r="R956" s="44"/>
    </row>
    <row r="957" spans="1:18" x14ac:dyDescent="0.25">
      <c r="A957" t="str">
        <f t="shared" si="28"/>
        <v>Impianto videosorveglianza_TVCC generale_CODA_CORSIA_SORPASSO_SUD-Allarme coda in corsia di sorpasso dir. sud</v>
      </c>
      <c r="B957" t="str">
        <f t="shared" si="29"/>
        <v>CODA_CORSIA_SORPASSO_SUD-Allarme coda in corsia di sorpasso dir. sud</v>
      </c>
      <c r="C957" t="str">
        <f>VLOOKUP(B957,'[2]Classi allarmi RMT-STIG_rev4'!$C:$C,1,0)</f>
        <v>CODA_CORSIA_SORPASSO_SUD-Allarme coda in corsia di sorpasso dir. sud</v>
      </c>
      <c r="D957" t="str">
        <f>VLOOKUP(B957,'EXPORT IRIS PROD 13-11-2024'!A:A,1,0)</f>
        <v>CODA_CORSIA_SORPASSO_SUD-Allarme coda in corsia di sorpasso dir. sud</v>
      </c>
      <c r="E957" t="str">
        <f>VLOOKUP(H957,'EXPORT IRIS PROD 13-11-2024'!F:F,1,0)</f>
        <v>CODA_CORSIA_SORPASSO_SUD</v>
      </c>
      <c r="F957" t="str">
        <f>VLOOKUP(I957,'EXPORT IRIS PROD 13-11-2024'!D:D,1,0)</f>
        <v>Allarme coda in corsia di sorpasso dir. sud</v>
      </c>
      <c r="G957" s="37" t="s">
        <v>807</v>
      </c>
      <c r="H957" s="38" t="s">
        <v>1719</v>
      </c>
      <c r="I957" s="45" t="s">
        <v>1720</v>
      </c>
      <c r="J957" s="46" t="s">
        <v>1337</v>
      </c>
      <c r="K957" s="46" t="s">
        <v>1338</v>
      </c>
      <c r="L957" s="47" t="s">
        <v>31</v>
      </c>
      <c r="M957" s="48" t="s">
        <v>32</v>
      </c>
      <c r="N957" s="43">
        <v>1</v>
      </c>
      <c r="O957" s="43" t="s">
        <v>24</v>
      </c>
      <c r="P957" s="43" t="s">
        <v>25</v>
      </c>
      <c r="Q957" s="42" t="s">
        <v>21</v>
      </c>
      <c r="R957" s="44"/>
    </row>
    <row r="958" spans="1:18" x14ac:dyDescent="0.25">
      <c r="A958" t="str">
        <f t="shared" si="28"/>
        <v>Impianto videosorveglianza_Telecamera_CODA_CORSIA_SORPASSO_SUD-Allarme coda in corsia di sorpasso dir. sud</v>
      </c>
      <c r="B958" t="str">
        <f t="shared" si="29"/>
        <v>CODA_CORSIA_SORPASSO_SUD-Allarme coda in corsia di sorpasso dir. sud</v>
      </c>
      <c r="C958" t="str">
        <f>VLOOKUP(B958,'[2]Classi allarmi RMT-STIG_rev4'!$C:$C,1,0)</f>
        <v>CODA_CORSIA_SORPASSO_SUD-Allarme coda in corsia di sorpasso dir. sud</v>
      </c>
      <c r="D958" t="str">
        <f>VLOOKUP(B958,'EXPORT IRIS PROD 13-11-2024'!A:A,1,0)</f>
        <v>CODA_CORSIA_SORPASSO_SUD-Allarme coda in corsia di sorpasso dir. sud</v>
      </c>
      <c r="E958" t="str">
        <f>VLOOKUP(H958,'EXPORT IRIS PROD 13-11-2024'!F:F,1,0)</f>
        <v>CODA_CORSIA_SORPASSO_SUD</v>
      </c>
      <c r="F958" t="str">
        <f>VLOOKUP(I958,'EXPORT IRIS PROD 13-11-2024'!D:D,1,0)</f>
        <v>Allarme coda in corsia di sorpasso dir. sud</v>
      </c>
      <c r="G958" s="37" t="s">
        <v>807</v>
      </c>
      <c r="H958" s="38" t="s">
        <v>1719</v>
      </c>
      <c r="I958" s="45" t="s">
        <v>1720</v>
      </c>
      <c r="J958" s="46" t="s">
        <v>1337</v>
      </c>
      <c r="K958" s="46" t="s">
        <v>1321</v>
      </c>
      <c r="L958" s="47" t="s">
        <v>31</v>
      </c>
      <c r="M958" s="48" t="s">
        <v>32</v>
      </c>
      <c r="N958" s="43">
        <v>1</v>
      </c>
      <c r="O958" s="43" t="s">
        <v>24</v>
      </c>
      <c r="P958" s="43" t="s">
        <v>25</v>
      </c>
      <c r="Q958" s="42" t="s">
        <v>21</v>
      </c>
      <c r="R958" s="44"/>
    </row>
    <row r="959" spans="1:18" x14ac:dyDescent="0.25">
      <c r="A959" t="str">
        <f t="shared" si="28"/>
        <v>Impianto videosorveglianza_Telecamera_FORTE_RALLENTAMENTO_CORSIA_LENTA-Allarme forte rallentamento corsia lenta</v>
      </c>
      <c r="B959" t="str">
        <f t="shared" si="29"/>
        <v>FORTE_RALLENTAMENTO_CORSIA_LENTA-Allarme forte rallentamento corsia lenta</v>
      </c>
      <c r="C959" t="str">
        <f>VLOOKUP(B959,'[2]Classi allarmi RMT-STIG_rev4'!$C:$C,1,0)</f>
        <v>FORTE_RALLENTAMENTO_CORSIA_LENTA-Allarme forte rallentamento corsia lenta</v>
      </c>
      <c r="D959" t="str">
        <f>VLOOKUP(B959,'EXPORT IRIS PROD 13-11-2024'!A:A,1,0)</f>
        <v>FORTE_RALLENTAMENTO_CORSIA_LENTA-Allarme forte rallentamento corsia lenta</v>
      </c>
      <c r="E959" t="str">
        <f>VLOOKUP(H959,'EXPORT IRIS PROD 13-11-2024'!F:F,1,0)</f>
        <v>FORTE_RALLENTAMENTO_CORSIA_LENTA</v>
      </c>
      <c r="F959" t="str">
        <f>VLOOKUP(I959,'EXPORT IRIS PROD 13-11-2024'!D:D,1,0)</f>
        <v>Allarme forte rallentamento corsia lenta</v>
      </c>
      <c r="G959" s="37" t="s">
        <v>822</v>
      </c>
      <c r="H959" s="38" t="s">
        <v>1721</v>
      </c>
      <c r="I959" s="38" t="s">
        <v>1722</v>
      </c>
      <c r="J959" s="39" t="s">
        <v>1337</v>
      </c>
      <c r="K959" s="39" t="s">
        <v>1321</v>
      </c>
      <c r="L959" s="40" t="s">
        <v>31</v>
      </c>
      <c r="M959" s="41" t="s">
        <v>32</v>
      </c>
      <c r="N959" s="43">
        <v>1</v>
      </c>
      <c r="O959" s="43" t="s">
        <v>24</v>
      </c>
      <c r="P959" s="42" t="s">
        <v>25</v>
      </c>
      <c r="Q959" s="42" t="s">
        <v>21</v>
      </c>
      <c r="R959" s="44"/>
    </row>
    <row r="960" spans="1:18" x14ac:dyDescent="0.25">
      <c r="A960" t="str">
        <f t="shared" si="28"/>
        <v>Impianto videosorveglianza_Telecamera_FORTE_RALLENTAMENTO_CORSIA_MARCIA_NORD-Allarme forte rallentamento corsia di marcia nord</v>
      </c>
      <c r="B960" t="str">
        <f t="shared" si="29"/>
        <v>FORTE_RALLENTAMENTO_CORSIA_MARCIA_NORD-Allarme forte rallentamento corsia di marcia nord</v>
      </c>
      <c r="C960" t="str">
        <f>VLOOKUP(B960,'[2]Classi allarmi RMT-STIG_rev4'!$C:$C,1,0)</f>
        <v>FORTE_RALLENTAMENTO_CORSIA_MARCIA_NORD-Allarme forte rallentamento corsia di marcia nord</v>
      </c>
      <c r="D960" t="str">
        <f>VLOOKUP(B960,'EXPORT IRIS PROD 13-11-2024'!A:A,1,0)</f>
        <v>FORTE_RALLENTAMENTO_CORSIA_MARCIA_NORD-Allarme forte rallentamento corsia di marcia nord</v>
      </c>
      <c r="E960" t="str">
        <f>VLOOKUP(H960,'EXPORT IRIS PROD 13-11-2024'!F:F,1,0)</f>
        <v>FORTE_RALLENTAMENTO_CORSIA_MARCIA_NORD</v>
      </c>
      <c r="F960" t="str">
        <f>VLOOKUP(I960,'EXPORT IRIS PROD 13-11-2024'!D:D,1,0)</f>
        <v>Allarme forte rallentamento corsia di marcia nord</v>
      </c>
      <c r="G960" s="37" t="s">
        <v>822</v>
      </c>
      <c r="H960" s="38" t="s">
        <v>1723</v>
      </c>
      <c r="I960" s="45" t="s">
        <v>1724</v>
      </c>
      <c r="J960" s="46" t="s">
        <v>1337</v>
      </c>
      <c r="K960" s="46" t="s">
        <v>1321</v>
      </c>
      <c r="L960" s="47" t="s">
        <v>31</v>
      </c>
      <c r="M960" s="48" t="s">
        <v>32</v>
      </c>
      <c r="N960" s="43">
        <v>1</v>
      </c>
      <c r="O960" s="43" t="s">
        <v>24</v>
      </c>
      <c r="P960" s="43" t="s">
        <v>25</v>
      </c>
      <c r="Q960" s="42" t="s">
        <v>21</v>
      </c>
      <c r="R960" s="44"/>
    </row>
    <row r="961" spans="1:18" x14ac:dyDescent="0.25">
      <c r="A961" t="str">
        <f t="shared" si="28"/>
        <v>Impianto videosorveglianza_Telecamera_FORTE_RALLENTAMENTO_CORSIA_MARCIA_SUD-Allarme forte rallentamento corsia di marcia sud</v>
      </c>
      <c r="B961" t="str">
        <f t="shared" si="29"/>
        <v>FORTE_RALLENTAMENTO_CORSIA_MARCIA_SUD-Allarme forte rallentamento corsia di marcia sud</v>
      </c>
      <c r="C961" t="str">
        <f>VLOOKUP(B961,'[2]Classi allarmi RMT-STIG_rev4'!$C:$C,1,0)</f>
        <v>FORTE_RALLENTAMENTO_CORSIA_MARCIA_SUD-Allarme forte rallentamento corsia di marcia sud</v>
      </c>
      <c r="D961" t="str">
        <f>VLOOKUP(B961,'EXPORT IRIS PROD 13-11-2024'!A:A,1,0)</f>
        <v>FORTE_RALLENTAMENTO_CORSIA_MARCIA_SUD-Allarme forte rallentamento corsia di marcia sud</v>
      </c>
      <c r="E961" t="str">
        <f>VLOOKUP(H961,'EXPORT IRIS PROD 13-11-2024'!F:F,1,0)</f>
        <v>FORTE_RALLENTAMENTO_CORSIA_MARCIA_SUD</v>
      </c>
      <c r="F961" t="str">
        <f>VLOOKUP(I961,'EXPORT IRIS PROD 13-11-2024'!D:D,1,0)</f>
        <v>Allarme forte rallentamento corsia di marcia sud</v>
      </c>
      <c r="G961" s="37" t="s">
        <v>822</v>
      </c>
      <c r="H961" s="38" t="s">
        <v>1725</v>
      </c>
      <c r="I961" s="45" t="s">
        <v>1726</v>
      </c>
      <c r="J961" s="46" t="s">
        <v>1337</v>
      </c>
      <c r="K961" s="46" t="s">
        <v>1321</v>
      </c>
      <c r="L961" s="47" t="s">
        <v>31</v>
      </c>
      <c r="M961" s="48" t="s">
        <v>32</v>
      </c>
      <c r="N961" s="43">
        <v>1</v>
      </c>
      <c r="O961" s="43" t="s">
        <v>24</v>
      </c>
      <c r="P961" s="43" t="s">
        <v>25</v>
      </c>
      <c r="Q961" s="42" t="s">
        <v>21</v>
      </c>
      <c r="R961" s="44"/>
    </row>
    <row r="962" spans="1:18" x14ac:dyDescent="0.25">
      <c r="A962" t="str">
        <f t="shared" ref="A962:A1025" si="30">CONCATENATE(J962,"_",K962,"_",B962)</f>
        <v>Impianto videosorveglianza_Telecamera_FUMO_CORSIA_LENTA-Allarme fumo corsia lenta</v>
      </c>
      <c r="B962" t="str">
        <f t="shared" si="29"/>
        <v>FUMO_CORSIA_LENTA-Allarme fumo corsia lenta</v>
      </c>
      <c r="C962" t="str">
        <f>VLOOKUP(B962,'[2]Classi allarmi RMT-STIG_rev4'!$C:$C,1,0)</f>
        <v>FUMO_CORSIA_LENTA-Allarme fumo corsia lenta</v>
      </c>
      <c r="D962" t="str">
        <f>VLOOKUP(B962,'EXPORT IRIS PROD 13-11-2024'!A:A,1,0)</f>
        <v>FUMO_CORSIA_LENTA-Allarme fumo corsia lenta</v>
      </c>
      <c r="E962" t="str">
        <f>VLOOKUP(H962,'EXPORT IRIS PROD 13-11-2024'!F:F,1,0)</f>
        <v>FUMO_CORSIA_LENTA</v>
      </c>
      <c r="F962" t="str">
        <f>VLOOKUP(I962,'EXPORT IRIS PROD 13-11-2024'!D:D,1,0)</f>
        <v>Allarme fumo corsia lenta</v>
      </c>
      <c r="G962" s="37" t="s">
        <v>836</v>
      </c>
      <c r="H962" s="38" t="s">
        <v>1727</v>
      </c>
      <c r="I962" s="38" t="s">
        <v>1728</v>
      </c>
      <c r="J962" s="39" t="s">
        <v>1337</v>
      </c>
      <c r="K962" s="39" t="s">
        <v>1321</v>
      </c>
      <c r="L962" s="40" t="s">
        <v>31</v>
      </c>
      <c r="M962" s="41" t="s">
        <v>32</v>
      </c>
      <c r="N962" s="43">
        <v>2</v>
      </c>
      <c r="O962" s="43" t="s">
        <v>45</v>
      </c>
      <c r="P962" s="43" t="s">
        <v>46</v>
      </c>
      <c r="Q962" s="43" t="s">
        <v>31</v>
      </c>
      <c r="R962" s="49"/>
    </row>
    <row r="963" spans="1:18" x14ac:dyDescent="0.25">
      <c r="A963" t="str">
        <f t="shared" si="30"/>
        <v>Impianto videosorveglianza_TVCC generale_FUMO_DIR_NORD-Allarme fumo dir. nord</v>
      </c>
      <c r="B963" t="str">
        <f t="shared" ref="B963:B1026" si="31">CONCATENATE(H963,"-",I963)</f>
        <v>FUMO_DIR_NORD-Allarme fumo dir. nord</v>
      </c>
      <c r="C963" t="str">
        <f>VLOOKUP(B963,'[2]Classi allarmi RMT-STIG_rev4'!$C:$C,1,0)</f>
        <v>FUMO_DIR_NORD-Allarme fumo dir. nord</v>
      </c>
      <c r="D963" t="str">
        <f>VLOOKUP(B963,'EXPORT IRIS PROD 13-11-2024'!A:A,1,0)</f>
        <v>FUMO_DIR_NORD-Allarme fumo dir. nord</v>
      </c>
      <c r="E963" t="str">
        <f>VLOOKUP(H963,'EXPORT IRIS PROD 13-11-2024'!F:F,1,0)</f>
        <v>FUMO_DIR_NORD</v>
      </c>
      <c r="F963" t="str">
        <f>VLOOKUP(I963,'EXPORT IRIS PROD 13-11-2024'!D:D,1,0)</f>
        <v>Allarme fumo dir. nord</v>
      </c>
      <c r="G963" s="37" t="s">
        <v>836</v>
      </c>
      <c r="H963" s="38" t="s">
        <v>1729</v>
      </c>
      <c r="I963" s="45" t="s">
        <v>1730</v>
      </c>
      <c r="J963" s="46" t="s">
        <v>1337</v>
      </c>
      <c r="K963" s="46" t="s">
        <v>1338</v>
      </c>
      <c r="L963" s="47" t="s">
        <v>31</v>
      </c>
      <c r="M963" s="48" t="s">
        <v>32</v>
      </c>
      <c r="N963" s="43">
        <v>2</v>
      </c>
      <c r="O963" s="43" t="s">
        <v>45</v>
      </c>
      <c r="P963" s="43" t="s">
        <v>46</v>
      </c>
      <c r="Q963" s="43" t="s">
        <v>31</v>
      </c>
      <c r="R963" s="49"/>
    </row>
    <row r="964" spans="1:18" x14ac:dyDescent="0.25">
      <c r="A964" t="str">
        <f t="shared" si="30"/>
        <v>Impianto videosorveglianza_Telecamera_FUMO_DIR_NORD-Allarme fumo dir. nord</v>
      </c>
      <c r="B964" t="str">
        <f t="shared" si="31"/>
        <v>FUMO_DIR_NORD-Allarme fumo dir. nord</v>
      </c>
      <c r="C964" t="str">
        <f>VLOOKUP(B964,'[2]Classi allarmi RMT-STIG_rev4'!$C:$C,1,0)</f>
        <v>FUMO_DIR_NORD-Allarme fumo dir. nord</v>
      </c>
      <c r="D964" t="str">
        <f>VLOOKUP(B964,'EXPORT IRIS PROD 13-11-2024'!A:A,1,0)</f>
        <v>FUMO_DIR_NORD-Allarme fumo dir. nord</v>
      </c>
      <c r="E964" t="str">
        <f>VLOOKUP(H964,'EXPORT IRIS PROD 13-11-2024'!F:F,1,0)</f>
        <v>FUMO_DIR_NORD</v>
      </c>
      <c r="F964" t="str">
        <f>VLOOKUP(I964,'EXPORT IRIS PROD 13-11-2024'!D:D,1,0)</f>
        <v>Allarme fumo dir. nord</v>
      </c>
      <c r="G964" s="37" t="s">
        <v>836</v>
      </c>
      <c r="H964" s="38" t="s">
        <v>1729</v>
      </c>
      <c r="I964" s="45" t="s">
        <v>1730</v>
      </c>
      <c r="J964" s="46" t="s">
        <v>1337</v>
      </c>
      <c r="K964" s="46" t="s">
        <v>1321</v>
      </c>
      <c r="L964" s="47" t="s">
        <v>31</v>
      </c>
      <c r="M964" s="48" t="s">
        <v>32</v>
      </c>
      <c r="N964" s="43">
        <v>2</v>
      </c>
      <c r="O964" s="43" t="s">
        <v>45</v>
      </c>
      <c r="P964" s="43" t="s">
        <v>46</v>
      </c>
      <c r="Q964" s="43" t="s">
        <v>31</v>
      </c>
      <c r="R964" s="49"/>
    </row>
    <row r="965" spans="1:18" x14ac:dyDescent="0.25">
      <c r="A965" t="str">
        <f t="shared" si="30"/>
        <v>Impianto videosorveglianza_TVCC generale_FUMO_DIR_SUD-Allarme fumo dir. sud</v>
      </c>
      <c r="B965" t="str">
        <f t="shared" si="31"/>
        <v>FUMO_DIR_SUD-Allarme fumo dir. sud</v>
      </c>
      <c r="C965" t="str">
        <f>VLOOKUP(B965,'[2]Classi allarmi RMT-STIG_rev4'!$C:$C,1,0)</f>
        <v>FUMO_DIR_SUD-Allarme fumo dir. sud</v>
      </c>
      <c r="D965" t="str">
        <f>VLOOKUP(B965,'EXPORT IRIS PROD 13-11-2024'!A:A,1,0)</f>
        <v>FUMO_DIR_SUD-Allarme fumo dir. sud</v>
      </c>
      <c r="E965" t="str">
        <f>VLOOKUP(H965,'EXPORT IRIS PROD 13-11-2024'!F:F,1,0)</f>
        <v>FUMO_DIR_SUD</v>
      </c>
      <c r="F965" t="str">
        <f>VLOOKUP(I965,'EXPORT IRIS PROD 13-11-2024'!D:D,1,0)</f>
        <v>Allarme fumo dir. sud</v>
      </c>
      <c r="G965" s="37" t="s">
        <v>836</v>
      </c>
      <c r="H965" s="38" t="s">
        <v>1731</v>
      </c>
      <c r="I965" s="45" t="s">
        <v>1732</v>
      </c>
      <c r="J965" s="46" t="s">
        <v>1337</v>
      </c>
      <c r="K965" s="46" t="s">
        <v>1338</v>
      </c>
      <c r="L965" s="47" t="s">
        <v>31</v>
      </c>
      <c r="M965" s="48" t="s">
        <v>32</v>
      </c>
      <c r="N965" s="43">
        <v>2</v>
      </c>
      <c r="O965" s="43" t="s">
        <v>45</v>
      </c>
      <c r="P965" s="43" t="s">
        <v>46</v>
      </c>
      <c r="Q965" s="43" t="s">
        <v>31</v>
      </c>
      <c r="R965" s="49"/>
    </row>
    <row r="966" spans="1:18" x14ac:dyDescent="0.25">
      <c r="A966" t="str">
        <f t="shared" si="30"/>
        <v>Impianto videosorveglianza_Telecamera_FUMO_DIR_SUD-Allarme fumo dir. sud</v>
      </c>
      <c r="B966" t="str">
        <f t="shared" si="31"/>
        <v>FUMO_DIR_SUD-Allarme fumo dir. sud</v>
      </c>
      <c r="C966" t="str">
        <f>VLOOKUP(B966,'[2]Classi allarmi RMT-STIG_rev4'!$C:$C,1,0)</f>
        <v>FUMO_DIR_SUD-Allarme fumo dir. sud</v>
      </c>
      <c r="D966" t="str">
        <f>VLOOKUP(B966,'EXPORT IRIS PROD 13-11-2024'!A:A,1,0)</f>
        <v>FUMO_DIR_SUD-Allarme fumo dir. sud</v>
      </c>
      <c r="E966" t="str">
        <f>VLOOKUP(H966,'EXPORT IRIS PROD 13-11-2024'!F:F,1,0)</f>
        <v>FUMO_DIR_SUD</v>
      </c>
      <c r="F966" t="str">
        <f>VLOOKUP(I966,'EXPORT IRIS PROD 13-11-2024'!D:D,1,0)</f>
        <v>Allarme fumo dir. sud</v>
      </c>
      <c r="G966" s="37" t="s">
        <v>836</v>
      </c>
      <c r="H966" s="38" t="s">
        <v>1731</v>
      </c>
      <c r="I966" s="45" t="s">
        <v>1732</v>
      </c>
      <c r="J966" s="46" t="s">
        <v>1337</v>
      </c>
      <c r="K966" s="46" t="s">
        <v>1321</v>
      </c>
      <c r="L966" s="47" t="s">
        <v>31</v>
      </c>
      <c r="M966" s="48" t="s">
        <v>32</v>
      </c>
      <c r="N966" s="43">
        <v>2</v>
      </c>
      <c r="O966" s="43" t="s">
        <v>45</v>
      </c>
      <c r="P966" s="43" t="s">
        <v>46</v>
      </c>
      <c r="Q966" s="43" t="s">
        <v>31</v>
      </c>
      <c r="R966" s="49"/>
    </row>
    <row r="967" spans="1:18" x14ac:dyDescent="0.25">
      <c r="A967" t="str">
        <f t="shared" si="30"/>
        <v>Impianto videosorveglianza_Telecamera_INCENDIO_CORSIA_1-Allarme incendio corsia di emergenza</v>
      </c>
      <c r="B967" t="str">
        <f t="shared" si="31"/>
        <v>INCENDIO_CORSIA_1-Allarme incendio corsia di emergenza</v>
      </c>
      <c r="C967" t="str">
        <f>VLOOKUP(B967,'[2]Classi allarmi RMT-STIG_rev4'!$C:$C,1,0)</f>
        <v>INCENDIO_CORSIA_1-Allarme incendio corsia di emergenza</v>
      </c>
      <c r="D967" t="str">
        <f>VLOOKUP(B967,'EXPORT IRIS PROD 13-11-2024'!A:A,1,0)</f>
        <v>INCENDIO_CORSIA_1-Allarme incendio corsia di emergenza</v>
      </c>
      <c r="E967" t="str">
        <f>VLOOKUP(H967,'EXPORT IRIS PROD 13-11-2024'!F:F,1,0)</f>
        <v>INCENDIO_CORSIA_1</v>
      </c>
      <c r="F967" t="str">
        <f>VLOOKUP(I967,'EXPORT IRIS PROD 13-11-2024'!D:D,1,0)</f>
        <v>Allarme incendio corsia di emergenza</v>
      </c>
      <c r="G967" s="37" t="s">
        <v>40</v>
      </c>
      <c r="H967" s="38" t="s">
        <v>1733</v>
      </c>
      <c r="I967" s="45" t="s">
        <v>1734</v>
      </c>
      <c r="J967" s="46" t="s">
        <v>1337</v>
      </c>
      <c r="K967" s="46" t="s">
        <v>1321</v>
      </c>
      <c r="L967" s="47" t="s">
        <v>31</v>
      </c>
      <c r="M967" s="48" t="s">
        <v>32</v>
      </c>
      <c r="N967" s="43">
        <v>2</v>
      </c>
      <c r="O967" s="43" t="s">
        <v>45</v>
      </c>
      <c r="P967" s="43" t="s">
        <v>46</v>
      </c>
      <c r="Q967" s="43" t="s">
        <v>31</v>
      </c>
      <c r="R967" s="49"/>
    </row>
    <row r="968" spans="1:18" x14ac:dyDescent="0.25">
      <c r="A968" t="str">
        <f t="shared" si="30"/>
        <v>Impianto videosorveglianza_Telecamera_INCENDIO_CORSIA_2-Allarme incendio corsia di marcia</v>
      </c>
      <c r="B968" t="str">
        <f t="shared" si="31"/>
        <v>INCENDIO_CORSIA_2-Allarme incendio corsia di marcia</v>
      </c>
      <c r="C968" t="str">
        <f>VLOOKUP(B968,'[2]Classi allarmi RMT-STIG_rev4'!$C:$C,1,0)</f>
        <v>INCENDIO_CORSIA_2-Allarme incendio corsia di marcia</v>
      </c>
      <c r="D968" t="str">
        <f>VLOOKUP(B968,'EXPORT IRIS PROD 13-11-2024'!A:A,1,0)</f>
        <v>INCENDIO_CORSIA_2-Allarme incendio corsia di marcia</v>
      </c>
      <c r="E968" t="str">
        <f>VLOOKUP(H968,'EXPORT IRIS PROD 13-11-2024'!F:F,1,0)</f>
        <v>INCENDIO_CORSIA_2</v>
      </c>
      <c r="F968" t="str">
        <f>VLOOKUP(I968,'EXPORT IRIS PROD 13-11-2024'!D:D,1,0)</f>
        <v>Allarme incendio corsia di marcia</v>
      </c>
      <c r="G968" s="37" t="s">
        <v>40</v>
      </c>
      <c r="H968" s="38" t="s">
        <v>1735</v>
      </c>
      <c r="I968" s="45" t="s">
        <v>1736</v>
      </c>
      <c r="J968" s="46" t="s">
        <v>1337</v>
      </c>
      <c r="K968" s="46" t="s">
        <v>1321</v>
      </c>
      <c r="L968" s="47" t="s">
        <v>31</v>
      </c>
      <c r="M968" s="48" t="s">
        <v>32</v>
      </c>
      <c r="N968" s="43">
        <v>2</v>
      </c>
      <c r="O968" s="43" t="s">
        <v>45</v>
      </c>
      <c r="P968" s="43" t="s">
        <v>46</v>
      </c>
      <c r="Q968" s="43" t="s">
        <v>31</v>
      </c>
      <c r="R968" s="49"/>
    </row>
    <row r="969" spans="1:18" x14ac:dyDescent="0.25">
      <c r="A969" t="str">
        <f t="shared" si="30"/>
        <v>Impianto videosorveglianza_Telecamera_INCENDIO_CORSIA_3-Allarme incendio corsia veloce</v>
      </c>
      <c r="B969" t="str">
        <f t="shared" si="31"/>
        <v>INCENDIO_CORSIA_3-Allarme incendio corsia veloce</v>
      </c>
      <c r="C969" t="str">
        <f>VLOOKUP(B969,'[2]Classi allarmi RMT-STIG_rev4'!$C:$C,1,0)</f>
        <v>INCENDIO_CORSIA_3-Allarme incendio corsia veloce</v>
      </c>
      <c r="D969" t="str">
        <f>VLOOKUP(B969,'EXPORT IRIS PROD 13-11-2024'!A:A,1,0)</f>
        <v>INCENDIO_CORSIA_3-Allarme incendio corsia veloce</v>
      </c>
      <c r="E969" t="str">
        <f>VLOOKUP(H969,'EXPORT IRIS PROD 13-11-2024'!F:F,1,0)</f>
        <v>INCENDIO_CORSIA_3</v>
      </c>
      <c r="F969" t="str">
        <f>VLOOKUP(I969,'EXPORT IRIS PROD 13-11-2024'!D:D,1,0)</f>
        <v>Allarme incendio corsia veloce</v>
      </c>
      <c r="G969" s="37" t="s">
        <v>40</v>
      </c>
      <c r="H969" s="38" t="s">
        <v>1737</v>
      </c>
      <c r="I969" s="45" t="s">
        <v>1738</v>
      </c>
      <c r="J969" s="46" t="s">
        <v>1337</v>
      </c>
      <c r="K969" s="46" t="s">
        <v>1321</v>
      </c>
      <c r="L969" s="47" t="s">
        <v>31</v>
      </c>
      <c r="M969" s="48" t="s">
        <v>32</v>
      </c>
      <c r="N969" s="43">
        <v>2</v>
      </c>
      <c r="O969" s="43" t="s">
        <v>45</v>
      </c>
      <c r="P969" s="43" t="s">
        <v>46</v>
      </c>
      <c r="Q969" s="43" t="s">
        <v>31</v>
      </c>
      <c r="R969" s="49"/>
    </row>
    <row r="970" spans="1:18" x14ac:dyDescent="0.25">
      <c r="A970" t="str">
        <f t="shared" si="30"/>
        <v>Impianto Antincendio_Serbatoio acqua/Vasca antincendio_LIVELLO_ACQUA_TROPPO_PIENO-Allarme livello acqua troppo pieno</v>
      </c>
      <c r="B970" t="str">
        <f t="shared" si="31"/>
        <v>LIVELLO_ACQUA_TROPPO_PIENO-Allarme livello acqua troppo pieno</v>
      </c>
      <c r="C970" t="str">
        <f>VLOOKUP(B970,'[2]Classi allarmi RMT-STIG_rev4'!$C:$C,1,0)</f>
        <v>LIVELLO_ACQUA_TROPPO_PIENO-Allarme livello acqua troppo pieno</v>
      </c>
      <c r="D970" t="str">
        <f>VLOOKUP(B970,'EXPORT IRIS PROD 13-11-2024'!A:A,1,0)</f>
        <v>LIVELLO_ACQUA_TROPPO_PIENO-Allarme livello acqua troppo pieno</v>
      </c>
      <c r="E970" t="str">
        <f>VLOOKUP(H970,'EXPORT IRIS PROD 13-11-2024'!F:F,1,0)</f>
        <v>LIVELLO_ACQUA_TROPPO_PIENO</v>
      </c>
      <c r="F970" t="str">
        <f>VLOOKUP(I970,'EXPORT IRIS PROD 13-11-2024'!D:D,1,0)</f>
        <v>Allarme livello acqua troppo pieno</v>
      </c>
      <c r="G970" s="37" t="s">
        <v>35</v>
      </c>
      <c r="H970" s="38" t="s">
        <v>1739</v>
      </c>
      <c r="I970" s="45" t="s">
        <v>1740</v>
      </c>
      <c r="J970" s="46" t="s">
        <v>38</v>
      </c>
      <c r="K970" s="46" t="s">
        <v>1741</v>
      </c>
      <c r="L970" s="40" t="s">
        <v>21</v>
      </c>
      <c r="M970" s="41" t="s">
        <v>22</v>
      </c>
      <c r="N970" s="42" t="s">
        <v>23</v>
      </c>
      <c r="O970" s="43" t="s">
        <v>24</v>
      </c>
      <c r="P970" s="42" t="s">
        <v>25</v>
      </c>
      <c r="Q970" s="42" t="s">
        <v>21</v>
      </c>
      <c r="R970" s="44"/>
    </row>
    <row r="971" spans="1:18" x14ac:dyDescent="0.25">
      <c r="A971" t="str">
        <f t="shared" si="30"/>
        <v>Impianto Antincendio_Pompa_MANCATO_AVVIO_POMPA-Allarme Mancato Avviamento pompa pilota</v>
      </c>
      <c r="B971" t="str">
        <f t="shared" si="31"/>
        <v>MANCATO_AVVIO_POMPA-Allarme Mancato Avviamento pompa pilota</v>
      </c>
      <c r="C971" t="str">
        <f>VLOOKUP(B971,'[2]Classi allarmi RMT-STIG_rev4'!$C:$C,1,0)</f>
        <v>MANCATO_AVVIO_POMPA-Allarme Mancato Avviamento pompa pilota</v>
      </c>
      <c r="D971" t="str">
        <f>VLOOKUP(B971,'EXPORT IRIS PROD 13-11-2024'!A:A,1,0)</f>
        <v>MANCATO_AVVIO_POMPA-Allarme Mancato Avviamento pompa pilota</v>
      </c>
      <c r="E971" t="str">
        <f>VLOOKUP(H971,'EXPORT IRIS PROD 13-11-2024'!F:F,1,0)</f>
        <v>MANCATO_AVVIO_POMPA</v>
      </c>
      <c r="F971" t="str">
        <f>VLOOKUP(I971,'EXPORT IRIS PROD 13-11-2024'!D:D,1,0)</f>
        <v>Allarme Mancato Avviamento pompa pilota</v>
      </c>
      <c r="G971" s="37" t="s">
        <v>35</v>
      </c>
      <c r="H971" s="38" t="s">
        <v>1742</v>
      </c>
      <c r="I971" s="45" t="s">
        <v>1743</v>
      </c>
      <c r="J971" s="46" t="s">
        <v>38</v>
      </c>
      <c r="K971" s="46" t="s">
        <v>39</v>
      </c>
      <c r="L971" s="40" t="s">
        <v>21</v>
      </c>
      <c r="M971" s="41" t="s">
        <v>22</v>
      </c>
      <c r="N971" s="42" t="s">
        <v>23</v>
      </c>
      <c r="O971" s="43" t="s">
        <v>24</v>
      </c>
      <c r="P971" s="42" t="s">
        <v>25</v>
      </c>
      <c r="Q971" s="42" t="s">
        <v>21</v>
      </c>
      <c r="R971" s="44"/>
    </row>
    <row r="972" spans="1:18" x14ac:dyDescent="0.25">
      <c r="A972" t="str">
        <f t="shared" si="30"/>
        <v>Impianto Antincendio_Pompa_MANCATO_AVVIO_POMPA_SOS-Allarme mancato avvio pompa SOS</v>
      </c>
      <c r="B972" t="str">
        <f t="shared" si="31"/>
        <v>MANCATO_AVVIO_POMPA_SOS-Allarme mancato avvio pompa SOS</v>
      </c>
      <c r="C972" t="str">
        <f>VLOOKUP(B972,'[2]Classi allarmi RMT-STIG_rev4'!$C:$C,1,0)</f>
        <v>MANCATO_AVVIO_POMPA_SOS-Allarme mancato avvio pompa SOS</v>
      </c>
      <c r="D972" t="str">
        <f>VLOOKUP(B972,'EXPORT IRIS PROD 13-11-2024'!A:A,1,0)</f>
        <v>MANCATO_AVVIO_POMPA_SOS-Allarme mancato avvio pompa SOS</v>
      </c>
      <c r="E972" t="str">
        <f>VLOOKUP(H972,'EXPORT IRIS PROD 13-11-2024'!F:F,1,0)</f>
        <v>MANCATO_AVVIO_POMPA_SOS</v>
      </c>
      <c r="F972" t="str">
        <f>VLOOKUP(I972,'EXPORT IRIS PROD 13-11-2024'!D:D,1,0)</f>
        <v>Allarme mancato avvio pompa SOS</v>
      </c>
      <c r="G972" s="37" t="s">
        <v>35</v>
      </c>
      <c r="H972" s="38" t="s">
        <v>1744</v>
      </c>
      <c r="I972" s="45" t="s">
        <v>1745</v>
      </c>
      <c r="J972" s="46" t="s">
        <v>38</v>
      </c>
      <c r="K972" s="46" t="s">
        <v>39</v>
      </c>
      <c r="L972" s="40" t="s">
        <v>21</v>
      </c>
      <c r="M972" s="41" t="s">
        <v>22</v>
      </c>
      <c r="N972" s="42" t="s">
        <v>23</v>
      </c>
      <c r="O972" s="43" t="s">
        <v>24</v>
      </c>
      <c r="P972" s="42" t="s">
        <v>25</v>
      </c>
      <c r="Q972" s="42" t="s">
        <v>21</v>
      </c>
      <c r="R972" s="44"/>
    </row>
    <row r="973" spans="1:18" x14ac:dyDescent="0.25">
      <c r="A973" t="str">
        <f t="shared" si="30"/>
        <v>Impianto videosorveglianza_TVCC generale_MANOMISSIONE_DIR_NORD-Allarme manomissione dir. nord</v>
      </c>
      <c r="B973" t="str">
        <f t="shared" si="31"/>
        <v>MANOMISSIONE_DIR_NORD-Allarme manomissione dir. nord</v>
      </c>
      <c r="C973" t="str">
        <f>VLOOKUP(B973,'[2]Classi allarmi RMT-STIG_rev4'!$C:$C,1,0)</f>
        <v>MANOMISSIONE_DIR_NORD-Allarme manomissione dir. nord</v>
      </c>
      <c r="D973" t="str">
        <f>VLOOKUP(B973,'EXPORT IRIS PROD 13-11-2024'!A:A,1,0)</f>
        <v>MANOMISSIONE_DIR_NORD-Allarme manomissione dir. nord</v>
      </c>
      <c r="E973" t="str">
        <f>VLOOKUP(H973,'EXPORT IRIS PROD 13-11-2024'!F:F,1,0)</f>
        <v>MANOMISSIONE_DIR_NORD</v>
      </c>
      <c r="F973" t="str">
        <f>VLOOKUP(I973,'EXPORT IRIS PROD 13-11-2024'!D:D,1,0)</f>
        <v>Allarme manomissione dir. nord</v>
      </c>
      <c r="G973" s="37" t="s">
        <v>198</v>
      </c>
      <c r="H973" s="38" t="s">
        <v>1746</v>
      </c>
      <c r="I973" s="45" t="s">
        <v>1747</v>
      </c>
      <c r="J973" s="46" t="s">
        <v>1337</v>
      </c>
      <c r="K973" s="46" t="s">
        <v>1338</v>
      </c>
      <c r="L973" s="40" t="s">
        <v>31</v>
      </c>
      <c r="M973" s="41" t="s">
        <v>32</v>
      </c>
      <c r="N973" s="43">
        <v>2</v>
      </c>
      <c r="O973" s="43" t="s">
        <v>24</v>
      </c>
      <c r="P973" s="42" t="s">
        <v>25</v>
      </c>
      <c r="Q973" s="42" t="s">
        <v>21</v>
      </c>
      <c r="R973" s="44"/>
    </row>
    <row r="974" spans="1:18" x14ac:dyDescent="0.25">
      <c r="A974" t="str">
        <f t="shared" si="30"/>
        <v>Impianto videosorveglianza_TVCC generale_MANOMISSIONE_DIR_SUD-Allarme manomissione dir. sud</v>
      </c>
      <c r="B974" t="str">
        <f t="shared" si="31"/>
        <v>MANOMISSIONE_DIR_SUD-Allarme manomissione dir. sud</v>
      </c>
      <c r="C974" t="str">
        <f>VLOOKUP(B974,'[2]Classi allarmi RMT-STIG_rev4'!$C:$C,1,0)</f>
        <v>MANOMISSIONE_DIR_SUD-Allarme manomissione dir. sud</v>
      </c>
      <c r="D974" t="str">
        <f>VLOOKUP(B974,'EXPORT IRIS PROD 13-11-2024'!A:A,1,0)</f>
        <v>MANOMISSIONE_DIR_SUD-Allarme manomissione dir. sud</v>
      </c>
      <c r="E974" t="str">
        <f>VLOOKUP(H974,'EXPORT IRIS PROD 13-11-2024'!F:F,1,0)</f>
        <v>MANOMISSIONE_DIR_SUD</v>
      </c>
      <c r="F974" t="str">
        <f>VLOOKUP(I974,'EXPORT IRIS PROD 13-11-2024'!D:D,1,0)</f>
        <v>Allarme manomissione dir. sud</v>
      </c>
      <c r="G974" s="37" t="s">
        <v>198</v>
      </c>
      <c r="H974" s="38" t="s">
        <v>1748</v>
      </c>
      <c r="I974" s="45" t="s">
        <v>1749</v>
      </c>
      <c r="J974" s="46" t="s">
        <v>1337</v>
      </c>
      <c r="K974" s="46" t="s">
        <v>1338</v>
      </c>
      <c r="L974" s="40" t="s">
        <v>31</v>
      </c>
      <c r="M974" s="41" t="s">
        <v>32</v>
      </c>
      <c r="N974" s="43">
        <v>2</v>
      </c>
      <c r="O974" s="43" t="s">
        <v>24</v>
      </c>
      <c r="P974" s="42" t="s">
        <v>25</v>
      </c>
      <c r="Q974" s="42" t="s">
        <v>21</v>
      </c>
      <c r="R974" s="44"/>
    </row>
    <row r="975" spans="1:18" x14ac:dyDescent="0.25">
      <c r="A975" t="str">
        <f t="shared" si="30"/>
        <v>Impianto Ventilazione_Anemometro_MISURA_DIR_FAULT-Allarme misurazione direzione fallita</v>
      </c>
      <c r="B975" t="str">
        <f t="shared" si="31"/>
        <v>MISURA_DIR_FAULT-Allarme misurazione direzione fallita</v>
      </c>
      <c r="C975" t="str">
        <f>VLOOKUP(B975,'[2]Classi allarmi RMT-STIG_rev4'!$C:$C,1,0)</f>
        <v>MISURA_DIR_FAULT-Allarme misurazione direzione fallita</v>
      </c>
      <c r="D975" t="str">
        <f>VLOOKUP(B975,'EXPORT IRIS PROD 13-11-2024'!A:A,1,0)</f>
        <v>MISURA_DIR_FAULT-Allarme misurazione direzione fallita</v>
      </c>
      <c r="E975" t="str">
        <f>VLOOKUP(H975,'EXPORT IRIS PROD 13-11-2024'!F:F,1,0)</f>
        <v>MISURA_DIR_FAULT</v>
      </c>
      <c r="F975" t="str">
        <f>VLOOKUP(I975,'EXPORT IRIS PROD 13-11-2024'!D:D,1,0)</f>
        <v>Allarme misurazione direzione fallita</v>
      </c>
      <c r="G975" s="37" t="s">
        <v>85</v>
      </c>
      <c r="H975" s="38" t="s">
        <v>1750</v>
      </c>
      <c r="I975" s="45" t="s">
        <v>1751</v>
      </c>
      <c r="J975" s="46" t="s">
        <v>50</v>
      </c>
      <c r="K975" s="46" t="s">
        <v>88</v>
      </c>
      <c r="L975" s="40" t="s">
        <v>21</v>
      </c>
      <c r="M975" s="41" t="s">
        <v>22</v>
      </c>
      <c r="N975" s="42" t="s">
        <v>23</v>
      </c>
      <c r="O975" s="43" t="s">
        <v>24</v>
      </c>
      <c r="P975" s="42" t="s">
        <v>25</v>
      </c>
      <c r="Q975" s="42" t="s">
        <v>21</v>
      </c>
      <c r="R975" s="44"/>
    </row>
    <row r="976" spans="1:18" x14ac:dyDescent="0.25">
      <c r="A976" t="str">
        <f t="shared" si="30"/>
        <v>Impianto Ventilazione_Sensore CO/ventilazione generale_MISURA_FUORI_SOGLIA_CO_INFERIORE_SUPERATA_TRAFFICO_CONGESTIONATO_NORD-Misura fuori soglia CO inferiore superata traffico congestionato Nord</v>
      </c>
      <c r="B976" t="str">
        <f t="shared" si="31"/>
        <v>MISURA_FUORI_SOGLIA_CO_INFERIORE_SUPERATA_TRAFFICO_CONGESTIONATO_NORD-Misura fuori soglia CO inferiore superata traffico congestionato Nord</v>
      </c>
      <c r="C976" t="str">
        <f>VLOOKUP(B976,'[2]Classi allarmi RMT-STIG_rev4'!$C:$C,1,0)</f>
        <v>MISURA_FUORI_SOGLIA_CO_INFERIORE_SUPERATA_TRAFFICO_CONGESTIONATO_NORD-Misura fuori soglia CO inferiore superata traffico congestionato Nord</v>
      </c>
      <c r="D976" t="str">
        <f>VLOOKUP(B976,'EXPORT IRIS PROD 13-11-2024'!A:A,1,0)</f>
        <v>MISURA_FUORI_SOGLIA_CO_INFERIORE_SUPERATA_TRAFFICO_CONGESTIONATO_NORD-Misura fuori soglia CO inferiore superata traffico congestionato Nord</v>
      </c>
      <c r="E976" t="str">
        <f>VLOOKUP(H976,'EXPORT IRIS PROD 13-11-2024'!F:F,1,0)</f>
        <v>MISURA_FUORI_SOGLIA_CO_INFERIORE_SUPERATA_TRAFFICO_CONGESTIONATO_NORD</v>
      </c>
      <c r="F976" t="str">
        <f>VLOOKUP(I976,'EXPORT IRIS PROD 13-11-2024'!D:D,1,0)</f>
        <v>Misura fuori soglia CO inferiore superata traffico congestionato Nord</v>
      </c>
      <c r="G976" s="37" t="s">
        <v>85</v>
      </c>
      <c r="H976" s="38" t="s">
        <v>1752</v>
      </c>
      <c r="I976" s="45" t="s">
        <v>1753</v>
      </c>
      <c r="J976" s="46" t="s">
        <v>50</v>
      </c>
      <c r="K976" s="46" t="s">
        <v>1466</v>
      </c>
      <c r="L976" s="40" t="s">
        <v>21</v>
      </c>
      <c r="M976" s="41" t="s">
        <v>22</v>
      </c>
      <c r="N976" s="42" t="s">
        <v>23</v>
      </c>
      <c r="O976" s="43" t="s">
        <v>24</v>
      </c>
      <c r="P976" s="42" t="s">
        <v>25</v>
      </c>
      <c r="Q976" s="42" t="s">
        <v>21</v>
      </c>
      <c r="R976" s="44"/>
    </row>
    <row r="977" spans="1:18" x14ac:dyDescent="0.25">
      <c r="A977" t="str">
        <f t="shared" si="30"/>
        <v>Impianto Ventilazione_Sensore CO/ventilazione generale_MISURA_FUORI_SOGLIA_CO_INFERIORE_SUPERATA_TRAFFICO_CONGESTIONATO_SUD-Misura fuori soglia CO inferiore superata traffico congestionato Sud</v>
      </c>
      <c r="B977" t="str">
        <f t="shared" si="31"/>
        <v>MISURA_FUORI_SOGLIA_CO_INFERIORE_SUPERATA_TRAFFICO_CONGESTIONATO_SUD-Misura fuori soglia CO inferiore superata traffico congestionato Sud</v>
      </c>
      <c r="C977" t="str">
        <f>VLOOKUP(B977,'[2]Classi allarmi RMT-STIG_rev4'!$C:$C,1,0)</f>
        <v>MISURA_FUORI_SOGLIA_CO_INFERIORE_SUPERATA_TRAFFICO_CONGESTIONATO_SUD-Misura fuori soglia CO inferiore superata traffico congestionato Sud</v>
      </c>
      <c r="D977" t="str">
        <f>VLOOKUP(B977,'EXPORT IRIS PROD 13-11-2024'!A:A,1,0)</f>
        <v>MISURA_FUORI_SOGLIA_CO_INFERIORE_SUPERATA_TRAFFICO_CONGESTIONATO_SUD-Misura fuori soglia CO inferiore superata traffico congestionato Sud</v>
      </c>
      <c r="E977" t="str">
        <f>VLOOKUP(H977,'EXPORT IRIS PROD 13-11-2024'!F:F,1,0)</f>
        <v>MISURA_FUORI_SOGLIA_CO_INFERIORE_SUPERATA_TRAFFICO_CONGESTIONATO_SUD</v>
      </c>
      <c r="F977" t="str">
        <f>VLOOKUP(I977,'EXPORT IRIS PROD 13-11-2024'!D:D,1,0)</f>
        <v>Misura fuori soglia CO inferiore superata traffico congestionato Sud</v>
      </c>
      <c r="G977" s="37" t="s">
        <v>85</v>
      </c>
      <c r="H977" s="38" t="s">
        <v>1754</v>
      </c>
      <c r="I977" s="45" t="s">
        <v>1755</v>
      </c>
      <c r="J977" s="46" t="s">
        <v>50</v>
      </c>
      <c r="K977" s="46" t="s">
        <v>1466</v>
      </c>
      <c r="L977" s="40" t="s">
        <v>21</v>
      </c>
      <c r="M977" s="41" t="s">
        <v>22</v>
      </c>
      <c r="N977" s="42" t="s">
        <v>23</v>
      </c>
      <c r="O977" s="43" t="s">
        <v>24</v>
      </c>
      <c r="P977" s="42" t="s">
        <v>25</v>
      </c>
      <c r="Q977" s="42" t="s">
        <v>21</v>
      </c>
      <c r="R977" s="44"/>
    </row>
    <row r="978" spans="1:18" x14ac:dyDescent="0.25">
      <c r="A978" t="str">
        <f t="shared" si="30"/>
        <v>Impianto Ventilazione_Sensore CO/ventilazione generale_MISURA_FUORI_SOGLIA_CO_INFERIORE_SUPERATA_TRAFFICO_FLUIDO_NORD-Misura fuori soglia CO inferiore superata traffico fluido Nord</v>
      </c>
      <c r="B978" t="str">
        <f t="shared" si="31"/>
        <v>MISURA_FUORI_SOGLIA_CO_INFERIORE_SUPERATA_TRAFFICO_FLUIDO_NORD-Misura fuori soglia CO inferiore superata traffico fluido Nord</v>
      </c>
      <c r="C978" t="str">
        <f>VLOOKUP(B978,'[2]Classi allarmi RMT-STIG_rev4'!$C:$C,1,0)</f>
        <v>MISURA_FUORI_SOGLIA_CO_INFERIORE_SUPERATA_TRAFFICO_FLUIDO_NORD-Misura fuori soglia CO inferiore superata traffico fluido Nord</v>
      </c>
      <c r="D978" t="str">
        <f>VLOOKUP(B978,'EXPORT IRIS PROD 13-11-2024'!A:A,1,0)</f>
        <v>MISURA_FUORI_SOGLIA_CO_INFERIORE_SUPERATA_TRAFFICO_FLUIDO_NORD-Misura fuori soglia CO inferiore superata traffico fluido Nord</v>
      </c>
      <c r="E978" t="str">
        <f>VLOOKUP(H978,'EXPORT IRIS PROD 13-11-2024'!F:F,1,0)</f>
        <v>MISURA_FUORI_SOGLIA_CO_INFERIORE_SUPERATA_TRAFFICO_FLUIDO_NORD</v>
      </c>
      <c r="F978" t="str">
        <f>VLOOKUP(I978,'EXPORT IRIS PROD 13-11-2024'!D:D,1,0)</f>
        <v>Misura fuori soglia CO inferiore superata traffico fluido Nord</v>
      </c>
      <c r="G978" s="37" t="s">
        <v>85</v>
      </c>
      <c r="H978" s="38" t="s">
        <v>1756</v>
      </c>
      <c r="I978" s="45" t="s">
        <v>1757</v>
      </c>
      <c r="J978" s="46" t="s">
        <v>50</v>
      </c>
      <c r="K978" s="46" t="s">
        <v>1466</v>
      </c>
      <c r="L978" s="40" t="s">
        <v>21</v>
      </c>
      <c r="M978" s="41" t="s">
        <v>22</v>
      </c>
      <c r="N978" s="42" t="s">
        <v>23</v>
      </c>
      <c r="O978" s="43" t="s">
        <v>24</v>
      </c>
      <c r="P978" s="42" t="s">
        <v>25</v>
      </c>
      <c r="Q978" s="42" t="s">
        <v>21</v>
      </c>
      <c r="R978" s="44"/>
    </row>
    <row r="979" spans="1:18" x14ac:dyDescent="0.25">
      <c r="A979" t="str">
        <f t="shared" si="30"/>
        <v>Impianto Ventilazione_Sensore CO/ventilazione generale_MISURA_FUORI_SOGLIA_CO_INFERIORE_SUPERATA_TRAFFICO_FLUIDO_SUD-Misura fuori soglia CO inferiore superata traffico fluido Sud</v>
      </c>
      <c r="B979" t="str">
        <f t="shared" si="31"/>
        <v>MISURA_FUORI_SOGLIA_CO_INFERIORE_SUPERATA_TRAFFICO_FLUIDO_SUD-Misura fuori soglia CO inferiore superata traffico fluido Sud</v>
      </c>
      <c r="C979" t="str">
        <f>VLOOKUP(B979,'[2]Classi allarmi RMT-STIG_rev4'!$C:$C,1,0)</f>
        <v>MISURA_FUORI_SOGLIA_CO_INFERIORE_SUPERATA_TRAFFICO_FLUIDO_SUD-Misura fuori soglia CO inferiore superata traffico fluido Sud</v>
      </c>
      <c r="D979" t="str">
        <f>VLOOKUP(B979,'EXPORT IRIS PROD 13-11-2024'!A:A,1,0)</f>
        <v>MISURA_FUORI_SOGLIA_CO_INFERIORE_SUPERATA_TRAFFICO_FLUIDO_SUD-Misura fuori soglia CO inferiore superata traffico fluido Sud</v>
      </c>
      <c r="E979" t="str">
        <f>VLOOKUP(H979,'EXPORT IRIS PROD 13-11-2024'!F:F,1,0)</f>
        <v>MISURA_FUORI_SOGLIA_CO_INFERIORE_SUPERATA_TRAFFICO_FLUIDO_SUD</v>
      </c>
      <c r="F979" t="str">
        <f>VLOOKUP(I979,'EXPORT IRIS PROD 13-11-2024'!D:D,1,0)</f>
        <v>Misura fuori soglia CO inferiore superata traffico fluido Sud</v>
      </c>
      <c r="G979" s="37" t="s">
        <v>85</v>
      </c>
      <c r="H979" s="38" t="s">
        <v>1758</v>
      </c>
      <c r="I979" s="45" t="s">
        <v>1759</v>
      </c>
      <c r="J979" s="46" t="s">
        <v>50</v>
      </c>
      <c r="K979" s="46" t="s">
        <v>1466</v>
      </c>
      <c r="L979" s="40" t="s">
        <v>21</v>
      </c>
      <c r="M979" s="41" t="s">
        <v>22</v>
      </c>
      <c r="N979" s="42" t="s">
        <v>23</v>
      </c>
      <c r="O979" s="43" t="s">
        <v>24</v>
      </c>
      <c r="P979" s="42" t="s">
        <v>25</v>
      </c>
      <c r="Q979" s="42" t="s">
        <v>21</v>
      </c>
      <c r="R979" s="44"/>
    </row>
    <row r="980" spans="1:18" x14ac:dyDescent="0.25">
      <c r="A980" t="str">
        <f t="shared" si="30"/>
        <v>Impianto Ventilazione_Sensore NO/ventilazione generale_MISURA_FUORI_SOGLIA_NO_INFERIORE_SUPERATA_TRAFFICO_CONGESTIONATO_NORD-Misura fuori soglia NO inferiore superata traffico congestionato Nord</v>
      </c>
      <c r="B980" t="str">
        <f t="shared" si="31"/>
        <v>MISURA_FUORI_SOGLIA_NO_INFERIORE_SUPERATA_TRAFFICO_CONGESTIONATO_NORD-Misura fuori soglia NO inferiore superata traffico congestionato Nord</v>
      </c>
      <c r="C980" t="str">
        <f>VLOOKUP(B980,'[2]Classi allarmi RMT-STIG_rev4'!$C:$C,1,0)</f>
        <v>MISURA_FUORI_SOGLIA_NO_INFERIORE_SUPERATA_TRAFFICO_CONGESTIONATO_NORD-Misura fuori soglia NO inferiore superata traffico congestionato Nord</v>
      </c>
      <c r="D980" t="str">
        <f>VLOOKUP(B980,'EXPORT IRIS PROD 13-11-2024'!A:A,1,0)</f>
        <v>MISURA_FUORI_SOGLIA_NO_INFERIORE_SUPERATA_TRAFFICO_CONGESTIONATO_NORD-Misura fuori soglia NO inferiore superata traffico congestionato Nord</v>
      </c>
      <c r="E980" t="str">
        <f>VLOOKUP(H980,'EXPORT IRIS PROD 13-11-2024'!F:F,1,0)</f>
        <v>MISURA_FUORI_SOGLIA_NO_INFERIORE_SUPERATA_TRAFFICO_CONGESTIONATO_NORD</v>
      </c>
      <c r="F980" t="str">
        <f>VLOOKUP(I980,'EXPORT IRIS PROD 13-11-2024'!D:D,1,0)</f>
        <v>Misura fuori soglia NO inferiore superata traffico congestionato Nord</v>
      </c>
      <c r="G980" s="37" t="s">
        <v>85</v>
      </c>
      <c r="H980" s="38" t="s">
        <v>1760</v>
      </c>
      <c r="I980" s="45" t="s">
        <v>1761</v>
      </c>
      <c r="J980" s="46" t="s">
        <v>50</v>
      </c>
      <c r="K980" s="46" t="s">
        <v>1615</v>
      </c>
      <c r="L980" s="40" t="s">
        <v>21</v>
      </c>
      <c r="M980" s="41" t="s">
        <v>22</v>
      </c>
      <c r="N980" s="42" t="s">
        <v>23</v>
      </c>
      <c r="O980" s="43" t="s">
        <v>24</v>
      </c>
      <c r="P980" s="42" t="s">
        <v>25</v>
      </c>
      <c r="Q980" s="42" t="s">
        <v>21</v>
      </c>
      <c r="R980" s="44"/>
    </row>
    <row r="981" spans="1:18" x14ac:dyDescent="0.25">
      <c r="A981" t="str">
        <f t="shared" si="30"/>
        <v>Impianto Ventilazione_Sensore NO/ventilazione generale_MISURA_FUORI_SOGLIA_NO_INFERIORE_SUPERATA_TRAFFICO_CONGESTIONATO_SUD-Misura fuori soglia NO inferiore superata traffico congestionato Sud</v>
      </c>
      <c r="B981" t="str">
        <f t="shared" si="31"/>
        <v>MISURA_FUORI_SOGLIA_NO_INFERIORE_SUPERATA_TRAFFICO_CONGESTIONATO_SUD-Misura fuori soglia NO inferiore superata traffico congestionato Sud</v>
      </c>
      <c r="C981" t="str">
        <f>VLOOKUP(B981,'[2]Classi allarmi RMT-STIG_rev4'!$C:$C,1,0)</f>
        <v>MISURA_FUORI_SOGLIA_NO_INFERIORE_SUPERATA_TRAFFICO_CONGESTIONATO_SUD-Misura fuori soglia NO inferiore superata traffico congestionato Sud</v>
      </c>
      <c r="D981" t="str">
        <f>VLOOKUP(B981,'EXPORT IRIS PROD 13-11-2024'!A:A,1,0)</f>
        <v>MISURA_FUORI_SOGLIA_NO_INFERIORE_SUPERATA_TRAFFICO_CONGESTIONATO_SUD-Misura fuori soglia NO inferiore superata traffico congestionato Sud</v>
      </c>
      <c r="E981" t="str">
        <f>VLOOKUP(H981,'EXPORT IRIS PROD 13-11-2024'!F:F,1,0)</f>
        <v>MISURA_FUORI_SOGLIA_NO_INFERIORE_SUPERATA_TRAFFICO_CONGESTIONATO_SUD</v>
      </c>
      <c r="F981" t="str">
        <f>VLOOKUP(I981,'EXPORT IRIS PROD 13-11-2024'!D:D,1,0)</f>
        <v>Misura fuori soglia NO inferiore superata traffico congestionato Sud</v>
      </c>
      <c r="G981" s="37" t="s">
        <v>85</v>
      </c>
      <c r="H981" s="38" t="s">
        <v>1762</v>
      </c>
      <c r="I981" s="45" t="s">
        <v>1763</v>
      </c>
      <c r="J981" s="46" t="s">
        <v>50</v>
      </c>
      <c r="K981" s="46" t="s">
        <v>1615</v>
      </c>
      <c r="L981" s="40" t="s">
        <v>21</v>
      </c>
      <c r="M981" s="41" t="s">
        <v>22</v>
      </c>
      <c r="N981" s="42" t="s">
        <v>23</v>
      </c>
      <c r="O981" s="43" t="s">
        <v>24</v>
      </c>
      <c r="P981" s="42" t="s">
        <v>25</v>
      </c>
      <c r="Q981" s="42" t="s">
        <v>21</v>
      </c>
      <c r="R981" s="44"/>
    </row>
    <row r="982" spans="1:18" x14ac:dyDescent="0.25">
      <c r="A982" t="str">
        <f t="shared" si="30"/>
        <v>Impianto Ventilazione_Sensore NO/ventilazione generale_MISURA_FUORI_SOGLIA_NO_INFERIORE_SUPERATA_TRAFFICO_FLUIDO_NORD-Misura fuori soglia NO inferiore superata traffico fluido Nord</v>
      </c>
      <c r="B982" t="str">
        <f t="shared" si="31"/>
        <v>MISURA_FUORI_SOGLIA_NO_INFERIORE_SUPERATA_TRAFFICO_FLUIDO_NORD-Misura fuori soglia NO inferiore superata traffico fluido Nord</v>
      </c>
      <c r="C982" t="str">
        <f>VLOOKUP(B982,'[2]Classi allarmi RMT-STIG_rev4'!$C:$C,1,0)</f>
        <v>MISURA_FUORI_SOGLIA_NO_INFERIORE_SUPERATA_TRAFFICO_FLUIDO_NORD-Misura fuori soglia NO inferiore superata traffico fluido Nord</v>
      </c>
      <c r="D982" t="str">
        <f>VLOOKUP(B982,'EXPORT IRIS PROD 13-11-2024'!A:A,1,0)</f>
        <v>MISURA_FUORI_SOGLIA_NO_INFERIORE_SUPERATA_TRAFFICO_FLUIDO_NORD-Misura fuori soglia NO inferiore superata traffico fluido Nord</v>
      </c>
      <c r="E982" t="str">
        <f>VLOOKUP(H982,'EXPORT IRIS PROD 13-11-2024'!F:F,1,0)</f>
        <v>MISURA_FUORI_SOGLIA_NO_INFERIORE_SUPERATA_TRAFFICO_FLUIDO_NORD</v>
      </c>
      <c r="F982" t="str">
        <f>VLOOKUP(I982,'EXPORT IRIS PROD 13-11-2024'!D:D,1,0)</f>
        <v>Misura fuori soglia NO inferiore superata traffico fluido Nord</v>
      </c>
      <c r="G982" s="37" t="s">
        <v>85</v>
      </c>
      <c r="H982" s="38" t="s">
        <v>1764</v>
      </c>
      <c r="I982" s="45" t="s">
        <v>1765</v>
      </c>
      <c r="J982" s="46" t="s">
        <v>50</v>
      </c>
      <c r="K982" s="46" t="s">
        <v>1615</v>
      </c>
      <c r="L982" s="40" t="s">
        <v>21</v>
      </c>
      <c r="M982" s="41" t="s">
        <v>22</v>
      </c>
      <c r="N982" s="42" t="s">
        <v>23</v>
      </c>
      <c r="O982" s="43" t="s">
        <v>24</v>
      </c>
      <c r="P982" s="42" t="s">
        <v>25</v>
      </c>
      <c r="Q982" s="42" t="s">
        <v>21</v>
      </c>
      <c r="R982" s="44"/>
    </row>
    <row r="983" spans="1:18" x14ac:dyDescent="0.25">
      <c r="A983" t="str">
        <f t="shared" si="30"/>
        <v>Impianto Ventilazione_Sensore OP/ventilazione generale_MISURA_FUORI_SOGLIA_OP_INFERIORE_SUPERATA_TRAFFICO_CONGESTIONATO_NORD-Misura fuori soglia OP inferiore superata traffico congestionato Nord</v>
      </c>
      <c r="B983" t="str">
        <f t="shared" si="31"/>
        <v>MISURA_FUORI_SOGLIA_OP_INFERIORE_SUPERATA_TRAFFICO_CONGESTIONATO_NORD-Misura fuori soglia OP inferiore superata traffico congestionato Nord</v>
      </c>
      <c r="C983" t="str">
        <f>VLOOKUP(B983,'[2]Classi allarmi RMT-STIG_rev4'!$C:$C,1,0)</f>
        <v>MISURA_FUORI_SOGLIA_OP_INFERIORE_SUPERATA_TRAFFICO_CONGESTIONATO_NORD-Misura fuori soglia OP inferiore superata traffico congestionato Nord</v>
      </c>
      <c r="D983" t="str">
        <f>VLOOKUP(B983,'EXPORT IRIS PROD 13-11-2024'!A:A,1,0)</f>
        <v>MISURA_FUORI_SOGLIA_OP_INFERIORE_SUPERATA_TRAFFICO_CONGESTIONATO_NORD-Misura fuori soglia OP inferiore superata traffico congestionato Nord</v>
      </c>
      <c r="E983" t="str">
        <f>VLOOKUP(H983,'EXPORT IRIS PROD 13-11-2024'!F:F,1,0)</f>
        <v>MISURA_FUORI_SOGLIA_OP_INFERIORE_SUPERATA_TRAFFICO_CONGESTIONATO_NORD</v>
      </c>
      <c r="F983" t="str">
        <f>VLOOKUP(I983,'EXPORT IRIS PROD 13-11-2024'!D:D,1,0)</f>
        <v>Misura fuori soglia OP inferiore superata traffico congestionato Nord</v>
      </c>
      <c r="G983" s="37" t="s">
        <v>85</v>
      </c>
      <c r="H983" s="38" t="s">
        <v>1766</v>
      </c>
      <c r="I983" s="45" t="s">
        <v>1767</v>
      </c>
      <c r="J983" s="46" t="s">
        <v>50</v>
      </c>
      <c r="K983" s="46" t="s">
        <v>1768</v>
      </c>
      <c r="L983" s="40" t="s">
        <v>21</v>
      </c>
      <c r="M983" s="41" t="s">
        <v>22</v>
      </c>
      <c r="N983" s="42" t="s">
        <v>23</v>
      </c>
      <c r="O983" s="43" t="s">
        <v>24</v>
      </c>
      <c r="P983" s="42" t="s">
        <v>25</v>
      </c>
      <c r="Q983" s="42" t="s">
        <v>21</v>
      </c>
      <c r="R983" s="44"/>
    </row>
    <row r="984" spans="1:18" x14ac:dyDescent="0.25">
      <c r="A984" t="str">
        <f t="shared" si="30"/>
        <v>Impianto Ventilazione_Sensore OP/ventilazione generale_MISURA_FUORI_SOGLIA_OP_INFERIORE_SUPERATA_TRAFFICO_CONGESTIONATO_SUD-Misura fuori soglia OP inferiore superata traffico congestionato Sud</v>
      </c>
      <c r="B984" t="str">
        <f t="shared" si="31"/>
        <v>MISURA_FUORI_SOGLIA_OP_INFERIORE_SUPERATA_TRAFFICO_CONGESTIONATO_SUD-Misura fuori soglia OP inferiore superata traffico congestionato Sud</v>
      </c>
      <c r="C984" t="str">
        <f>VLOOKUP(B984,'[2]Classi allarmi RMT-STIG_rev4'!$C:$C,1,0)</f>
        <v>MISURA_FUORI_SOGLIA_OP_INFERIORE_SUPERATA_TRAFFICO_CONGESTIONATO_SUD-Misura fuori soglia OP inferiore superata traffico congestionato Sud</v>
      </c>
      <c r="D984" t="str">
        <f>VLOOKUP(B984,'EXPORT IRIS PROD 13-11-2024'!A:A,1,0)</f>
        <v>MISURA_FUORI_SOGLIA_OP_INFERIORE_SUPERATA_TRAFFICO_CONGESTIONATO_SUD-Misura fuori soglia OP inferiore superata traffico congestionato Sud</v>
      </c>
      <c r="E984" t="str">
        <f>VLOOKUP(H984,'EXPORT IRIS PROD 13-11-2024'!F:F,1,0)</f>
        <v>MISURA_FUORI_SOGLIA_OP_INFERIORE_SUPERATA_TRAFFICO_CONGESTIONATO_SUD</v>
      </c>
      <c r="F984" t="str">
        <f>VLOOKUP(I984,'EXPORT IRIS PROD 13-11-2024'!D:D,1,0)</f>
        <v>Misura fuori soglia OP inferiore superata traffico congestionato Sud</v>
      </c>
      <c r="G984" s="37" t="s">
        <v>85</v>
      </c>
      <c r="H984" s="38" t="s">
        <v>1769</v>
      </c>
      <c r="I984" s="45" t="s">
        <v>1770</v>
      </c>
      <c r="J984" s="46" t="s">
        <v>50</v>
      </c>
      <c r="K984" s="46" t="s">
        <v>1768</v>
      </c>
      <c r="L984" s="40" t="s">
        <v>21</v>
      </c>
      <c r="M984" s="41" t="s">
        <v>22</v>
      </c>
      <c r="N984" s="42" t="s">
        <v>23</v>
      </c>
      <c r="O984" s="43" t="s">
        <v>24</v>
      </c>
      <c r="P984" s="42" t="s">
        <v>25</v>
      </c>
      <c r="Q984" s="42" t="s">
        <v>21</v>
      </c>
      <c r="R984" s="44"/>
    </row>
    <row r="985" spans="1:18" x14ac:dyDescent="0.25">
      <c r="A985" t="str">
        <f t="shared" si="30"/>
        <v>Impianto Ventilazione_Sensore OP/ventilazione generale_MISURA_FUORI_SOGLIA_OP_INFERIORE_SUPERATA_TRAFFICO_FLUIDO_NORD-Misura fuori soglia OP inferiore superata traffico fluido Nord</v>
      </c>
      <c r="B985" t="str">
        <f t="shared" si="31"/>
        <v>MISURA_FUORI_SOGLIA_OP_INFERIORE_SUPERATA_TRAFFICO_FLUIDO_NORD-Misura fuori soglia OP inferiore superata traffico fluido Nord</v>
      </c>
      <c r="C985" t="str">
        <f>VLOOKUP(B985,'[2]Classi allarmi RMT-STIG_rev4'!$C:$C,1,0)</f>
        <v>MISURA_FUORI_SOGLIA_OP_INFERIORE_SUPERATA_TRAFFICO_FLUIDO_NORD-Misura fuori soglia OP inferiore superata traffico fluido Nord</v>
      </c>
      <c r="D985" t="str">
        <f>VLOOKUP(B985,'EXPORT IRIS PROD 13-11-2024'!A:A,1,0)</f>
        <v>MISURA_FUORI_SOGLIA_OP_INFERIORE_SUPERATA_TRAFFICO_FLUIDO_NORD-Misura fuori soglia OP inferiore superata traffico fluido Nord</v>
      </c>
      <c r="E985" t="str">
        <f>VLOOKUP(H985,'EXPORT IRIS PROD 13-11-2024'!F:F,1,0)</f>
        <v>MISURA_FUORI_SOGLIA_OP_INFERIORE_SUPERATA_TRAFFICO_FLUIDO_NORD</v>
      </c>
      <c r="F985" t="str">
        <f>VLOOKUP(I985,'EXPORT IRIS PROD 13-11-2024'!D:D,1,0)</f>
        <v>Misura fuori soglia OP inferiore superata traffico fluido Nord</v>
      </c>
      <c r="G985" s="37" t="s">
        <v>85</v>
      </c>
      <c r="H985" s="38" t="s">
        <v>1771</v>
      </c>
      <c r="I985" s="45" t="s">
        <v>1772</v>
      </c>
      <c r="J985" s="46" t="s">
        <v>50</v>
      </c>
      <c r="K985" s="46" t="s">
        <v>1768</v>
      </c>
      <c r="L985" s="40" t="s">
        <v>21</v>
      </c>
      <c r="M985" s="41" t="s">
        <v>22</v>
      </c>
      <c r="N985" s="42" t="s">
        <v>23</v>
      </c>
      <c r="O985" s="43" t="s">
        <v>24</v>
      </c>
      <c r="P985" s="42" t="s">
        <v>25</v>
      </c>
      <c r="Q985" s="42" t="s">
        <v>21</v>
      </c>
      <c r="R985" s="44"/>
    </row>
    <row r="986" spans="1:18" x14ac:dyDescent="0.25">
      <c r="A986" t="str">
        <f t="shared" si="30"/>
        <v>Impianto Ventilazione_Sensore OP/ventilazione generale_MISURA_FUORI_SOGLIA_OP_INFERIORE_SUPERATA_TRAFFICO_FLUIDO_SUD-Misura fuori soglia OP inferiore superata traffico fluido Sud</v>
      </c>
      <c r="B986" t="str">
        <f t="shared" si="31"/>
        <v>MISURA_FUORI_SOGLIA_OP_INFERIORE_SUPERATA_TRAFFICO_FLUIDO_SUD-Misura fuori soglia OP inferiore superata traffico fluido Sud</v>
      </c>
      <c r="C986" t="str">
        <f>VLOOKUP(B986,'[2]Classi allarmi RMT-STIG_rev4'!$C:$C,1,0)</f>
        <v>MISURA_FUORI_SOGLIA_OP_INFERIORE_SUPERATA_TRAFFICO_FLUIDO_SUD-Misura fuori soglia OP inferiore superata traffico fluido Sud</v>
      </c>
      <c r="D986" t="str">
        <f>VLOOKUP(B986,'EXPORT IRIS PROD 13-11-2024'!A:A,1,0)</f>
        <v>MISURA_FUORI_SOGLIA_OP_INFERIORE_SUPERATA_TRAFFICO_FLUIDO_SUD-Misura fuori soglia OP inferiore superata traffico fluido Sud</v>
      </c>
      <c r="E986" t="str">
        <f>VLOOKUP(H986,'EXPORT IRIS PROD 13-11-2024'!F:F,1,0)</f>
        <v>MISURA_FUORI_SOGLIA_OP_INFERIORE_SUPERATA_TRAFFICO_FLUIDO_SUD</v>
      </c>
      <c r="F986" t="str">
        <f>VLOOKUP(I986,'EXPORT IRIS PROD 13-11-2024'!D:D,1,0)</f>
        <v>Misura fuori soglia OP inferiore superata traffico fluido Sud</v>
      </c>
      <c r="G986" s="37" t="s">
        <v>85</v>
      </c>
      <c r="H986" s="38" t="s">
        <v>1773</v>
      </c>
      <c r="I986" s="45" t="s">
        <v>1774</v>
      </c>
      <c r="J986" s="46" t="s">
        <v>50</v>
      </c>
      <c r="K986" s="46" t="s">
        <v>1768</v>
      </c>
      <c r="L986" s="40" t="s">
        <v>21</v>
      </c>
      <c r="M986" s="41" t="s">
        <v>22</v>
      </c>
      <c r="N986" s="42" t="s">
        <v>23</v>
      </c>
      <c r="O986" s="43" t="s">
        <v>24</v>
      </c>
      <c r="P986" s="42" t="s">
        <v>25</v>
      </c>
      <c r="Q986" s="42" t="s">
        <v>21</v>
      </c>
      <c r="R986" s="44"/>
    </row>
    <row r="987" spans="1:18" x14ac:dyDescent="0.25">
      <c r="A987" t="str">
        <f t="shared" si="30"/>
        <v>Impianto videosorveglianza_Telecamera_PEDONE_CORSIA_LENTA-Allarme pedone corsia lenta</v>
      </c>
      <c r="B987" t="str">
        <f t="shared" si="31"/>
        <v>PEDONE_CORSIA_LENTA-Allarme pedone corsia lenta</v>
      </c>
      <c r="C987" t="str">
        <f>VLOOKUP(B987,'[2]Classi allarmi RMT-STIG_rev4'!$C:$C,1,0)</f>
        <v>PEDONE_CORSIA_LENTA-Allarme pedone corsia lenta</v>
      </c>
      <c r="D987" t="str">
        <f>VLOOKUP(B987,'EXPORT IRIS PROD 13-11-2024'!A:A,1,0)</f>
        <v>PEDONE_CORSIA_LENTA-Allarme pedone corsia lenta</v>
      </c>
      <c r="E987" t="str">
        <f>VLOOKUP(H987,'EXPORT IRIS PROD 13-11-2024'!F:F,1,0)</f>
        <v>PEDONE_CORSIA_LENTA</v>
      </c>
      <c r="F987" t="str">
        <f>VLOOKUP(I987,'EXPORT IRIS PROD 13-11-2024'!D:D,1,0)</f>
        <v>Allarme pedone corsia lenta</v>
      </c>
      <c r="G987" s="37" t="s">
        <v>471</v>
      </c>
      <c r="H987" s="38" t="s">
        <v>1775</v>
      </c>
      <c r="I987" s="38" t="s">
        <v>1776</v>
      </c>
      <c r="J987" s="39" t="s">
        <v>1337</v>
      </c>
      <c r="K987" s="39" t="s">
        <v>1321</v>
      </c>
      <c r="L987" s="40" t="s">
        <v>31</v>
      </c>
      <c r="M987" s="41" t="s">
        <v>32</v>
      </c>
      <c r="N987" s="43">
        <v>1</v>
      </c>
      <c r="O987" s="43" t="s">
        <v>33</v>
      </c>
      <c r="P987" s="42" t="s">
        <v>34</v>
      </c>
      <c r="Q987" s="42" t="s">
        <v>31</v>
      </c>
      <c r="R987" s="44"/>
    </row>
    <row r="988" spans="1:18" x14ac:dyDescent="0.25">
      <c r="A988" t="str">
        <f t="shared" si="30"/>
        <v>Impianto videosorveglianza_Telecamera_PEDONE_CORSIA_MARCIA_NORD-Allarme pedone corsia di marcia nord</v>
      </c>
      <c r="B988" t="str">
        <f t="shared" si="31"/>
        <v>PEDONE_CORSIA_MARCIA_NORD-Allarme pedone corsia di marcia nord</v>
      </c>
      <c r="C988" t="str">
        <f>VLOOKUP(B988,'[2]Classi allarmi RMT-STIG_rev4'!$C:$C,1,0)</f>
        <v>PEDONE_CORSIA_MARCIA_NORD-Allarme pedone corsia di marcia nord</v>
      </c>
      <c r="D988" t="str">
        <f>VLOOKUP(B988,'EXPORT IRIS PROD 13-11-2024'!A:A,1,0)</f>
        <v>PEDONE_CORSIA_MARCIA_NORD-Allarme pedone corsia di marcia nord</v>
      </c>
      <c r="E988" t="str">
        <f>VLOOKUP(H988,'EXPORT IRIS PROD 13-11-2024'!F:F,1,0)</f>
        <v>PEDONE_CORSIA_MARCIA_NORD</v>
      </c>
      <c r="F988" t="str">
        <f>VLOOKUP(I988,'EXPORT IRIS PROD 13-11-2024'!D:D,1,0)</f>
        <v>Allarme pedone corsia di marcia nord</v>
      </c>
      <c r="G988" s="37" t="s">
        <v>471</v>
      </c>
      <c r="H988" s="38" t="s">
        <v>1777</v>
      </c>
      <c r="I988" s="45" t="s">
        <v>1778</v>
      </c>
      <c r="J988" s="46" t="s">
        <v>1337</v>
      </c>
      <c r="K988" s="46" t="s">
        <v>1321</v>
      </c>
      <c r="L988" s="47" t="s">
        <v>31</v>
      </c>
      <c r="M988" s="48" t="s">
        <v>32</v>
      </c>
      <c r="N988" s="43">
        <v>1</v>
      </c>
      <c r="O988" s="43" t="s">
        <v>33</v>
      </c>
      <c r="P988" s="43" t="s">
        <v>34</v>
      </c>
      <c r="Q988" s="43" t="s">
        <v>31</v>
      </c>
      <c r="R988" s="44"/>
    </row>
    <row r="989" spans="1:18" x14ac:dyDescent="0.25">
      <c r="A989" t="str">
        <f t="shared" si="30"/>
        <v>Impianto videosorveglianza_Telecamera_PEDONE_CORSIA_MARCIA_NORD-Allarme pedone corsia di marcia nord</v>
      </c>
      <c r="B989" t="str">
        <f t="shared" si="31"/>
        <v>PEDONE_CORSIA_MARCIA_NORD-Allarme pedone corsia di marcia nord</v>
      </c>
      <c r="C989" t="str">
        <f>VLOOKUP(B989,'[2]Classi allarmi RMT-STIG_rev4'!$C:$C,1,0)</f>
        <v>PEDONE_CORSIA_MARCIA_NORD-Allarme pedone corsia di marcia nord</v>
      </c>
      <c r="D989" t="str">
        <f>VLOOKUP(B989,'EXPORT IRIS PROD 13-11-2024'!A:A,1,0)</f>
        <v>PEDONE_CORSIA_MARCIA_NORD-Allarme pedone corsia di marcia nord</v>
      </c>
      <c r="E989" t="str">
        <f>VLOOKUP(H989,'EXPORT IRIS PROD 13-11-2024'!F:F,1,0)</f>
        <v>PEDONE_CORSIA_MARCIA_NORD</v>
      </c>
      <c r="F989" t="str">
        <f>VLOOKUP(I989,'EXPORT IRIS PROD 13-11-2024'!D:D,1,0)</f>
        <v>Allarme pedone corsia di marcia nord</v>
      </c>
      <c r="G989" s="37" t="s">
        <v>471</v>
      </c>
      <c r="H989" s="38" t="s">
        <v>1777</v>
      </c>
      <c r="I989" s="45" t="s">
        <v>1778</v>
      </c>
      <c r="J989" s="46" t="s">
        <v>1337</v>
      </c>
      <c r="K989" s="46" t="s">
        <v>1321</v>
      </c>
      <c r="L989" s="47" t="s">
        <v>31</v>
      </c>
      <c r="M989" s="48" t="s">
        <v>32</v>
      </c>
      <c r="N989" s="43">
        <v>1</v>
      </c>
      <c r="O989" s="43" t="s">
        <v>33</v>
      </c>
      <c r="P989" s="43" t="s">
        <v>34</v>
      </c>
      <c r="Q989" s="43" t="s">
        <v>31</v>
      </c>
      <c r="R989" s="95" t="s">
        <v>2052</v>
      </c>
    </row>
    <row r="990" spans="1:18" x14ac:dyDescent="0.25">
      <c r="A990" t="str">
        <f t="shared" si="30"/>
        <v>Impianto videosorveglianza_TVCC generale_PEDONE_CORSIA_MARCIA_SUD-Allarme pedone corsia di marcia sud</v>
      </c>
      <c r="B990" t="str">
        <f t="shared" si="31"/>
        <v>PEDONE_CORSIA_MARCIA_SUD-Allarme pedone corsia di marcia sud</v>
      </c>
      <c r="C990" t="str">
        <f>VLOOKUP(B990,'[2]Classi allarmi RMT-STIG_rev4'!$C:$C,1,0)</f>
        <v>PEDONE_CORSIA_MARCIA_SUD-Allarme pedone corsia di marcia sud</v>
      </c>
      <c r="D990" t="str">
        <f>VLOOKUP(B990,'EXPORT IRIS PROD 13-11-2024'!A:A,1,0)</f>
        <v>PEDONE_CORSIA_MARCIA_SUD-Allarme pedone corsia di marcia sud</v>
      </c>
      <c r="E990" t="str">
        <f>VLOOKUP(H990,'EXPORT IRIS PROD 13-11-2024'!F:F,1,0)</f>
        <v>PEDONE_CORSIA_MARCIA_SUD</v>
      </c>
      <c r="F990" t="str">
        <f>VLOOKUP(I990,'EXPORT IRIS PROD 13-11-2024'!D:D,1,0)</f>
        <v>Allarme pedone corsia di marcia sud</v>
      </c>
      <c r="G990" s="37" t="s">
        <v>471</v>
      </c>
      <c r="H990" s="38" t="s">
        <v>1779</v>
      </c>
      <c r="I990" s="45" t="s">
        <v>1780</v>
      </c>
      <c r="J990" s="46" t="s">
        <v>1337</v>
      </c>
      <c r="K990" s="46" t="s">
        <v>1338</v>
      </c>
      <c r="L990" s="47" t="s">
        <v>31</v>
      </c>
      <c r="M990" s="48" t="s">
        <v>32</v>
      </c>
      <c r="N990" s="43">
        <v>1</v>
      </c>
      <c r="O990" s="43" t="s">
        <v>33</v>
      </c>
      <c r="P990" s="43" t="s">
        <v>34</v>
      </c>
      <c r="Q990" s="43" t="s">
        <v>31</v>
      </c>
      <c r="R990" s="44"/>
    </row>
    <row r="991" spans="1:18" x14ac:dyDescent="0.25">
      <c r="A991" t="str">
        <f t="shared" si="30"/>
        <v>Impianto videosorveglianza_Telecamera_PEDONE_CORSIA_MARCIA_SUD-Allarme pedone corsia di marcia sud</v>
      </c>
      <c r="B991" t="str">
        <f t="shared" si="31"/>
        <v>PEDONE_CORSIA_MARCIA_SUD-Allarme pedone corsia di marcia sud</v>
      </c>
      <c r="C991" t="str">
        <f>VLOOKUP(B991,'[2]Classi allarmi RMT-STIG_rev4'!$C:$C,1,0)</f>
        <v>PEDONE_CORSIA_MARCIA_SUD-Allarme pedone corsia di marcia sud</v>
      </c>
      <c r="D991" t="str">
        <f>VLOOKUP(B991,'EXPORT IRIS PROD 13-11-2024'!A:A,1,0)</f>
        <v>PEDONE_CORSIA_MARCIA_SUD-Allarme pedone corsia di marcia sud</v>
      </c>
      <c r="E991" t="str">
        <f>VLOOKUP(H991,'EXPORT IRIS PROD 13-11-2024'!F:F,1,0)</f>
        <v>PEDONE_CORSIA_MARCIA_SUD</v>
      </c>
      <c r="F991" t="str">
        <f>VLOOKUP(I991,'EXPORT IRIS PROD 13-11-2024'!D:D,1,0)</f>
        <v>Allarme pedone corsia di marcia sud</v>
      </c>
      <c r="G991" s="37" t="s">
        <v>471</v>
      </c>
      <c r="H991" s="38" t="s">
        <v>1779</v>
      </c>
      <c r="I991" s="45" t="s">
        <v>1780</v>
      </c>
      <c r="J991" s="46" t="s">
        <v>1337</v>
      </c>
      <c r="K991" s="46" t="s">
        <v>1321</v>
      </c>
      <c r="L991" s="47" t="s">
        <v>31</v>
      </c>
      <c r="M991" s="48" t="s">
        <v>32</v>
      </c>
      <c r="N991" s="43">
        <v>1</v>
      </c>
      <c r="O991" s="43" t="s">
        <v>33</v>
      </c>
      <c r="P991" s="43" t="s">
        <v>34</v>
      </c>
      <c r="Q991" s="43" t="s">
        <v>31</v>
      </c>
      <c r="R991" s="44"/>
    </row>
    <row r="992" spans="1:18" x14ac:dyDescent="0.25">
      <c r="A992" t="str">
        <f t="shared" si="30"/>
        <v>Impianto videosorveglianza_Telecamera_PEDONE_DIR_NORD-Allarme presenza pedone direzione Nord</v>
      </c>
      <c r="B992" t="str">
        <f t="shared" si="31"/>
        <v>PEDONE_DIR_NORD-Allarme presenza pedone direzione Nord</v>
      </c>
      <c r="C992" t="str">
        <f>VLOOKUP(B992,'[2]Classi allarmi RMT-STIG_rev4'!$C:$C,1,0)</f>
        <v>PEDONE_DIR_NORD-Allarme presenza pedone direzione Nord</v>
      </c>
      <c r="D992" t="str">
        <f>VLOOKUP(B992,'EXPORT IRIS PROD 13-11-2024'!A:A,1,0)</f>
        <v>PEDONE_DIR_NORD-Allarme presenza pedone direzione Nord</v>
      </c>
      <c r="E992" t="str">
        <f>VLOOKUP(H992,'EXPORT IRIS PROD 13-11-2024'!F:F,1,0)</f>
        <v>PEDONE_DIR_NORD</v>
      </c>
      <c r="F992" t="str">
        <f>VLOOKUP(I992,'EXPORT IRIS PROD 13-11-2024'!D:D,1,0)</f>
        <v>Allarme presenza pedone direzione Nord</v>
      </c>
      <c r="G992" s="37" t="s">
        <v>471</v>
      </c>
      <c r="H992" s="38" t="s">
        <v>1781</v>
      </c>
      <c r="I992" s="45" t="s">
        <v>1782</v>
      </c>
      <c r="J992" s="46" t="s">
        <v>1337</v>
      </c>
      <c r="K992" s="46" t="s">
        <v>1321</v>
      </c>
      <c r="L992" s="47" t="s">
        <v>31</v>
      </c>
      <c r="M992" s="48" t="s">
        <v>32</v>
      </c>
      <c r="N992" s="43">
        <v>1</v>
      </c>
      <c r="O992" s="43" t="s">
        <v>33</v>
      </c>
      <c r="P992" s="43" t="s">
        <v>34</v>
      </c>
      <c r="Q992" s="43" t="s">
        <v>31</v>
      </c>
      <c r="R992" s="44"/>
    </row>
    <row r="993" spans="1:18" x14ac:dyDescent="0.25">
      <c r="A993" t="str">
        <f t="shared" si="30"/>
        <v>Impianto videosorveglianza_TVCC generale_PEDONE_DIR_NORD-Allarme presenza pedone direzione Nord</v>
      </c>
      <c r="B993" t="str">
        <f t="shared" si="31"/>
        <v>PEDONE_DIR_NORD-Allarme presenza pedone direzione Nord</v>
      </c>
      <c r="C993" t="str">
        <f>VLOOKUP(B993,'[2]Classi allarmi RMT-STIG_rev4'!$C:$C,1,0)</f>
        <v>PEDONE_DIR_NORD-Allarme presenza pedone direzione Nord</v>
      </c>
      <c r="D993" t="str">
        <f>VLOOKUP(B993,'EXPORT IRIS PROD 13-11-2024'!A:A,1,0)</f>
        <v>PEDONE_DIR_NORD-Allarme presenza pedone direzione Nord</v>
      </c>
      <c r="E993" t="str">
        <f>VLOOKUP(H993,'EXPORT IRIS PROD 13-11-2024'!F:F,1,0)</f>
        <v>PEDONE_DIR_NORD</v>
      </c>
      <c r="F993" t="str">
        <f>VLOOKUP(I993,'EXPORT IRIS PROD 13-11-2024'!D:D,1,0)</f>
        <v>Allarme presenza pedone direzione Nord</v>
      </c>
      <c r="G993" s="37" t="s">
        <v>471</v>
      </c>
      <c r="H993" s="38" t="s">
        <v>1781</v>
      </c>
      <c r="I993" s="45" t="s">
        <v>1782</v>
      </c>
      <c r="J993" s="46" t="s">
        <v>1337</v>
      </c>
      <c r="K993" s="46" t="s">
        <v>1338</v>
      </c>
      <c r="L993" s="47" t="s">
        <v>31</v>
      </c>
      <c r="M993" s="48" t="s">
        <v>32</v>
      </c>
      <c r="N993" s="43">
        <v>1</v>
      </c>
      <c r="O993" s="43" t="s">
        <v>33</v>
      </c>
      <c r="P993" s="43" t="s">
        <v>34</v>
      </c>
      <c r="Q993" s="43" t="s">
        <v>31</v>
      </c>
      <c r="R993" s="44"/>
    </row>
    <row r="994" spans="1:18" x14ac:dyDescent="0.25">
      <c r="A994" t="str">
        <f t="shared" si="30"/>
        <v>Impianto videosorveglianza_Telecamera_PEDONE_DIR_SUD-Allarme presenza pedone direzione Sud</v>
      </c>
      <c r="B994" t="str">
        <f t="shared" si="31"/>
        <v>PEDONE_DIR_SUD-Allarme presenza pedone direzione Sud</v>
      </c>
      <c r="C994" t="str">
        <f>VLOOKUP(B994,'[2]Classi allarmi RMT-STIG_rev4'!$C:$C,1,0)</f>
        <v>PEDONE_DIR_SUD-Allarme presenza pedone direzione Sud</v>
      </c>
      <c r="D994" t="str">
        <f>VLOOKUP(B994,'EXPORT IRIS PROD 13-11-2024'!A:A,1,0)</f>
        <v>PEDONE_DIR_SUD-Allarme presenza pedone direzione Sud</v>
      </c>
      <c r="E994" t="str">
        <f>VLOOKUP(H994,'EXPORT IRIS PROD 13-11-2024'!F:F,1,0)</f>
        <v>PEDONE_DIR_SUD</v>
      </c>
      <c r="F994" t="str">
        <f>VLOOKUP(I994,'EXPORT IRIS PROD 13-11-2024'!D:D,1,0)</f>
        <v>Allarme presenza pedone direzione Sud</v>
      </c>
      <c r="G994" s="37" t="s">
        <v>471</v>
      </c>
      <c r="H994" s="38" t="s">
        <v>1783</v>
      </c>
      <c r="I994" s="45" t="s">
        <v>1784</v>
      </c>
      <c r="J994" s="46" t="s">
        <v>1337</v>
      </c>
      <c r="K994" s="46" t="s">
        <v>1321</v>
      </c>
      <c r="L994" s="47" t="s">
        <v>31</v>
      </c>
      <c r="M994" s="48" t="s">
        <v>32</v>
      </c>
      <c r="N994" s="43">
        <v>1</v>
      </c>
      <c r="O994" s="43" t="s">
        <v>33</v>
      </c>
      <c r="P994" s="43" t="s">
        <v>34</v>
      </c>
      <c r="Q994" s="43" t="s">
        <v>31</v>
      </c>
      <c r="R994" s="44"/>
    </row>
    <row r="995" spans="1:18" x14ac:dyDescent="0.25">
      <c r="A995" t="str">
        <f t="shared" si="30"/>
        <v>Impianto videosorveglianza_TVCC generale_PEDONE_DIR_SUD-Allarme presenza pedone direzione Sud</v>
      </c>
      <c r="B995" t="str">
        <f t="shared" si="31"/>
        <v>PEDONE_DIR_SUD-Allarme presenza pedone direzione Sud</v>
      </c>
      <c r="C995" t="str">
        <f>VLOOKUP(B995,'[2]Classi allarmi RMT-STIG_rev4'!$C:$C,1,0)</f>
        <v>PEDONE_DIR_SUD-Allarme presenza pedone direzione Sud</v>
      </c>
      <c r="D995" t="str">
        <f>VLOOKUP(B995,'EXPORT IRIS PROD 13-11-2024'!A:A,1,0)</f>
        <v>PEDONE_DIR_SUD-Allarme presenza pedone direzione Sud</v>
      </c>
      <c r="E995" t="str">
        <f>VLOOKUP(H995,'EXPORT IRIS PROD 13-11-2024'!F:F,1,0)</f>
        <v>PEDONE_DIR_SUD</v>
      </c>
      <c r="F995" t="str">
        <f>VLOOKUP(I995,'EXPORT IRIS PROD 13-11-2024'!D:D,1,0)</f>
        <v>Allarme presenza pedone direzione Sud</v>
      </c>
      <c r="G995" s="37" t="s">
        <v>471</v>
      </c>
      <c r="H995" s="38" t="s">
        <v>1783</v>
      </c>
      <c r="I995" s="45" t="s">
        <v>1784</v>
      </c>
      <c r="J995" s="46" t="s">
        <v>1337</v>
      </c>
      <c r="K995" s="46" t="s">
        <v>1338</v>
      </c>
      <c r="L995" s="47" t="s">
        <v>31</v>
      </c>
      <c r="M995" s="48" t="s">
        <v>32</v>
      </c>
      <c r="N995" s="43">
        <v>1</v>
      </c>
      <c r="O995" s="43" t="s">
        <v>33</v>
      </c>
      <c r="P995" s="43" t="s">
        <v>34</v>
      </c>
      <c r="Q995" s="43" t="s">
        <v>31</v>
      </c>
      <c r="R995" s="44"/>
    </row>
    <row r="996" spans="1:18" x14ac:dyDescent="0.25">
      <c r="A996" t="str">
        <f t="shared" si="30"/>
        <v>Impianto Rilevazione Incendio_Centralina rilevazione incendio/fibrolaser_PRE_ALLARME_INCENDIO_NORD-Preallarme incendio direzione nord</v>
      </c>
      <c r="B996" t="str">
        <f t="shared" si="31"/>
        <v>PRE_ALLARME_INCENDIO_NORD-Preallarme incendio direzione nord</v>
      </c>
      <c r="C996" t="str">
        <f>VLOOKUP(B996,'[2]Classi allarmi RMT-STIG_rev4'!$C:$C,1,0)</f>
        <v>PRE_ALLARME_INCENDIO_NORD-Preallarme incendio direzione nord</v>
      </c>
      <c r="D996" t="str">
        <f>VLOOKUP(B996,'EXPORT IRIS PROD 13-11-2024'!A:A,1,0)</f>
        <v>PRE_ALLARME_INCENDIO_NORD-Preallarme incendio direzione nord</v>
      </c>
      <c r="E996" t="str">
        <f>VLOOKUP(H996,'EXPORT IRIS PROD 13-11-2024'!F:F,1,0)</f>
        <v>PRE_ALLARME_INCENDIO_NORD</v>
      </c>
      <c r="F996" t="str">
        <f>VLOOKUP(I996,'EXPORT IRIS PROD 13-11-2024'!D:D,1,0)</f>
        <v>Preallarme incendio direzione nord</v>
      </c>
      <c r="G996" s="37" t="s">
        <v>47</v>
      </c>
      <c r="H996" s="38" t="s">
        <v>1785</v>
      </c>
      <c r="I996" s="45" t="s">
        <v>1786</v>
      </c>
      <c r="J996" s="46" t="s">
        <v>43</v>
      </c>
      <c r="K996" s="46" t="s">
        <v>394</v>
      </c>
      <c r="L996" s="47" t="s">
        <v>31</v>
      </c>
      <c r="M996" s="48" t="s">
        <v>32</v>
      </c>
      <c r="N996" s="43">
        <v>2</v>
      </c>
      <c r="O996" s="43" t="s">
        <v>45</v>
      </c>
      <c r="P996" s="43" t="s">
        <v>46</v>
      </c>
      <c r="Q996" s="43" t="s">
        <v>31</v>
      </c>
      <c r="R996" s="49"/>
    </row>
    <row r="997" spans="1:18" x14ac:dyDescent="0.25">
      <c r="A997" t="str">
        <f t="shared" si="30"/>
        <v>Impianto Rilevazione Incendio_Centralina rilevazione incendio/fibrolaser_PRE_ALLARME_INCENDIO_SUD-Preallarme incendio direzione sud</v>
      </c>
      <c r="B997" t="str">
        <f t="shared" si="31"/>
        <v>PRE_ALLARME_INCENDIO_SUD-Preallarme incendio direzione sud</v>
      </c>
      <c r="C997" t="str">
        <f>VLOOKUP(B997,'[2]Classi allarmi RMT-STIG_rev4'!$C:$C,1,0)</f>
        <v>PRE_ALLARME_INCENDIO_SUD-Preallarme incendio direzione sud</v>
      </c>
      <c r="D997" t="str">
        <f>VLOOKUP(B997,'EXPORT IRIS PROD 13-11-2024'!A:A,1,0)</f>
        <v>PRE_ALLARME_INCENDIO_SUD-Preallarme incendio direzione sud</v>
      </c>
      <c r="E997" t="str">
        <f>VLOOKUP(H997,'EXPORT IRIS PROD 13-11-2024'!F:F,1,0)</f>
        <v>PRE_ALLARME_INCENDIO_SUD</v>
      </c>
      <c r="F997" t="str">
        <f>VLOOKUP(I997,'EXPORT IRIS PROD 13-11-2024'!D:D,1,0)</f>
        <v>Preallarme incendio direzione sud</v>
      </c>
      <c r="G997" s="37" t="s">
        <v>47</v>
      </c>
      <c r="H997" s="38" t="s">
        <v>1787</v>
      </c>
      <c r="I997" s="45" t="s">
        <v>1788</v>
      </c>
      <c r="J997" s="46" t="s">
        <v>43</v>
      </c>
      <c r="K997" s="46" t="s">
        <v>394</v>
      </c>
      <c r="L997" s="47" t="s">
        <v>31</v>
      </c>
      <c r="M997" s="48" t="s">
        <v>32</v>
      </c>
      <c r="N997" s="43">
        <v>2</v>
      </c>
      <c r="O997" s="43" t="s">
        <v>45</v>
      </c>
      <c r="P997" s="43" t="s">
        <v>46</v>
      </c>
      <c r="Q997" s="43" t="s">
        <v>31</v>
      </c>
      <c r="R997" s="49"/>
    </row>
    <row r="998" spans="1:18" x14ac:dyDescent="0.25">
      <c r="A998" t="str">
        <f t="shared" si="30"/>
        <v>Impianto Antincendio_Centralina antincendio_PRE_ALR_CENTRALINA-Preallarme centralina</v>
      </c>
      <c r="B998" t="str">
        <f t="shared" si="31"/>
        <v>PRE_ALR_CENTRALINA-Preallarme centralina</v>
      </c>
      <c r="C998" t="str">
        <f>VLOOKUP(B998,'[2]Classi allarmi RMT-STIG_rev4'!$C:$C,1,0)</f>
        <v>PRE_ALR_CENTRALINA-Preallarme centralina</v>
      </c>
      <c r="D998" t="str">
        <f>VLOOKUP(B998,'EXPORT IRIS PROD 13-11-2024'!A:A,1,0)</f>
        <v>PRE_ALR_CENTRALINA-Preallarme centralina</v>
      </c>
      <c r="E998" t="str">
        <f>VLOOKUP(H998,'EXPORT IRIS PROD 13-11-2024'!F:F,1,0)</f>
        <v>PRE_ALR_CENTRALINA</v>
      </c>
      <c r="F998" t="str">
        <f>VLOOKUP(I998,'EXPORT IRIS PROD 13-11-2024'!D:D,1,0)</f>
        <v>Preallarme centralina</v>
      </c>
      <c r="G998" s="37" t="s">
        <v>35</v>
      </c>
      <c r="H998" s="38" t="s">
        <v>1789</v>
      </c>
      <c r="I998" s="38" t="s">
        <v>1790</v>
      </c>
      <c r="J998" s="39" t="s">
        <v>38</v>
      </c>
      <c r="K998" s="39" t="s">
        <v>130</v>
      </c>
      <c r="L998" s="40" t="s">
        <v>21</v>
      </c>
      <c r="M998" s="41" t="s">
        <v>22</v>
      </c>
      <c r="N998" s="42" t="s">
        <v>23</v>
      </c>
      <c r="O998" s="43" t="s">
        <v>24</v>
      </c>
      <c r="P998" s="42" t="s">
        <v>25</v>
      </c>
      <c r="Q998" s="42" t="s">
        <v>21</v>
      </c>
      <c r="R998" s="44"/>
    </row>
    <row r="999" spans="1:18" x14ac:dyDescent="0.25">
      <c r="A999" t="str">
        <f t="shared" si="30"/>
        <v>Impianto elettrico_Trasformatore_PREALLARME_CENTRALINA_FAULT-Preallarme centralina termometrica trasformatore</v>
      </c>
      <c r="B999" t="str">
        <f t="shared" si="31"/>
        <v>PREALLARME_CENTRALINA_FAULT-Preallarme centralina termometrica trasformatore</v>
      </c>
      <c r="C999" t="str">
        <f>VLOOKUP(B999,'[2]Classi allarmi RMT-STIG_rev4'!$C:$C,1,0)</f>
        <v>PREALLARME_CENTRALINA_FAULT-Preallarme centralina termometrica trasformatore</v>
      </c>
      <c r="D999" t="str">
        <f>VLOOKUP(B999,'EXPORT IRIS PROD 13-11-2024'!A:A,1,0)</f>
        <v>PREALLARME_CENTRALINA_FAULT-Preallarme centralina termometrica trasformatore</v>
      </c>
      <c r="E999" t="str">
        <f>VLOOKUP(H999,'EXPORT IRIS PROD 13-11-2024'!F:F,1,0)</f>
        <v>PREALLARME_CENTRALINA_FAULT</v>
      </c>
      <c r="F999" t="str">
        <f>VLOOKUP(I999,'EXPORT IRIS PROD 13-11-2024'!D:D,1,0)</f>
        <v>Preallarme centralina termometrica trasformatore</v>
      </c>
      <c r="G999" s="37" t="s">
        <v>53</v>
      </c>
      <c r="H999" s="38" t="s">
        <v>1791</v>
      </c>
      <c r="I999" s="45" t="s">
        <v>1792</v>
      </c>
      <c r="J999" s="46" t="s">
        <v>1106</v>
      </c>
      <c r="K999" s="46" t="s">
        <v>208</v>
      </c>
      <c r="L999" s="40" t="s">
        <v>21</v>
      </c>
      <c r="M999" s="41" t="s">
        <v>22</v>
      </c>
      <c r="N999" s="42" t="s">
        <v>23</v>
      </c>
      <c r="O999" s="43" t="s">
        <v>24</v>
      </c>
      <c r="P999" s="42" t="s">
        <v>25</v>
      </c>
      <c r="Q999" s="42" t="s">
        <v>21</v>
      </c>
      <c r="R999" s="44"/>
    </row>
    <row r="1000" spans="1:18" x14ac:dyDescent="0.25">
      <c r="A1000" t="str">
        <f t="shared" si="30"/>
        <v>Impianto Ventilazione_Centrale aspirazione_PREALLARME_VIBRA_BASAMENTO-Preallarme vibrazioni basamento</v>
      </c>
      <c r="B1000" t="str">
        <f t="shared" si="31"/>
        <v>PREALLARME_VIBRA_BASAMENTO-Preallarme vibrazioni basamento</v>
      </c>
      <c r="C1000" t="str">
        <f>VLOOKUP(B1000,'[2]Classi allarmi RMT-STIG_rev4'!$C:$C,1,0)</f>
        <v>PREALLARME_VIBRA_BASAMENTO-Preallarme vibrazioni basamento</v>
      </c>
      <c r="D1000" t="str">
        <f>VLOOKUP(B1000,'EXPORT IRIS PROD 13-11-2024'!A:A,1,0)</f>
        <v>PREALLARME_VIBRA_BASAMENTO-Preallarme vibrazioni basamento</v>
      </c>
      <c r="E1000" t="str">
        <f>VLOOKUP(H1000,'EXPORT IRIS PROD 13-11-2024'!F:F,1,0)</f>
        <v>PREALLARME_VIBRA_BASAMENTO</v>
      </c>
      <c r="F1000" t="str">
        <f>VLOOKUP(I1000,'EXPORT IRIS PROD 13-11-2024'!D:D,1,0)</f>
        <v>Preallarme vibrazioni basamento</v>
      </c>
      <c r="G1000" s="37" t="s">
        <v>85</v>
      </c>
      <c r="H1000" s="38" t="s">
        <v>1793</v>
      </c>
      <c r="I1000" s="45" t="s">
        <v>1794</v>
      </c>
      <c r="J1000" s="46" t="s">
        <v>50</v>
      </c>
      <c r="K1000" s="46" t="s">
        <v>1639</v>
      </c>
      <c r="L1000" s="40" t="s">
        <v>21</v>
      </c>
      <c r="M1000" s="41" t="s">
        <v>22</v>
      </c>
      <c r="N1000" s="42" t="s">
        <v>23</v>
      </c>
      <c r="O1000" s="43" t="s">
        <v>24</v>
      </c>
      <c r="P1000" s="42" t="s">
        <v>25</v>
      </c>
      <c r="Q1000" s="42" t="s">
        <v>21</v>
      </c>
      <c r="R1000" s="44"/>
    </row>
    <row r="1001" spans="1:18" x14ac:dyDescent="0.25">
      <c r="A1001" t="str">
        <f t="shared" si="30"/>
        <v>Impianto Ventilazione_Centrale aspirazione_PREALLARME_VIBRA_CARCASSA-Preallarme vibrazioni carcassa</v>
      </c>
      <c r="B1001" t="str">
        <f t="shared" si="31"/>
        <v>PREALLARME_VIBRA_CARCASSA-Preallarme vibrazioni carcassa</v>
      </c>
      <c r="C1001" t="str">
        <f>VLOOKUP(B1001,'[2]Classi allarmi RMT-STIG_rev4'!$C:$C,1,0)</f>
        <v>PREALLARME_VIBRA_CARCASSA-Preallarme vibrazioni carcassa</v>
      </c>
      <c r="D1001" t="str">
        <f>VLOOKUP(B1001,'EXPORT IRIS PROD 13-11-2024'!A:A,1,0)</f>
        <v>PREALLARME_VIBRA_CARCASSA-Preallarme vibrazioni carcassa</v>
      </c>
      <c r="E1001" t="str">
        <f>VLOOKUP(H1001,'EXPORT IRIS PROD 13-11-2024'!F:F,1,0)</f>
        <v>PREALLARME_VIBRA_CARCASSA</v>
      </c>
      <c r="F1001" t="str">
        <f>VLOOKUP(I1001,'EXPORT IRIS PROD 13-11-2024'!D:D,1,0)</f>
        <v>Preallarme vibrazioni carcassa</v>
      </c>
      <c r="G1001" s="37" t="s">
        <v>85</v>
      </c>
      <c r="H1001" s="38" t="s">
        <v>1795</v>
      </c>
      <c r="I1001" s="45" t="s">
        <v>1796</v>
      </c>
      <c r="J1001" s="46" t="s">
        <v>50</v>
      </c>
      <c r="K1001" s="46" t="s">
        <v>1639</v>
      </c>
      <c r="L1001" s="40" t="s">
        <v>21</v>
      </c>
      <c r="M1001" s="41" t="s">
        <v>22</v>
      </c>
      <c r="N1001" s="42" t="s">
        <v>23</v>
      </c>
      <c r="O1001" s="43" t="s">
        <v>24</v>
      </c>
      <c r="P1001" s="42" t="s">
        <v>25</v>
      </c>
      <c r="Q1001" s="42" t="s">
        <v>21</v>
      </c>
      <c r="R1001" s="44"/>
    </row>
    <row r="1002" spans="1:18" x14ac:dyDescent="0.25">
      <c r="A1002" t="str">
        <f t="shared" si="30"/>
        <v>Impianto elettrico_Interruttore_SCATTO_TERMICO_SCT-Allarme scatto protezione magnetotermica</v>
      </c>
      <c r="B1002" t="str">
        <f t="shared" si="31"/>
        <v>SCATTO_TERMICO_SCT-Allarme scatto protezione magnetotermica</v>
      </c>
      <c r="C1002" t="str">
        <f>VLOOKUP(B1002,'[2]Classi allarmi RMT-STIG_rev4'!$C:$C,1,0)</f>
        <v>SCATTO_TERMICO_SCT-Allarme scatto protezione magnetotermica</v>
      </c>
      <c r="D1002" t="str">
        <f>VLOOKUP(B1002,'EXPORT IRIS PROD 13-11-2024'!A:A,1,0)</f>
        <v>SCATTO_TERMICO_SCT-Allarme scatto protezione magnetotermica</v>
      </c>
      <c r="E1002" t="str">
        <f>VLOOKUP(H1002,'EXPORT IRIS PROD 13-11-2024'!F:F,1,0)</f>
        <v>SCATTO_TERMICO_SCT</v>
      </c>
      <c r="F1002" t="str">
        <f>VLOOKUP(I1002,'EXPORT IRIS PROD 13-11-2024'!D:D,1,0)</f>
        <v>Allarme scatto protezione magnetotermica</v>
      </c>
      <c r="G1002" s="37" t="s">
        <v>53</v>
      </c>
      <c r="H1002" s="38" t="s">
        <v>1797</v>
      </c>
      <c r="I1002" s="45" t="s">
        <v>467</v>
      </c>
      <c r="J1002" s="46" t="s">
        <v>1106</v>
      </c>
      <c r="K1002" s="46" t="s">
        <v>355</v>
      </c>
      <c r="L1002" s="40" t="s">
        <v>21</v>
      </c>
      <c r="M1002" s="41" t="s">
        <v>22</v>
      </c>
      <c r="N1002" s="42" t="s">
        <v>23</v>
      </c>
      <c r="O1002" s="43" t="s">
        <v>24</v>
      </c>
      <c r="P1002" s="42" t="s">
        <v>25</v>
      </c>
      <c r="Q1002" s="42" t="s">
        <v>21</v>
      </c>
      <c r="R1002" s="44"/>
    </row>
    <row r="1003" spans="1:18" x14ac:dyDescent="0.25">
      <c r="A1003" t="str">
        <f t="shared" si="30"/>
        <v>Impianto Ventilazione_Ventilatore_SCATTO_TERMICO_SCT-Allarme scatto protezione magnetotermica</v>
      </c>
      <c r="B1003" t="str">
        <f t="shared" si="31"/>
        <v>SCATTO_TERMICO_SCT-Allarme scatto protezione magnetotermica</v>
      </c>
      <c r="C1003" t="str">
        <f>VLOOKUP(B1003,'[2]Classi allarmi RMT-STIG_rev4'!$C:$C,1,0)</f>
        <v>SCATTO_TERMICO_SCT-Allarme scatto protezione magnetotermica</v>
      </c>
      <c r="D1003" t="str">
        <f>VLOOKUP(B1003,'EXPORT IRIS PROD 13-11-2024'!A:A,1,0)</f>
        <v>SCATTO_TERMICO_SCT-Allarme scatto protezione magnetotermica</v>
      </c>
      <c r="E1003" t="str">
        <f>VLOOKUP(H1003,'EXPORT IRIS PROD 13-11-2024'!F:F,1,0)</f>
        <v>SCATTO_TERMICO_SCT</v>
      </c>
      <c r="F1003" t="str">
        <f>VLOOKUP(I1003,'EXPORT IRIS PROD 13-11-2024'!D:D,1,0)</f>
        <v>Allarme scatto protezione magnetotermica</v>
      </c>
      <c r="G1003" s="37" t="s">
        <v>85</v>
      </c>
      <c r="H1003" s="38" t="s">
        <v>1797</v>
      </c>
      <c r="I1003" s="45" t="s">
        <v>467</v>
      </c>
      <c r="J1003" s="46" t="s">
        <v>50</v>
      </c>
      <c r="K1003" s="46" t="s">
        <v>124</v>
      </c>
      <c r="L1003" s="40" t="s">
        <v>21</v>
      </c>
      <c r="M1003" s="41" t="s">
        <v>22</v>
      </c>
      <c r="N1003" s="42" t="s">
        <v>23</v>
      </c>
      <c r="O1003" s="43" t="s">
        <v>24</v>
      </c>
      <c r="P1003" s="42" t="s">
        <v>25</v>
      </c>
      <c r="Q1003" s="42" t="s">
        <v>21</v>
      </c>
      <c r="R1003" s="44"/>
    </row>
    <row r="1004" spans="1:18" x14ac:dyDescent="0.25">
      <c r="A1004" t="str">
        <f t="shared" si="30"/>
        <v>Impianto Ventilazione_Serranda_SCATTO_TERMICO_SCT-Allarme scatto protezione magnetotermica</v>
      </c>
      <c r="B1004" t="str">
        <f t="shared" si="31"/>
        <v>SCATTO_TERMICO_SCT-Allarme scatto protezione magnetotermica</v>
      </c>
      <c r="C1004" t="str">
        <f>VLOOKUP(B1004,'[2]Classi allarmi RMT-STIG_rev4'!$C:$C,1,0)</f>
        <v>SCATTO_TERMICO_SCT-Allarme scatto protezione magnetotermica</v>
      </c>
      <c r="D1004" t="str">
        <f>VLOOKUP(B1004,'EXPORT IRIS PROD 13-11-2024'!A:A,1,0)</f>
        <v>SCATTO_TERMICO_SCT-Allarme scatto protezione magnetotermica</v>
      </c>
      <c r="E1004" t="str">
        <f>VLOOKUP(H1004,'EXPORT IRIS PROD 13-11-2024'!F:F,1,0)</f>
        <v>SCATTO_TERMICO_SCT</v>
      </c>
      <c r="F1004" t="str">
        <f>VLOOKUP(I1004,'EXPORT IRIS PROD 13-11-2024'!D:D,1,0)</f>
        <v>Allarme scatto protezione magnetotermica</v>
      </c>
      <c r="G1004" s="37" t="s">
        <v>85</v>
      </c>
      <c r="H1004" s="38" t="s">
        <v>1797</v>
      </c>
      <c r="I1004" s="45" t="s">
        <v>467</v>
      </c>
      <c r="J1004" s="46" t="s">
        <v>50</v>
      </c>
      <c r="K1004" s="46" t="s">
        <v>275</v>
      </c>
      <c r="L1004" s="40" t="s">
        <v>21</v>
      </c>
      <c r="M1004" s="41" t="s">
        <v>22</v>
      </c>
      <c r="N1004" s="42" t="s">
        <v>23</v>
      </c>
      <c r="O1004" s="43" t="s">
        <v>24</v>
      </c>
      <c r="P1004" s="42" t="s">
        <v>25</v>
      </c>
      <c r="Q1004" s="42" t="s">
        <v>21</v>
      </c>
      <c r="R1004" s="44"/>
    </row>
    <row r="1005" spans="1:18" x14ac:dyDescent="0.25">
      <c r="A1005" t="str">
        <f t="shared" si="30"/>
        <v>Impianto Ventilazione_QVVF_SCATTO_TERMICO_SCT-Allarme scatto protezione magnetotermica</v>
      </c>
      <c r="B1005" t="str">
        <f t="shared" si="31"/>
        <v>SCATTO_TERMICO_SCT-Allarme scatto protezione magnetotermica</v>
      </c>
      <c r="C1005" t="str">
        <f>VLOOKUP(B1005,'[2]Classi allarmi RMT-STIG_rev4'!$C:$C,1,0)</f>
        <v>SCATTO_TERMICO_SCT-Allarme scatto protezione magnetotermica</v>
      </c>
      <c r="D1005" t="str">
        <f>VLOOKUP(B1005,'EXPORT IRIS PROD 13-11-2024'!A:A,1,0)</f>
        <v>SCATTO_TERMICO_SCT-Allarme scatto protezione magnetotermica</v>
      </c>
      <c r="E1005" t="str">
        <f>VLOOKUP(H1005,'EXPORT IRIS PROD 13-11-2024'!F:F,1,0)</f>
        <v>SCATTO_TERMICO_SCT</v>
      </c>
      <c r="F1005" t="str">
        <f>VLOOKUP(I1005,'EXPORT IRIS PROD 13-11-2024'!D:D,1,0)</f>
        <v>Allarme scatto protezione magnetotermica</v>
      </c>
      <c r="G1005" s="37" t="s">
        <v>85</v>
      </c>
      <c r="H1005" s="38" t="s">
        <v>1797</v>
      </c>
      <c r="I1005" s="45" t="s">
        <v>467</v>
      </c>
      <c r="J1005" s="46" t="s">
        <v>50</v>
      </c>
      <c r="K1005" s="46" t="s">
        <v>1798</v>
      </c>
      <c r="L1005" s="40" t="s">
        <v>21</v>
      </c>
      <c r="M1005" s="41" t="s">
        <v>22</v>
      </c>
      <c r="N1005" s="42" t="s">
        <v>23</v>
      </c>
      <c r="O1005" s="43" t="s">
        <v>24</v>
      </c>
      <c r="P1005" s="42" t="s">
        <v>25</v>
      </c>
      <c r="Q1005" s="42" t="s">
        <v>21</v>
      </c>
      <c r="R1005" s="44"/>
    </row>
    <row r="1006" spans="1:18" x14ac:dyDescent="0.25">
      <c r="A1006" t="str">
        <f t="shared" si="30"/>
        <v>Impianto bypass_Serranda bypass_SERRANDA_IN_APERTURA_MEDIA-Allarme serranda in apertura media</v>
      </c>
      <c r="B1006" t="str">
        <f t="shared" si="31"/>
        <v>SERRANDA_IN_APERTURA_MEDIA-Allarme serranda in apertura media</v>
      </c>
      <c r="C1006" t="str">
        <f>VLOOKUP(B1006,'[2]Classi allarmi RMT-STIG_rev4'!$C:$C,1,0)</f>
        <v>SERRANDA_IN_APERTURA_MEDIA-Allarme serranda in apertura media</v>
      </c>
      <c r="D1006" t="str">
        <f>VLOOKUP(B1006,'EXPORT IRIS PROD 13-11-2024'!A:A,1,0)</f>
        <v>SERRANDA_IN_APERTURA_MEDIA-Allarme serranda in apertura media</v>
      </c>
      <c r="E1006" t="str">
        <f>VLOOKUP(H1006,'EXPORT IRIS PROD 13-11-2024'!F:F,1,0)</f>
        <v>SERRANDA_IN_APERTURA_MEDIA</v>
      </c>
      <c r="F1006" t="str">
        <f>VLOOKUP(I1006,'EXPORT IRIS PROD 13-11-2024'!D:D,1,0)</f>
        <v>Allarme serranda in apertura media</v>
      </c>
      <c r="G1006" s="37" t="s">
        <v>576</v>
      </c>
      <c r="H1006" s="38" t="s">
        <v>1799</v>
      </c>
      <c r="I1006" s="45" t="s">
        <v>1800</v>
      </c>
      <c r="J1006" s="46" t="s">
        <v>1331</v>
      </c>
      <c r="K1006" s="46" t="s">
        <v>1294</v>
      </c>
      <c r="L1006" s="40" t="s">
        <v>21</v>
      </c>
      <c r="M1006" s="41" t="s">
        <v>22</v>
      </c>
      <c r="N1006" s="42" t="s">
        <v>23</v>
      </c>
      <c r="O1006" s="43" t="s">
        <v>24</v>
      </c>
      <c r="P1006" s="42" t="s">
        <v>25</v>
      </c>
      <c r="Q1006" s="42" t="s">
        <v>21</v>
      </c>
      <c r="R1006" s="44"/>
    </row>
    <row r="1007" spans="1:18" x14ac:dyDescent="0.25">
      <c r="A1007" t="str">
        <f t="shared" si="30"/>
        <v>Impianto videosorveglianza_TVCC generale_TELECAMERA_SPOSTATA-Allarme telecamera spostata</v>
      </c>
      <c r="B1007" t="str">
        <f t="shared" si="31"/>
        <v>TELECAMERA_SPOSTATA-Allarme telecamera spostata</v>
      </c>
      <c r="C1007" t="str">
        <f>VLOOKUP(B1007,'[2]Classi allarmi RMT-STIG_rev4'!$C:$C,1,0)</f>
        <v>TELECAMERA_SPOSTATA-Allarme telecamera spostata</v>
      </c>
      <c r="D1007" t="str">
        <f>VLOOKUP(B1007,'EXPORT IRIS PROD 13-11-2024'!A:A,1,0)</f>
        <v>TELECAMERA_SPOSTATA-Allarme telecamera spostata</v>
      </c>
      <c r="E1007" t="str">
        <f>VLOOKUP(H1007,'EXPORT IRIS PROD 13-11-2024'!F:F,1,0)</f>
        <v>TELECAMERA_SPOSTATA</v>
      </c>
      <c r="F1007" t="str">
        <f>VLOOKUP(I1007,'EXPORT IRIS PROD 13-11-2024'!D:D,1,0)</f>
        <v>Allarme telecamera spostata</v>
      </c>
      <c r="G1007" s="37" t="s">
        <v>1017</v>
      </c>
      <c r="H1007" s="38" t="s">
        <v>1801</v>
      </c>
      <c r="I1007" s="45" t="s">
        <v>1802</v>
      </c>
      <c r="J1007" s="46" t="s">
        <v>1337</v>
      </c>
      <c r="K1007" s="46" t="s">
        <v>1338</v>
      </c>
      <c r="L1007" s="40" t="s">
        <v>31</v>
      </c>
      <c r="M1007" s="41" t="s">
        <v>32</v>
      </c>
      <c r="N1007" s="42">
        <v>4</v>
      </c>
      <c r="O1007" s="43" t="s">
        <v>157</v>
      </c>
      <c r="P1007" s="42" t="s">
        <v>158</v>
      </c>
      <c r="Q1007" s="42" t="s">
        <v>21</v>
      </c>
      <c r="R1007" s="44"/>
    </row>
    <row r="1008" spans="1:18" x14ac:dyDescent="0.25">
      <c r="A1008" t="str">
        <f t="shared" si="30"/>
        <v>Impianto videosorveglianza_Telecamera_TELECAMERA_SPOSTATA-Allarme telecamera spostata</v>
      </c>
      <c r="B1008" t="str">
        <f t="shared" si="31"/>
        <v>TELECAMERA_SPOSTATA-Allarme telecamera spostata</v>
      </c>
      <c r="C1008" t="str">
        <f>VLOOKUP(B1008,'[2]Classi allarmi RMT-STIG_rev4'!$C:$C,1,0)</f>
        <v>TELECAMERA_SPOSTATA-Allarme telecamera spostata</v>
      </c>
      <c r="D1008" t="str">
        <f>VLOOKUP(B1008,'EXPORT IRIS PROD 13-11-2024'!A:A,1,0)</f>
        <v>TELECAMERA_SPOSTATA-Allarme telecamera spostata</v>
      </c>
      <c r="E1008" t="str">
        <f>VLOOKUP(H1008,'EXPORT IRIS PROD 13-11-2024'!F:F,1,0)</f>
        <v>TELECAMERA_SPOSTATA</v>
      </c>
      <c r="F1008" t="str">
        <f>VLOOKUP(I1008,'EXPORT IRIS PROD 13-11-2024'!D:D,1,0)</f>
        <v>Allarme telecamera spostata</v>
      </c>
      <c r="G1008" s="37" t="s">
        <v>1017</v>
      </c>
      <c r="H1008" s="38" t="s">
        <v>1801</v>
      </c>
      <c r="I1008" s="45" t="s">
        <v>1802</v>
      </c>
      <c r="J1008" s="46" t="s">
        <v>1337</v>
      </c>
      <c r="K1008" s="46" t="s">
        <v>1321</v>
      </c>
      <c r="L1008" s="40" t="s">
        <v>31</v>
      </c>
      <c r="M1008" s="41" t="s">
        <v>32</v>
      </c>
      <c r="N1008" s="42">
        <v>4</v>
      </c>
      <c r="O1008" s="43" t="s">
        <v>157</v>
      </c>
      <c r="P1008" s="42" t="s">
        <v>158</v>
      </c>
      <c r="Q1008" s="42" t="s">
        <v>21</v>
      </c>
      <c r="R1008" s="44"/>
    </row>
    <row r="1009" spans="1:18" x14ac:dyDescent="0.25">
      <c r="A1009" t="str">
        <f t="shared" si="30"/>
        <v>Impianto videosorveglianza_TVCC generale_TELECAMERA_SPOSTATA_DIR_NORD-Allarme telecamera spostata dir. Nord</v>
      </c>
      <c r="B1009" t="str">
        <f t="shared" si="31"/>
        <v>TELECAMERA_SPOSTATA_DIR_NORD-Allarme telecamera spostata dir. Nord</v>
      </c>
      <c r="C1009" t="str">
        <f>VLOOKUP(B1009,'[2]Classi allarmi RMT-STIG_rev4'!$C:$C,1,0)</f>
        <v>TELECAMERA_SPOSTATA_DIR_NORD-Allarme telecamera spostata dir. Nord</v>
      </c>
      <c r="D1009" t="str">
        <f>VLOOKUP(B1009,'EXPORT IRIS PROD 13-11-2024'!A:A,1,0)</f>
        <v>TELECAMERA_SPOSTATA_DIR_NORD-Allarme telecamera spostata dir. Nord</v>
      </c>
      <c r="E1009" t="str">
        <f>VLOOKUP(H1009,'EXPORT IRIS PROD 13-11-2024'!F:F,1,0)</f>
        <v>TELECAMERA_SPOSTATA_DIR_NORD</v>
      </c>
      <c r="F1009" t="str">
        <f>VLOOKUP(I1009,'EXPORT IRIS PROD 13-11-2024'!D:D,1,0)</f>
        <v>Allarme telecamera spostata dir. Nord</v>
      </c>
      <c r="G1009" s="37" t="s">
        <v>1017</v>
      </c>
      <c r="H1009" s="38" t="s">
        <v>1803</v>
      </c>
      <c r="I1009" s="45" t="s">
        <v>1804</v>
      </c>
      <c r="J1009" s="46" t="s">
        <v>1337</v>
      </c>
      <c r="K1009" s="46" t="s">
        <v>1338</v>
      </c>
      <c r="L1009" s="40" t="s">
        <v>31</v>
      </c>
      <c r="M1009" s="41" t="s">
        <v>32</v>
      </c>
      <c r="N1009" s="42">
        <v>4</v>
      </c>
      <c r="O1009" s="43" t="s">
        <v>157</v>
      </c>
      <c r="P1009" s="42" t="s">
        <v>158</v>
      </c>
      <c r="Q1009" s="42" t="s">
        <v>21</v>
      </c>
      <c r="R1009" s="44"/>
    </row>
    <row r="1010" spans="1:18" x14ac:dyDescent="0.25">
      <c r="A1010" t="str">
        <f t="shared" si="30"/>
        <v>Impianto videosorveglianza_Telecamera_TELECAMERA_SPOSTATA_DIR_NORD-Allarme telecamera spostata dir. Nord</v>
      </c>
      <c r="B1010" t="str">
        <f t="shared" si="31"/>
        <v>TELECAMERA_SPOSTATA_DIR_NORD-Allarme telecamera spostata dir. Nord</v>
      </c>
      <c r="C1010" t="str">
        <f>VLOOKUP(B1010,'[2]Classi allarmi RMT-STIG_rev4'!$C:$C,1,0)</f>
        <v>TELECAMERA_SPOSTATA_DIR_NORD-Allarme telecamera spostata dir. Nord</v>
      </c>
      <c r="D1010" t="str">
        <f>VLOOKUP(B1010,'EXPORT IRIS PROD 13-11-2024'!A:A,1,0)</f>
        <v>TELECAMERA_SPOSTATA_DIR_NORD-Allarme telecamera spostata dir. Nord</v>
      </c>
      <c r="E1010" t="str">
        <f>VLOOKUP(H1010,'EXPORT IRIS PROD 13-11-2024'!F:F,1,0)</f>
        <v>TELECAMERA_SPOSTATA_DIR_NORD</v>
      </c>
      <c r="F1010" t="str">
        <f>VLOOKUP(I1010,'EXPORT IRIS PROD 13-11-2024'!D:D,1,0)</f>
        <v>Allarme telecamera spostata dir. Nord</v>
      </c>
      <c r="G1010" s="37" t="s">
        <v>1017</v>
      </c>
      <c r="H1010" s="38" t="s">
        <v>1803</v>
      </c>
      <c r="I1010" s="45" t="s">
        <v>1804</v>
      </c>
      <c r="J1010" s="46" t="s">
        <v>1337</v>
      </c>
      <c r="K1010" s="46" t="s">
        <v>1321</v>
      </c>
      <c r="L1010" s="40" t="s">
        <v>31</v>
      </c>
      <c r="M1010" s="41" t="s">
        <v>32</v>
      </c>
      <c r="N1010" s="42">
        <v>4</v>
      </c>
      <c r="O1010" s="43" t="s">
        <v>157</v>
      </c>
      <c r="P1010" s="42" t="s">
        <v>158</v>
      </c>
      <c r="Q1010" s="42" t="s">
        <v>21</v>
      </c>
      <c r="R1010" s="44"/>
    </row>
    <row r="1011" spans="1:18" x14ac:dyDescent="0.25">
      <c r="A1011" t="str">
        <f t="shared" si="30"/>
        <v>Impianto videosorveglianza_TVCC generale_TELECAMERA_SPOSTATA_DIR_SUD-Allarme telecamera spostata dir. Sud</v>
      </c>
      <c r="B1011" t="str">
        <f t="shared" si="31"/>
        <v>TELECAMERA_SPOSTATA_DIR_SUD-Allarme telecamera spostata dir. Sud</v>
      </c>
      <c r="C1011" t="str">
        <f>VLOOKUP(B1011,'[2]Classi allarmi RMT-STIG_rev4'!$C:$C,1,0)</f>
        <v>TELECAMERA_SPOSTATA_DIR_SUD-Allarme telecamera spostata dir. Sud</v>
      </c>
      <c r="D1011" t="str">
        <f>VLOOKUP(B1011,'EXPORT IRIS PROD 13-11-2024'!A:A,1,0)</f>
        <v>TELECAMERA_SPOSTATA_DIR_SUD-Allarme telecamera spostata dir. Sud</v>
      </c>
      <c r="E1011" t="str">
        <f>VLOOKUP(H1011,'EXPORT IRIS PROD 13-11-2024'!F:F,1,0)</f>
        <v>TELECAMERA_SPOSTATA_DIR_SUD</v>
      </c>
      <c r="F1011" t="str">
        <f>VLOOKUP(I1011,'EXPORT IRIS PROD 13-11-2024'!D:D,1,0)</f>
        <v>Allarme telecamera spostata dir. Sud</v>
      </c>
      <c r="G1011" s="37" t="s">
        <v>1017</v>
      </c>
      <c r="H1011" s="38" t="s">
        <v>1805</v>
      </c>
      <c r="I1011" s="45" t="s">
        <v>1806</v>
      </c>
      <c r="J1011" s="46" t="s">
        <v>1337</v>
      </c>
      <c r="K1011" s="46" t="s">
        <v>1338</v>
      </c>
      <c r="L1011" s="40" t="s">
        <v>31</v>
      </c>
      <c r="M1011" s="41" t="s">
        <v>32</v>
      </c>
      <c r="N1011" s="42">
        <v>4</v>
      </c>
      <c r="O1011" s="43" t="s">
        <v>157</v>
      </c>
      <c r="P1011" s="42" t="s">
        <v>158</v>
      </c>
      <c r="Q1011" s="42" t="s">
        <v>21</v>
      </c>
      <c r="R1011" s="44"/>
    </row>
    <row r="1012" spans="1:18" x14ac:dyDescent="0.25">
      <c r="A1012" t="str">
        <f t="shared" si="30"/>
        <v>Impianto videosorveglianza_Telecamera_TELECAMERA_SPOSTATA_DIR_SUD-Allarme telecamera spostata dir. Sud</v>
      </c>
      <c r="B1012" t="str">
        <f t="shared" si="31"/>
        <v>TELECAMERA_SPOSTATA_DIR_SUD-Allarme telecamera spostata dir. Sud</v>
      </c>
      <c r="C1012" t="str">
        <f>VLOOKUP(B1012,'[2]Classi allarmi RMT-STIG_rev4'!$C:$C,1,0)</f>
        <v>TELECAMERA_SPOSTATA_DIR_SUD-Allarme telecamera spostata dir. Sud</v>
      </c>
      <c r="D1012" t="str">
        <f>VLOOKUP(B1012,'EXPORT IRIS PROD 13-11-2024'!A:A,1,0)</f>
        <v>TELECAMERA_SPOSTATA_DIR_SUD-Allarme telecamera spostata dir. Sud</v>
      </c>
      <c r="E1012" t="str">
        <f>VLOOKUP(H1012,'EXPORT IRIS PROD 13-11-2024'!F:F,1,0)</f>
        <v>TELECAMERA_SPOSTATA_DIR_SUD</v>
      </c>
      <c r="F1012" t="str">
        <f>VLOOKUP(I1012,'EXPORT IRIS PROD 13-11-2024'!D:D,1,0)</f>
        <v>Allarme telecamera spostata dir. Sud</v>
      </c>
      <c r="G1012" s="37" t="s">
        <v>1017</v>
      </c>
      <c r="H1012" s="38" t="s">
        <v>1805</v>
      </c>
      <c r="I1012" s="45" t="s">
        <v>1806</v>
      </c>
      <c r="J1012" s="46" t="s">
        <v>1337</v>
      </c>
      <c r="K1012" s="46" t="s">
        <v>1321</v>
      </c>
      <c r="L1012" s="40" t="s">
        <v>31</v>
      </c>
      <c r="M1012" s="41" t="s">
        <v>32</v>
      </c>
      <c r="N1012" s="42">
        <v>4</v>
      </c>
      <c r="O1012" s="43" t="s">
        <v>157</v>
      </c>
      <c r="P1012" s="42" t="s">
        <v>158</v>
      </c>
      <c r="Q1012" s="42" t="s">
        <v>21</v>
      </c>
      <c r="R1012" s="44"/>
    </row>
    <row r="1013" spans="1:18" x14ac:dyDescent="0.25">
      <c r="A1013" t="str">
        <f t="shared" si="30"/>
        <v>Impianto Ventilazione_ventilazione generale/parametrizzazione soglie sensori_TRAFFICO_BLOCCATO_DIR_NORD-Allarme traffico bloccato direzione Nord</v>
      </c>
      <c r="B1013" t="str">
        <f t="shared" si="31"/>
        <v>TRAFFICO_BLOCCATO_DIR_NORD-Allarme traffico bloccato direzione Nord</v>
      </c>
      <c r="C1013" t="str">
        <f>VLOOKUP(B1013,'[2]Classi allarmi RMT-STIG_rev4'!$C:$C,1,0)</f>
        <v>TRAFFICO_BLOCCATO_DIR_NORD-Allarme traffico bloccato direzione Nord</v>
      </c>
      <c r="D1013" t="str">
        <f>VLOOKUP(B1013,'EXPORT IRIS PROD 13-11-2024'!A:A,1,0)</f>
        <v>TRAFFICO_BLOCCATO_DIR_NORD-Allarme traffico bloccato direzione Nord</v>
      </c>
      <c r="E1013" t="str">
        <f>VLOOKUP(H1013,'EXPORT IRIS PROD 13-11-2024'!F:F,1,0)</f>
        <v>TRAFFICO_BLOCCATO_DIR_NORD</v>
      </c>
      <c r="F1013" t="str">
        <f>VLOOKUP(I1013,'EXPORT IRIS PROD 13-11-2024'!D:D,1,0)</f>
        <v>Allarme traffico bloccato direzione Nord</v>
      </c>
      <c r="G1013" s="37" t="s">
        <v>213</v>
      </c>
      <c r="H1013" s="38" t="s">
        <v>1807</v>
      </c>
      <c r="I1013" s="45" t="s">
        <v>1808</v>
      </c>
      <c r="J1013" s="46" t="s">
        <v>50</v>
      </c>
      <c r="K1013" s="46" t="s">
        <v>1809</v>
      </c>
      <c r="L1013" s="40" t="s">
        <v>31</v>
      </c>
      <c r="M1013" s="41" t="s">
        <v>32</v>
      </c>
      <c r="N1013" s="42">
        <v>2</v>
      </c>
      <c r="O1013" s="43" t="s">
        <v>33</v>
      </c>
      <c r="P1013" s="42" t="s">
        <v>34</v>
      </c>
      <c r="Q1013" s="42" t="s">
        <v>31</v>
      </c>
      <c r="R1013" s="44"/>
    </row>
    <row r="1014" spans="1:18" x14ac:dyDescent="0.25">
      <c r="A1014" t="str">
        <f t="shared" si="30"/>
        <v>Impianto Ventilazione_ventilazione generale/parametrizzazione soglie sensori_TRAFFICO_BLOCCATO_DIR_SUD-Allarme traffico bloccato direzione Sud</v>
      </c>
      <c r="B1014" t="str">
        <f t="shared" si="31"/>
        <v>TRAFFICO_BLOCCATO_DIR_SUD-Allarme traffico bloccato direzione Sud</v>
      </c>
      <c r="C1014" t="str">
        <f>VLOOKUP(B1014,'[2]Classi allarmi RMT-STIG_rev4'!$C:$C,1,0)</f>
        <v>TRAFFICO_BLOCCATO_DIR_SUD-Allarme traffico bloccato direzione Sud</v>
      </c>
      <c r="D1014" t="str">
        <f>VLOOKUP(B1014,'EXPORT IRIS PROD 13-11-2024'!A:A,1,0)</f>
        <v>TRAFFICO_BLOCCATO_DIR_SUD-Allarme traffico bloccato direzione Sud</v>
      </c>
      <c r="E1014" t="str">
        <f>VLOOKUP(H1014,'EXPORT IRIS PROD 13-11-2024'!F:F,1,0)</f>
        <v>TRAFFICO_BLOCCATO_DIR_SUD</v>
      </c>
      <c r="F1014" t="str">
        <f>VLOOKUP(I1014,'EXPORT IRIS PROD 13-11-2024'!D:D,1,0)</f>
        <v>Allarme traffico bloccato direzione Sud</v>
      </c>
      <c r="G1014" s="37" t="s">
        <v>213</v>
      </c>
      <c r="H1014" s="38" t="s">
        <v>1810</v>
      </c>
      <c r="I1014" s="45" t="s">
        <v>1811</v>
      </c>
      <c r="J1014" s="46" t="s">
        <v>50</v>
      </c>
      <c r="K1014" s="46" t="s">
        <v>1809</v>
      </c>
      <c r="L1014" s="40" t="s">
        <v>31</v>
      </c>
      <c r="M1014" s="41" t="s">
        <v>32</v>
      </c>
      <c r="N1014" s="42">
        <v>2</v>
      </c>
      <c r="O1014" s="43" t="s">
        <v>33</v>
      </c>
      <c r="P1014" s="42" t="s">
        <v>34</v>
      </c>
      <c r="Q1014" s="42" t="s">
        <v>31</v>
      </c>
      <c r="R1014" s="44"/>
    </row>
    <row r="1015" spans="1:18" customFormat="1" ht="15" customHeight="1" x14ac:dyDescent="0.25">
      <c r="A1015" t="str">
        <f t="shared" si="30"/>
        <v>Impianto videosorveglianza_Telecamera_VEICOLO_CONTROMANO_CORSIA_LENTA-Allarme veicolo contromano corsia lenta</v>
      </c>
      <c r="B1015" t="str">
        <f t="shared" si="31"/>
        <v>VEICOLO_CONTROMANO_CORSIA_LENTA-Allarme veicolo contromano corsia lenta</v>
      </c>
      <c r="C1015" t="str">
        <f>VLOOKUP(B1015,'[2]Classi allarmi RMT-STIG_rev4'!$C:$C,1,0)</f>
        <v>VEICOLO_CONTROMANO_CORSIA_LENTA-Allarme veicolo contromano corsia lenta</v>
      </c>
      <c r="D1015" t="str">
        <f>VLOOKUP(B1015,'EXPORT IRIS PROD 13-11-2024'!A:A,1,0)</f>
        <v>VEICOLO_CONTROMANO_CORSIA_LENTA-Allarme veicolo contromano corsia lenta</v>
      </c>
      <c r="E1015" t="str">
        <f>VLOOKUP(H1015,'EXPORT IRIS PROD 13-11-2024'!F:F,1,0)</f>
        <v>VEICOLO_CONTROMANO_CORSIA_LENTA</v>
      </c>
      <c r="F1015" t="str">
        <f>VLOOKUP(I1015,'EXPORT IRIS PROD 13-11-2024'!D:D,1,0)</f>
        <v>Allarme veicolo contromano corsia lenta</v>
      </c>
      <c r="G1015" s="37" t="s">
        <v>988</v>
      </c>
      <c r="H1015" s="38" t="s">
        <v>1812</v>
      </c>
      <c r="I1015" s="38" t="s">
        <v>1813</v>
      </c>
      <c r="J1015" s="39" t="s">
        <v>1337</v>
      </c>
      <c r="K1015" s="39" t="s">
        <v>1321</v>
      </c>
      <c r="L1015" s="40" t="s">
        <v>31</v>
      </c>
      <c r="M1015" s="41" t="s">
        <v>32</v>
      </c>
      <c r="N1015" s="43">
        <v>1</v>
      </c>
      <c r="O1015" s="43" t="s">
        <v>33</v>
      </c>
      <c r="P1015" s="42" t="s">
        <v>34</v>
      </c>
      <c r="Q1015" s="42" t="s">
        <v>31</v>
      </c>
      <c r="R1015" s="44"/>
    </row>
    <row r="1016" spans="1:18" customFormat="1" ht="15" customHeight="1" x14ac:dyDescent="0.25">
      <c r="A1016" t="str">
        <f t="shared" si="30"/>
        <v>Impianto videosorveglianza_TVCC generale_VEICOLO_CONTROMANO_CORSIA_MARCIA_NORD-Allarme veicolo contromano corsia di marcia nord</v>
      </c>
      <c r="B1016" t="str">
        <f t="shared" si="31"/>
        <v>VEICOLO_CONTROMANO_CORSIA_MARCIA_NORD-Allarme veicolo contromano corsia di marcia nord</v>
      </c>
      <c r="C1016" t="str">
        <f>VLOOKUP(B1016,'[2]Classi allarmi RMT-STIG_rev4'!$C:$C,1,0)</f>
        <v>VEICOLO_CONTROMANO_CORSIA_MARCIA_NORD-Allarme veicolo contromano corsia di marcia nord</v>
      </c>
      <c r="D1016" t="str">
        <f>VLOOKUP(B1016,'EXPORT IRIS PROD 13-11-2024'!A:A,1,0)</f>
        <v>VEICOLO_CONTROMANO_CORSIA_MARCIA_NORD-Allarme veicolo contromano corsia di marcia nord</v>
      </c>
      <c r="E1016" t="str">
        <f>VLOOKUP(H1016,'EXPORT IRIS PROD 13-11-2024'!F:F,1,0)</f>
        <v>VEICOLO_CONTROMANO_CORSIA_MARCIA_NORD</v>
      </c>
      <c r="F1016" t="str">
        <f>VLOOKUP(I1016,'EXPORT IRIS PROD 13-11-2024'!D:D,1,0)</f>
        <v>Allarme veicolo contromano corsia di marcia nord</v>
      </c>
      <c r="G1016" s="37" t="s">
        <v>988</v>
      </c>
      <c r="H1016" s="38" t="s">
        <v>1814</v>
      </c>
      <c r="I1016" s="45" t="s">
        <v>1815</v>
      </c>
      <c r="J1016" s="46" t="s">
        <v>1337</v>
      </c>
      <c r="K1016" s="46" t="s">
        <v>1338</v>
      </c>
      <c r="L1016" s="47" t="s">
        <v>31</v>
      </c>
      <c r="M1016" s="48" t="s">
        <v>32</v>
      </c>
      <c r="N1016" s="43">
        <v>1</v>
      </c>
      <c r="O1016" s="43" t="s">
        <v>33</v>
      </c>
      <c r="P1016" s="43" t="s">
        <v>34</v>
      </c>
      <c r="Q1016" s="43" t="s">
        <v>31</v>
      </c>
      <c r="R1016" s="44"/>
    </row>
    <row r="1017" spans="1:18" customFormat="1" ht="15" customHeight="1" x14ac:dyDescent="0.25">
      <c r="A1017" t="str">
        <f t="shared" si="30"/>
        <v>Impianto videosorveglianza_Telecamera_VEICOLO_CONTROMANO_CORSIA_MARCIA_NORD-Allarme veicolo contromano corsia di marcia nord</v>
      </c>
      <c r="B1017" t="str">
        <f t="shared" si="31"/>
        <v>VEICOLO_CONTROMANO_CORSIA_MARCIA_NORD-Allarme veicolo contromano corsia di marcia nord</v>
      </c>
      <c r="C1017" t="str">
        <f>VLOOKUP(B1017,'[2]Classi allarmi RMT-STIG_rev4'!$C:$C,1,0)</f>
        <v>VEICOLO_CONTROMANO_CORSIA_MARCIA_NORD-Allarme veicolo contromano corsia di marcia nord</v>
      </c>
      <c r="D1017" t="str">
        <f>VLOOKUP(B1017,'EXPORT IRIS PROD 13-11-2024'!A:A,1,0)</f>
        <v>VEICOLO_CONTROMANO_CORSIA_MARCIA_NORD-Allarme veicolo contromano corsia di marcia nord</v>
      </c>
      <c r="E1017" t="str">
        <f>VLOOKUP(H1017,'EXPORT IRIS PROD 13-11-2024'!F:F,1,0)</f>
        <v>VEICOLO_CONTROMANO_CORSIA_MARCIA_NORD</v>
      </c>
      <c r="F1017" t="str">
        <f>VLOOKUP(I1017,'EXPORT IRIS PROD 13-11-2024'!D:D,1,0)</f>
        <v>Allarme veicolo contromano corsia di marcia nord</v>
      </c>
      <c r="G1017" s="37" t="s">
        <v>988</v>
      </c>
      <c r="H1017" s="38" t="s">
        <v>1814</v>
      </c>
      <c r="I1017" s="45" t="s">
        <v>1815</v>
      </c>
      <c r="J1017" s="46" t="s">
        <v>1337</v>
      </c>
      <c r="K1017" s="46" t="s">
        <v>1321</v>
      </c>
      <c r="L1017" s="47" t="s">
        <v>31</v>
      </c>
      <c r="M1017" s="48" t="s">
        <v>32</v>
      </c>
      <c r="N1017" s="43">
        <v>1</v>
      </c>
      <c r="O1017" s="43" t="s">
        <v>33</v>
      </c>
      <c r="P1017" s="43" t="s">
        <v>34</v>
      </c>
      <c r="Q1017" s="43" t="s">
        <v>31</v>
      </c>
      <c r="R1017" s="44"/>
    </row>
    <row r="1018" spans="1:18" customFormat="1" ht="15" customHeight="1" x14ac:dyDescent="0.25">
      <c r="A1018" t="str">
        <f t="shared" si="30"/>
        <v>Impianto videosorveglianza_TVCC generale_VEICOLO_CONTROMANO_CORSIA_MARCIA_SUD-Allarme veicolo contromano corsia di marcia sud</v>
      </c>
      <c r="B1018" t="str">
        <f t="shared" si="31"/>
        <v>VEICOLO_CONTROMANO_CORSIA_MARCIA_SUD-Allarme veicolo contromano corsia di marcia sud</v>
      </c>
      <c r="C1018" t="str">
        <f>VLOOKUP(B1018,'[2]Classi allarmi RMT-STIG_rev4'!$C:$C,1,0)</f>
        <v>VEICOLO_CONTROMANO_CORSIA_MARCIA_SUD-Allarme veicolo contromano corsia di marcia sud</v>
      </c>
      <c r="D1018" t="str">
        <f>VLOOKUP(B1018,'EXPORT IRIS PROD 13-11-2024'!A:A,1,0)</f>
        <v>VEICOLO_CONTROMANO_CORSIA_MARCIA_SUD-Allarme veicolo contromano corsia di marcia sud</v>
      </c>
      <c r="E1018" t="str">
        <f>VLOOKUP(H1018,'EXPORT IRIS PROD 13-11-2024'!F:F,1,0)</f>
        <v>VEICOLO_CONTROMANO_CORSIA_MARCIA_SUD</v>
      </c>
      <c r="F1018" t="str">
        <f>VLOOKUP(I1018,'EXPORT IRIS PROD 13-11-2024'!D:D,1,0)</f>
        <v>Allarme veicolo contromano corsia di marcia sud</v>
      </c>
      <c r="G1018" s="37" t="s">
        <v>988</v>
      </c>
      <c r="H1018" s="38" t="s">
        <v>1816</v>
      </c>
      <c r="I1018" s="45" t="s">
        <v>1817</v>
      </c>
      <c r="J1018" s="46" t="s">
        <v>1337</v>
      </c>
      <c r="K1018" s="46" t="s">
        <v>1338</v>
      </c>
      <c r="L1018" s="47" t="s">
        <v>31</v>
      </c>
      <c r="M1018" s="48" t="s">
        <v>32</v>
      </c>
      <c r="N1018" s="43">
        <v>1</v>
      </c>
      <c r="O1018" s="43" t="s">
        <v>33</v>
      </c>
      <c r="P1018" s="43" t="s">
        <v>34</v>
      </c>
      <c r="Q1018" s="43" t="s">
        <v>31</v>
      </c>
      <c r="R1018" s="44"/>
    </row>
    <row r="1019" spans="1:18" customFormat="1" ht="15" customHeight="1" x14ac:dyDescent="0.25">
      <c r="A1019" t="str">
        <f t="shared" si="30"/>
        <v>Impianto videosorveglianza_Telecamera_VEICOLO_CONTROMANO_CORSIA_MARCIA_SUD-Allarme veicolo contromano corsia di marcia sud</v>
      </c>
      <c r="B1019" t="str">
        <f t="shared" si="31"/>
        <v>VEICOLO_CONTROMANO_CORSIA_MARCIA_SUD-Allarme veicolo contromano corsia di marcia sud</v>
      </c>
      <c r="C1019" t="str">
        <f>VLOOKUP(B1019,'[2]Classi allarmi RMT-STIG_rev4'!$C:$C,1,0)</f>
        <v>VEICOLO_CONTROMANO_CORSIA_MARCIA_SUD-Allarme veicolo contromano corsia di marcia sud</v>
      </c>
      <c r="D1019" t="str">
        <f>VLOOKUP(B1019,'EXPORT IRIS PROD 13-11-2024'!A:A,1,0)</f>
        <v>VEICOLO_CONTROMANO_CORSIA_MARCIA_SUD-Allarme veicolo contromano corsia di marcia sud</v>
      </c>
      <c r="E1019" t="str">
        <f>VLOOKUP(H1019,'EXPORT IRIS PROD 13-11-2024'!F:F,1,0)</f>
        <v>VEICOLO_CONTROMANO_CORSIA_MARCIA_SUD</v>
      </c>
      <c r="F1019" t="str">
        <f>VLOOKUP(I1019,'EXPORT IRIS PROD 13-11-2024'!D:D,1,0)</f>
        <v>Allarme veicolo contromano corsia di marcia sud</v>
      </c>
      <c r="G1019" s="37" t="s">
        <v>988</v>
      </c>
      <c r="H1019" s="38" t="s">
        <v>1816</v>
      </c>
      <c r="I1019" s="45" t="s">
        <v>1817</v>
      </c>
      <c r="J1019" s="46" t="s">
        <v>1337</v>
      </c>
      <c r="K1019" s="46" t="s">
        <v>1321</v>
      </c>
      <c r="L1019" s="47" t="s">
        <v>31</v>
      </c>
      <c r="M1019" s="48" t="s">
        <v>32</v>
      </c>
      <c r="N1019" s="43">
        <v>1</v>
      </c>
      <c r="O1019" s="43" t="s">
        <v>33</v>
      </c>
      <c r="P1019" s="43" t="s">
        <v>34</v>
      </c>
      <c r="Q1019" s="43" t="s">
        <v>31</v>
      </c>
      <c r="R1019" s="44"/>
    </row>
    <row r="1020" spans="1:18" customFormat="1" ht="15" customHeight="1" x14ac:dyDescent="0.25">
      <c r="A1020" t="str">
        <f t="shared" si="30"/>
        <v>Impianto videosorveglianza_Telecamera_VEICOLO_FERMO_CORSIA_LENTA-Allarme veicolo fermo corsia lenta</v>
      </c>
      <c r="B1020" t="str">
        <f t="shared" si="31"/>
        <v>VEICOLO_FERMO_CORSIA_LENTA-Allarme veicolo fermo corsia lenta</v>
      </c>
      <c r="C1020" t="str">
        <f>VLOOKUP(B1020,'[2]Classi allarmi RMT-STIG_rev4'!$C:$C,1,0)</f>
        <v>VEICOLO_FERMO_CORSIA_LENTA-Allarme veicolo fermo corsia lenta</v>
      </c>
      <c r="D1020" t="str">
        <f>VLOOKUP(B1020,'EXPORT IRIS PROD 13-11-2024'!A:A,1,0)</f>
        <v>VEICOLO_FERMO_CORSIA_LENTA-Allarme veicolo fermo corsia lenta</v>
      </c>
      <c r="E1020" t="str">
        <f>VLOOKUP(H1020,'EXPORT IRIS PROD 13-11-2024'!F:F,1,0)</f>
        <v>VEICOLO_FERMO_CORSIA_LENTA</v>
      </c>
      <c r="F1020" t="str">
        <f>VLOOKUP(I1020,'EXPORT IRIS PROD 13-11-2024'!D:D,1,0)</f>
        <v>Allarme veicolo fermo corsia lenta</v>
      </c>
      <c r="G1020" s="37" t="s">
        <v>983</v>
      </c>
      <c r="H1020" s="38" t="s">
        <v>1818</v>
      </c>
      <c r="I1020" s="38" t="s">
        <v>1819</v>
      </c>
      <c r="J1020" s="39" t="s">
        <v>1337</v>
      </c>
      <c r="K1020" s="39" t="s">
        <v>1321</v>
      </c>
      <c r="L1020" s="40" t="s">
        <v>31</v>
      </c>
      <c r="M1020" s="41" t="s">
        <v>32</v>
      </c>
      <c r="N1020" s="43">
        <v>1</v>
      </c>
      <c r="O1020" s="43" t="s">
        <v>33</v>
      </c>
      <c r="P1020" s="42" t="s">
        <v>34</v>
      </c>
      <c r="Q1020" s="42" t="s">
        <v>31</v>
      </c>
      <c r="R1020" s="44"/>
    </row>
    <row r="1021" spans="1:18" customFormat="1" ht="15" customHeight="1" x14ac:dyDescent="0.25">
      <c r="A1021" t="str">
        <f t="shared" si="30"/>
        <v>Impianto videosorveglianza_TVCC generale_VEICOLO_FERMO_CORSIA_MARCIA_NORD-Allarme veicolo fermo corsia di marcia nord</v>
      </c>
      <c r="B1021" t="str">
        <f t="shared" si="31"/>
        <v>VEICOLO_FERMO_CORSIA_MARCIA_NORD-Allarme veicolo fermo corsia di marcia nord</v>
      </c>
      <c r="C1021" t="str">
        <f>VLOOKUP(B1021,'[2]Classi allarmi RMT-STIG_rev4'!$C:$C,1,0)</f>
        <v>VEICOLO_FERMO_CORSIA_MARCIA_NORD-Allarme veicolo fermo corsia di marcia nord</v>
      </c>
      <c r="D1021" t="str">
        <f>VLOOKUP(B1021,'EXPORT IRIS PROD 13-11-2024'!A:A,1,0)</f>
        <v>VEICOLO_FERMO_CORSIA_MARCIA_NORD-Allarme veicolo fermo corsia di marcia nord</v>
      </c>
      <c r="E1021" t="str">
        <f>VLOOKUP(H1021,'EXPORT IRIS PROD 13-11-2024'!F:F,1,0)</f>
        <v>VEICOLO_FERMO_CORSIA_MARCIA_NORD</v>
      </c>
      <c r="F1021" t="str">
        <f>VLOOKUP(I1021,'EXPORT IRIS PROD 13-11-2024'!D:D,1,0)</f>
        <v>Allarme veicolo fermo corsia di marcia nord</v>
      </c>
      <c r="G1021" s="37" t="s">
        <v>983</v>
      </c>
      <c r="H1021" s="38" t="s">
        <v>1820</v>
      </c>
      <c r="I1021" s="45" t="s">
        <v>1821</v>
      </c>
      <c r="J1021" s="46" t="s">
        <v>1337</v>
      </c>
      <c r="K1021" s="46" t="s">
        <v>1338</v>
      </c>
      <c r="L1021" s="47" t="s">
        <v>31</v>
      </c>
      <c r="M1021" s="48" t="s">
        <v>32</v>
      </c>
      <c r="N1021" s="43">
        <v>1</v>
      </c>
      <c r="O1021" s="43" t="s">
        <v>33</v>
      </c>
      <c r="P1021" s="43" t="s">
        <v>34</v>
      </c>
      <c r="Q1021" s="43" t="s">
        <v>31</v>
      </c>
      <c r="R1021" s="44"/>
    </row>
    <row r="1022" spans="1:18" customFormat="1" ht="15" customHeight="1" x14ac:dyDescent="0.25">
      <c r="A1022" t="str">
        <f t="shared" si="30"/>
        <v>Impianto videosorveglianza_Telecamera_VEICOLO_FERMO_CORSIA_MARCIA_NORD-Allarme veicolo fermo corsia di marcia nord</v>
      </c>
      <c r="B1022" t="str">
        <f t="shared" si="31"/>
        <v>VEICOLO_FERMO_CORSIA_MARCIA_NORD-Allarme veicolo fermo corsia di marcia nord</v>
      </c>
      <c r="C1022" t="str">
        <f>VLOOKUP(B1022,'[2]Classi allarmi RMT-STIG_rev4'!$C:$C,1,0)</f>
        <v>VEICOLO_FERMO_CORSIA_MARCIA_NORD-Allarme veicolo fermo corsia di marcia nord</v>
      </c>
      <c r="D1022" t="str">
        <f>VLOOKUP(B1022,'EXPORT IRIS PROD 13-11-2024'!A:A,1,0)</f>
        <v>VEICOLO_FERMO_CORSIA_MARCIA_NORD-Allarme veicolo fermo corsia di marcia nord</v>
      </c>
      <c r="E1022" t="str">
        <f>VLOOKUP(H1022,'EXPORT IRIS PROD 13-11-2024'!F:F,1,0)</f>
        <v>VEICOLO_FERMO_CORSIA_MARCIA_NORD</v>
      </c>
      <c r="F1022" t="str">
        <f>VLOOKUP(I1022,'EXPORT IRIS PROD 13-11-2024'!D:D,1,0)</f>
        <v>Allarme veicolo fermo corsia di marcia nord</v>
      </c>
      <c r="G1022" s="37" t="s">
        <v>983</v>
      </c>
      <c r="H1022" s="38" t="s">
        <v>1820</v>
      </c>
      <c r="I1022" s="45" t="s">
        <v>1821</v>
      </c>
      <c r="J1022" s="46" t="s">
        <v>1337</v>
      </c>
      <c r="K1022" s="46" t="s">
        <v>1321</v>
      </c>
      <c r="L1022" s="47" t="s">
        <v>31</v>
      </c>
      <c r="M1022" s="48" t="s">
        <v>32</v>
      </c>
      <c r="N1022" s="43">
        <v>1</v>
      </c>
      <c r="O1022" s="43" t="s">
        <v>33</v>
      </c>
      <c r="P1022" s="43" t="s">
        <v>34</v>
      </c>
      <c r="Q1022" s="43" t="s">
        <v>31</v>
      </c>
      <c r="R1022" s="44"/>
    </row>
    <row r="1023" spans="1:18" customFormat="1" ht="15" customHeight="1" x14ac:dyDescent="0.25">
      <c r="A1023" t="str">
        <f t="shared" si="30"/>
        <v>Impianto videosorveglianza_TVCC generale_VEICOLO_FERMO_CORSIA_MARCIA_SUD-Allarme veicolo fermo corsia di marcia sud</v>
      </c>
      <c r="B1023" t="str">
        <f t="shared" si="31"/>
        <v>VEICOLO_FERMO_CORSIA_MARCIA_SUD-Allarme veicolo fermo corsia di marcia sud</v>
      </c>
      <c r="C1023" t="str">
        <f>VLOOKUP(B1023,'[2]Classi allarmi RMT-STIG_rev4'!$C:$C,1,0)</f>
        <v>VEICOLO_FERMO_CORSIA_MARCIA_SUD-Allarme veicolo fermo corsia di marcia sud</v>
      </c>
      <c r="D1023" t="str">
        <f>VLOOKUP(B1023,'EXPORT IRIS PROD 13-11-2024'!A:A,1,0)</f>
        <v>VEICOLO_FERMO_CORSIA_MARCIA_SUD-Allarme veicolo fermo corsia di marcia sud</v>
      </c>
      <c r="E1023" t="str">
        <f>VLOOKUP(H1023,'EXPORT IRIS PROD 13-11-2024'!F:F,1,0)</f>
        <v>VEICOLO_FERMO_CORSIA_MARCIA_SUD</v>
      </c>
      <c r="F1023" t="str">
        <f>VLOOKUP(I1023,'EXPORT IRIS PROD 13-11-2024'!D:D,1,0)</f>
        <v>Allarme veicolo fermo corsia di marcia sud</v>
      </c>
      <c r="G1023" s="37" t="s">
        <v>983</v>
      </c>
      <c r="H1023" s="38" t="s">
        <v>1822</v>
      </c>
      <c r="I1023" s="45" t="s">
        <v>1823</v>
      </c>
      <c r="J1023" s="46" t="s">
        <v>1337</v>
      </c>
      <c r="K1023" s="46" t="s">
        <v>1338</v>
      </c>
      <c r="L1023" s="47" t="s">
        <v>31</v>
      </c>
      <c r="M1023" s="48" t="s">
        <v>32</v>
      </c>
      <c r="N1023" s="43">
        <v>1</v>
      </c>
      <c r="O1023" s="43" t="s">
        <v>33</v>
      </c>
      <c r="P1023" s="43" t="s">
        <v>34</v>
      </c>
      <c r="Q1023" s="43" t="s">
        <v>31</v>
      </c>
      <c r="R1023" s="44"/>
    </row>
    <row r="1024" spans="1:18" customFormat="1" ht="15" customHeight="1" x14ac:dyDescent="0.25">
      <c r="A1024" t="str">
        <f t="shared" si="30"/>
        <v>Impianto videosorveglianza_Telecamera_VEICOLO_FERMO_CORSIA_MARCIA_SUD-Allarme veicolo fermo corsia di marcia sud</v>
      </c>
      <c r="B1024" t="str">
        <f t="shared" si="31"/>
        <v>VEICOLO_FERMO_CORSIA_MARCIA_SUD-Allarme veicolo fermo corsia di marcia sud</v>
      </c>
      <c r="C1024" t="str">
        <f>VLOOKUP(B1024,'[2]Classi allarmi RMT-STIG_rev4'!$C:$C,1,0)</f>
        <v>VEICOLO_FERMO_CORSIA_MARCIA_SUD-Allarme veicolo fermo corsia di marcia sud</v>
      </c>
      <c r="D1024" t="str">
        <f>VLOOKUP(B1024,'EXPORT IRIS PROD 13-11-2024'!A:A,1,0)</f>
        <v>VEICOLO_FERMO_CORSIA_MARCIA_SUD-Allarme veicolo fermo corsia di marcia sud</v>
      </c>
      <c r="E1024" t="str">
        <f>VLOOKUP(H1024,'EXPORT IRIS PROD 13-11-2024'!F:F,1,0)</f>
        <v>VEICOLO_FERMO_CORSIA_MARCIA_SUD</v>
      </c>
      <c r="F1024" t="str">
        <f>VLOOKUP(I1024,'EXPORT IRIS PROD 13-11-2024'!D:D,1,0)</f>
        <v>Allarme veicolo fermo corsia di marcia sud</v>
      </c>
      <c r="G1024" s="37" t="s">
        <v>983</v>
      </c>
      <c r="H1024" s="38" t="s">
        <v>1822</v>
      </c>
      <c r="I1024" s="45" t="s">
        <v>1823</v>
      </c>
      <c r="J1024" s="46" t="s">
        <v>1337</v>
      </c>
      <c r="K1024" s="46" t="s">
        <v>1321</v>
      </c>
      <c r="L1024" s="47" t="s">
        <v>31</v>
      </c>
      <c r="M1024" s="48" t="s">
        <v>32</v>
      </c>
      <c r="N1024" s="43">
        <v>1</v>
      </c>
      <c r="O1024" s="43" t="s">
        <v>33</v>
      </c>
      <c r="P1024" s="43" t="s">
        <v>34</v>
      </c>
      <c r="Q1024" s="43" t="s">
        <v>31</v>
      </c>
      <c r="R1024" s="44"/>
    </row>
    <row r="1025" spans="1:18" customFormat="1" ht="15" customHeight="1" x14ac:dyDescent="0.25">
      <c r="A1025" t="str">
        <f t="shared" si="30"/>
        <v>Impianto videosorveglianza_Telecamera_VEICOLO_FERMO_DIR_NORD-Allarme Veicolo Fermo direzione Nord</v>
      </c>
      <c r="B1025" t="str">
        <f t="shared" si="31"/>
        <v>VEICOLO_FERMO_DIR_NORD-Allarme Veicolo Fermo direzione Nord</v>
      </c>
      <c r="C1025" t="str">
        <f>VLOOKUP(B1025,'[2]Classi allarmi RMT-STIG_rev4'!$C:$C,1,0)</f>
        <v>VEICOLO_FERMO_DIR_NORD-Allarme Veicolo Fermo direzione Nord</v>
      </c>
      <c r="D1025" t="str">
        <f>VLOOKUP(B1025,'EXPORT IRIS PROD 13-11-2024'!A:A,1,0)</f>
        <v>VEICOLO_FERMO_DIR_NORD-Allarme Veicolo Fermo direzione Nord</v>
      </c>
      <c r="E1025" t="str">
        <f>VLOOKUP(H1025,'EXPORT IRIS PROD 13-11-2024'!F:F,1,0)</f>
        <v>VEICOLO_FERMO_DIR_NORD</v>
      </c>
      <c r="F1025" t="str">
        <f>VLOOKUP(I1025,'EXPORT IRIS PROD 13-11-2024'!D:D,1,0)</f>
        <v>Allarme Veicolo Fermo direzione Nord</v>
      </c>
      <c r="G1025" s="37" t="s">
        <v>983</v>
      </c>
      <c r="H1025" s="38" t="s">
        <v>1824</v>
      </c>
      <c r="I1025" s="45" t="s">
        <v>1825</v>
      </c>
      <c r="J1025" s="46" t="s">
        <v>1337</v>
      </c>
      <c r="K1025" s="46" t="s">
        <v>1321</v>
      </c>
      <c r="L1025" s="47" t="s">
        <v>31</v>
      </c>
      <c r="M1025" s="48" t="s">
        <v>32</v>
      </c>
      <c r="N1025" s="43">
        <v>1</v>
      </c>
      <c r="O1025" s="43" t="s">
        <v>33</v>
      </c>
      <c r="P1025" s="43" t="s">
        <v>34</v>
      </c>
      <c r="Q1025" s="43" t="s">
        <v>31</v>
      </c>
      <c r="R1025" s="44"/>
    </row>
    <row r="1026" spans="1:18" customFormat="1" ht="15" customHeight="1" x14ac:dyDescent="0.25">
      <c r="A1026" t="str">
        <f t="shared" ref="A1026:A1089" si="32">CONCATENATE(J1026,"_",K1026,"_",B1026)</f>
        <v>Impianto videosorveglianza_TVCC generale_VEICOLO_FERMO_DIR_NORD-Allarme Veicolo Fermo direzione Nord</v>
      </c>
      <c r="B1026" t="str">
        <f t="shared" si="31"/>
        <v>VEICOLO_FERMO_DIR_NORD-Allarme Veicolo Fermo direzione Nord</v>
      </c>
      <c r="C1026" t="str">
        <f>VLOOKUP(B1026,'[2]Classi allarmi RMT-STIG_rev4'!$C:$C,1,0)</f>
        <v>VEICOLO_FERMO_DIR_NORD-Allarme Veicolo Fermo direzione Nord</v>
      </c>
      <c r="D1026" t="str">
        <f>VLOOKUP(B1026,'EXPORT IRIS PROD 13-11-2024'!A:A,1,0)</f>
        <v>VEICOLO_FERMO_DIR_NORD-Allarme Veicolo Fermo direzione Nord</v>
      </c>
      <c r="E1026" t="str">
        <f>VLOOKUP(H1026,'EXPORT IRIS PROD 13-11-2024'!F:F,1,0)</f>
        <v>VEICOLO_FERMO_DIR_NORD</v>
      </c>
      <c r="F1026" t="str">
        <f>VLOOKUP(I1026,'EXPORT IRIS PROD 13-11-2024'!D:D,1,0)</f>
        <v>Allarme Veicolo Fermo direzione Nord</v>
      </c>
      <c r="G1026" s="37" t="s">
        <v>983</v>
      </c>
      <c r="H1026" s="38" t="s">
        <v>1824</v>
      </c>
      <c r="I1026" s="45" t="s">
        <v>1825</v>
      </c>
      <c r="J1026" s="46" t="s">
        <v>1337</v>
      </c>
      <c r="K1026" s="46" t="s">
        <v>1338</v>
      </c>
      <c r="L1026" s="47" t="s">
        <v>31</v>
      </c>
      <c r="M1026" s="48" t="s">
        <v>32</v>
      </c>
      <c r="N1026" s="43">
        <v>1</v>
      </c>
      <c r="O1026" s="43" t="s">
        <v>33</v>
      </c>
      <c r="P1026" s="43" t="s">
        <v>34</v>
      </c>
      <c r="Q1026" s="43" t="s">
        <v>31</v>
      </c>
      <c r="R1026" s="44"/>
    </row>
    <row r="1027" spans="1:18" customFormat="1" ht="15" customHeight="1" x14ac:dyDescent="0.25">
      <c r="A1027" t="str">
        <f t="shared" si="32"/>
        <v>Impianto videosorveglianza_Telecamera_VEICOLO_FERMO_DIR_SUD-Allarme Veicolo Fermo direzione Sud</v>
      </c>
      <c r="B1027" t="str">
        <f t="shared" ref="B1027:B1034" si="33">CONCATENATE(H1027,"-",I1027)</f>
        <v>VEICOLO_FERMO_DIR_SUD-Allarme Veicolo Fermo direzione Sud</v>
      </c>
      <c r="C1027" t="str">
        <f>VLOOKUP(B1027,'[2]Classi allarmi RMT-STIG_rev4'!$C:$C,1,0)</f>
        <v>VEICOLO_FERMO_DIR_SUD-Allarme Veicolo Fermo direzione Sud</v>
      </c>
      <c r="D1027" t="str">
        <f>VLOOKUP(B1027,'EXPORT IRIS PROD 13-11-2024'!A:A,1,0)</f>
        <v>VEICOLO_FERMO_DIR_SUD-Allarme Veicolo Fermo direzione Sud</v>
      </c>
      <c r="E1027" t="str">
        <f>VLOOKUP(H1027,'EXPORT IRIS PROD 13-11-2024'!F:F,1,0)</f>
        <v>VEICOLO_FERMO_DIR_SUD</v>
      </c>
      <c r="F1027" t="str">
        <f>VLOOKUP(I1027,'EXPORT IRIS PROD 13-11-2024'!D:D,1,0)</f>
        <v>Allarme Veicolo Fermo direzione Sud</v>
      </c>
      <c r="G1027" s="37" t="s">
        <v>983</v>
      </c>
      <c r="H1027" s="38" t="s">
        <v>1826</v>
      </c>
      <c r="I1027" s="45" t="s">
        <v>1827</v>
      </c>
      <c r="J1027" s="46" t="s">
        <v>1337</v>
      </c>
      <c r="K1027" s="46" t="s">
        <v>1321</v>
      </c>
      <c r="L1027" s="47" t="s">
        <v>31</v>
      </c>
      <c r="M1027" s="48" t="s">
        <v>32</v>
      </c>
      <c r="N1027" s="43">
        <v>1</v>
      </c>
      <c r="O1027" s="43" t="s">
        <v>33</v>
      </c>
      <c r="P1027" s="43" t="s">
        <v>34</v>
      </c>
      <c r="Q1027" s="43" t="s">
        <v>31</v>
      </c>
      <c r="R1027" s="44"/>
    </row>
    <row r="1028" spans="1:18" customFormat="1" ht="15" customHeight="1" x14ac:dyDescent="0.25">
      <c r="A1028" t="str">
        <f t="shared" si="32"/>
        <v>Impianto videosorveglianza_TVCC generale_VEICOLO_FERMO_DIR_SUD-Allarme Veicolo Fermo direzione Sud</v>
      </c>
      <c r="B1028" t="str">
        <f t="shared" si="33"/>
        <v>VEICOLO_FERMO_DIR_SUD-Allarme Veicolo Fermo direzione Sud</v>
      </c>
      <c r="C1028" t="str">
        <f>VLOOKUP(B1028,'[2]Classi allarmi RMT-STIG_rev4'!$C:$C,1,0)</f>
        <v>VEICOLO_FERMO_DIR_SUD-Allarme Veicolo Fermo direzione Sud</v>
      </c>
      <c r="D1028" t="str">
        <f>VLOOKUP(B1028,'EXPORT IRIS PROD 13-11-2024'!A:A,1,0)</f>
        <v>VEICOLO_FERMO_DIR_SUD-Allarme Veicolo Fermo direzione Sud</v>
      </c>
      <c r="E1028" t="str">
        <f>VLOOKUP(H1028,'EXPORT IRIS PROD 13-11-2024'!F:F,1,0)</f>
        <v>VEICOLO_FERMO_DIR_SUD</v>
      </c>
      <c r="F1028" t="str">
        <f>VLOOKUP(I1028,'EXPORT IRIS PROD 13-11-2024'!D:D,1,0)</f>
        <v>Allarme Veicolo Fermo direzione Sud</v>
      </c>
      <c r="G1028" s="37" t="s">
        <v>983</v>
      </c>
      <c r="H1028" s="38" t="s">
        <v>1826</v>
      </c>
      <c r="I1028" s="45" t="s">
        <v>1827</v>
      </c>
      <c r="J1028" s="46" t="s">
        <v>1337</v>
      </c>
      <c r="K1028" s="46" t="s">
        <v>1338</v>
      </c>
      <c r="L1028" s="47" t="s">
        <v>31</v>
      </c>
      <c r="M1028" s="48" t="s">
        <v>32</v>
      </c>
      <c r="N1028" s="43">
        <v>1</v>
      </c>
      <c r="O1028" s="43" t="s">
        <v>33</v>
      </c>
      <c r="P1028" s="43" t="s">
        <v>34</v>
      </c>
      <c r="Q1028" s="43" t="s">
        <v>31</v>
      </c>
      <c r="R1028" s="44"/>
    </row>
    <row r="1029" spans="1:18" customFormat="1" ht="15" customHeight="1" x14ac:dyDescent="0.25">
      <c r="A1029" t="str">
        <f t="shared" si="32"/>
        <v>Impianto videosorveglianza_TVCC generale_VEICOLO_LENTO-Allarme veicolo lento</v>
      </c>
      <c r="B1029" t="str">
        <f t="shared" si="33"/>
        <v>VEICOLO_LENTO-Allarme veicolo lento</v>
      </c>
      <c r="C1029" t="str">
        <f>VLOOKUP(B1029,'[2]Classi allarmi RMT-STIG_rev4'!$C:$C,1,0)</f>
        <v>VEICOLO_LENTO-Allarme veicolo lento</v>
      </c>
      <c r="D1029" t="str">
        <f>VLOOKUP(B1029,'EXPORT IRIS PROD 13-11-2024'!A:A,1,0)</f>
        <v>VEICOLO_LENTO-Allarme veicolo lento</v>
      </c>
      <c r="E1029" t="str">
        <f>VLOOKUP(H1029,'EXPORT IRIS PROD 13-11-2024'!F:F,1,0)</f>
        <v>VEICOLO_LENTO</v>
      </c>
      <c r="F1029" t="str">
        <f>VLOOKUP(I1029,'EXPORT IRIS PROD 13-11-2024'!D:D,1,0)</f>
        <v>Allarme veicolo lento</v>
      </c>
      <c r="G1029" s="37" t="s">
        <v>979</v>
      </c>
      <c r="H1029" s="38" t="s">
        <v>1828</v>
      </c>
      <c r="I1029" s="45" t="s">
        <v>1829</v>
      </c>
      <c r="J1029" s="46" t="s">
        <v>1337</v>
      </c>
      <c r="K1029" s="46" t="s">
        <v>1338</v>
      </c>
      <c r="L1029" s="47" t="s">
        <v>31</v>
      </c>
      <c r="M1029" s="48" t="s">
        <v>32</v>
      </c>
      <c r="N1029" s="43">
        <v>1</v>
      </c>
      <c r="O1029" s="43" t="s">
        <v>24</v>
      </c>
      <c r="P1029" s="43" t="s">
        <v>25</v>
      </c>
      <c r="Q1029" s="42" t="s">
        <v>21</v>
      </c>
      <c r="R1029" s="44"/>
    </row>
    <row r="1030" spans="1:18" customFormat="1" ht="15" customHeight="1" x14ac:dyDescent="0.25">
      <c r="A1030" t="str">
        <f t="shared" si="32"/>
        <v>Impianto videosorveglianza_Telecamera_VEICOLO_LENTO-Allarme veicolo lento</v>
      </c>
      <c r="B1030" t="str">
        <f t="shared" si="33"/>
        <v>VEICOLO_LENTO-Allarme veicolo lento</v>
      </c>
      <c r="C1030" t="str">
        <f>VLOOKUP(B1030,'[2]Classi allarmi RMT-STIG_rev4'!$C:$C,1,0)</f>
        <v>VEICOLO_LENTO-Allarme veicolo lento</v>
      </c>
      <c r="D1030" t="str">
        <f>VLOOKUP(B1030,'EXPORT IRIS PROD 13-11-2024'!A:A,1,0)</f>
        <v>VEICOLO_LENTO-Allarme veicolo lento</v>
      </c>
      <c r="E1030" t="str">
        <f>VLOOKUP(H1030,'EXPORT IRIS PROD 13-11-2024'!F:F,1,0)</f>
        <v>VEICOLO_LENTO</v>
      </c>
      <c r="F1030" t="str">
        <f>VLOOKUP(I1030,'EXPORT IRIS PROD 13-11-2024'!D:D,1,0)</f>
        <v>Allarme veicolo lento</v>
      </c>
      <c r="G1030" s="37" t="s">
        <v>979</v>
      </c>
      <c r="H1030" s="38" t="s">
        <v>1828</v>
      </c>
      <c r="I1030" s="45" t="s">
        <v>1829</v>
      </c>
      <c r="J1030" s="46" t="s">
        <v>1337</v>
      </c>
      <c r="K1030" s="46" t="s">
        <v>1321</v>
      </c>
      <c r="L1030" s="47" t="s">
        <v>31</v>
      </c>
      <c r="M1030" s="48" t="s">
        <v>32</v>
      </c>
      <c r="N1030" s="43">
        <v>1</v>
      </c>
      <c r="O1030" s="43" t="s">
        <v>24</v>
      </c>
      <c r="P1030" s="43" t="s">
        <v>25</v>
      </c>
      <c r="Q1030" s="42" t="s">
        <v>21</v>
      </c>
      <c r="R1030" s="44"/>
    </row>
    <row r="1031" spans="1:18" customFormat="1" ht="15" customHeight="1" x14ac:dyDescent="0.25">
      <c r="A1031" t="str">
        <f t="shared" si="32"/>
        <v>Impianto videosorveglianza_TVCC generale_VEICOLO_LENTO_CORSIA_MARCIA_NORD-Allarme veicolo lento corsia di marcia nord</v>
      </c>
      <c r="B1031" t="str">
        <f t="shared" si="33"/>
        <v>VEICOLO_LENTO_CORSIA_MARCIA_NORD-Allarme veicolo lento corsia di marcia nord</v>
      </c>
      <c r="C1031" t="str">
        <f>VLOOKUP(B1031,'[2]Classi allarmi RMT-STIG_rev4'!$C:$C,1,0)</f>
        <v>VEICOLO_LENTO_CORSIA_MARCIA_NORD-Allarme veicolo lento corsia di marcia nord</v>
      </c>
      <c r="D1031" t="str">
        <f>VLOOKUP(B1031,'EXPORT IRIS PROD 13-11-2024'!A:A,1,0)</f>
        <v>VEICOLO_LENTO_CORSIA_MARCIA_NORD-Allarme veicolo lento corsia di marcia nord</v>
      </c>
      <c r="E1031" t="str">
        <f>VLOOKUP(H1031,'EXPORT IRIS PROD 13-11-2024'!F:F,1,0)</f>
        <v>VEICOLO_LENTO_CORSIA_MARCIA_NORD</v>
      </c>
      <c r="F1031" t="str">
        <f>VLOOKUP(I1031,'EXPORT IRIS PROD 13-11-2024'!D:D,1,0)</f>
        <v>Allarme veicolo lento corsia di marcia nord</v>
      </c>
      <c r="G1031" s="37" t="s">
        <v>979</v>
      </c>
      <c r="H1031" s="38" t="s">
        <v>1830</v>
      </c>
      <c r="I1031" s="45" t="s">
        <v>1831</v>
      </c>
      <c r="J1031" s="46" t="s">
        <v>1337</v>
      </c>
      <c r="K1031" s="46" t="s">
        <v>1338</v>
      </c>
      <c r="L1031" s="47" t="s">
        <v>31</v>
      </c>
      <c r="M1031" s="48" t="s">
        <v>32</v>
      </c>
      <c r="N1031" s="43">
        <v>1</v>
      </c>
      <c r="O1031" s="43" t="s">
        <v>24</v>
      </c>
      <c r="P1031" s="43" t="s">
        <v>25</v>
      </c>
      <c r="Q1031" s="42" t="s">
        <v>21</v>
      </c>
      <c r="R1031" s="44"/>
    </row>
    <row r="1032" spans="1:18" customFormat="1" ht="15" customHeight="1" x14ac:dyDescent="0.25">
      <c r="A1032" t="str">
        <f t="shared" si="32"/>
        <v>Impianto videosorveglianza_Telecamera_VEICOLO_LENTO_CORSIA_MARCIA_NORD-Allarme veicolo lento corsia di marcia nord</v>
      </c>
      <c r="B1032" t="str">
        <f t="shared" si="33"/>
        <v>VEICOLO_LENTO_CORSIA_MARCIA_NORD-Allarme veicolo lento corsia di marcia nord</v>
      </c>
      <c r="C1032" t="str">
        <f>VLOOKUP(B1032,'[2]Classi allarmi RMT-STIG_rev4'!$C:$C,1,0)</f>
        <v>VEICOLO_LENTO_CORSIA_MARCIA_NORD-Allarme veicolo lento corsia di marcia nord</v>
      </c>
      <c r="D1032" t="str">
        <f>VLOOKUP(B1032,'EXPORT IRIS PROD 13-11-2024'!A:A,1,0)</f>
        <v>VEICOLO_LENTO_CORSIA_MARCIA_NORD-Allarme veicolo lento corsia di marcia nord</v>
      </c>
      <c r="E1032" t="str">
        <f>VLOOKUP(H1032,'EXPORT IRIS PROD 13-11-2024'!F:F,1,0)</f>
        <v>VEICOLO_LENTO_CORSIA_MARCIA_NORD</v>
      </c>
      <c r="F1032" t="str">
        <f>VLOOKUP(I1032,'EXPORT IRIS PROD 13-11-2024'!D:D,1,0)</f>
        <v>Allarme veicolo lento corsia di marcia nord</v>
      </c>
      <c r="G1032" s="37" t="s">
        <v>979</v>
      </c>
      <c r="H1032" s="38" t="s">
        <v>1830</v>
      </c>
      <c r="I1032" s="45" t="s">
        <v>1831</v>
      </c>
      <c r="J1032" s="46" t="s">
        <v>1337</v>
      </c>
      <c r="K1032" s="46" t="s">
        <v>1321</v>
      </c>
      <c r="L1032" s="47" t="s">
        <v>31</v>
      </c>
      <c r="M1032" s="48" t="s">
        <v>32</v>
      </c>
      <c r="N1032" s="43">
        <v>1</v>
      </c>
      <c r="O1032" s="43" t="s">
        <v>24</v>
      </c>
      <c r="P1032" s="43" t="s">
        <v>25</v>
      </c>
      <c r="Q1032" s="42" t="s">
        <v>21</v>
      </c>
      <c r="R1032" s="44"/>
    </row>
    <row r="1033" spans="1:18" customFormat="1" ht="15" customHeight="1" x14ac:dyDescent="0.25">
      <c r="A1033" t="str">
        <f t="shared" si="32"/>
        <v>Impianto videosorveglianza_TVCC generale_VEICOLO_LENTO_CORSIA_MARCIA_SUD-Allarme veicolo lento corsia di marcia sud</v>
      </c>
      <c r="B1033" t="str">
        <f t="shared" si="33"/>
        <v>VEICOLO_LENTO_CORSIA_MARCIA_SUD-Allarme veicolo lento corsia di marcia sud</v>
      </c>
      <c r="C1033" t="str">
        <f>VLOOKUP(B1033,'[2]Classi allarmi RMT-STIG_rev4'!$C:$C,1,0)</f>
        <v>VEICOLO_LENTO_CORSIA_MARCIA_SUD-Allarme veicolo lento corsia di marcia sud</v>
      </c>
      <c r="D1033" t="str">
        <f>VLOOKUP(B1033,'EXPORT IRIS PROD 13-11-2024'!A:A,1,0)</f>
        <v>VEICOLO_LENTO_CORSIA_MARCIA_SUD-Allarme veicolo lento corsia di marcia sud</v>
      </c>
      <c r="E1033" t="str">
        <f>VLOOKUP(H1033,'EXPORT IRIS PROD 13-11-2024'!F:F,1,0)</f>
        <v>VEICOLO_LENTO_CORSIA_MARCIA_SUD</v>
      </c>
      <c r="F1033" t="str">
        <f>VLOOKUP(I1033,'EXPORT IRIS PROD 13-11-2024'!D:D,1,0)</f>
        <v>Allarme veicolo lento corsia di marcia sud</v>
      </c>
      <c r="G1033" s="37" t="s">
        <v>979</v>
      </c>
      <c r="H1033" s="38" t="s">
        <v>1832</v>
      </c>
      <c r="I1033" s="45" t="s">
        <v>1833</v>
      </c>
      <c r="J1033" s="46" t="s">
        <v>1337</v>
      </c>
      <c r="K1033" s="46" t="s">
        <v>1338</v>
      </c>
      <c r="L1033" s="47" t="s">
        <v>31</v>
      </c>
      <c r="M1033" s="48" t="s">
        <v>32</v>
      </c>
      <c r="N1033" s="43">
        <v>1</v>
      </c>
      <c r="O1033" s="43" t="s">
        <v>24</v>
      </c>
      <c r="P1033" s="43" t="s">
        <v>25</v>
      </c>
      <c r="Q1033" s="42" t="s">
        <v>21</v>
      </c>
      <c r="R1033" s="44"/>
    </row>
    <row r="1034" spans="1:18" customFormat="1" ht="15" customHeight="1" x14ac:dyDescent="0.25">
      <c r="A1034" t="str">
        <f t="shared" si="32"/>
        <v>Impianto videosorveglianza_Telecamera_VEICOLO_LENTO_CORSIA_MARCIA_SUD-Allarme veicolo lento corsia di marcia sud</v>
      </c>
      <c r="B1034" t="str">
        <f t="shared" si="33"/>
        <v>VEICOLO_LENTO_CORSIA_MARCIA_SUD-Allarme veicolo lento corsia di marcia sud</v>
      </c>
      <c r="C1034" t="str">
        <f>VLOOKUP(B1034,'[2]Classi allarmi RMT-STIG_rev4'!$C:$C,1,0)</f>
        <v>VEICOLO_LENTO_CORSIA_MARCIA_SUD-Allarme veicolo lento corsia di marcia sud</v>
      </c>
      <c r="D1034" t="str">
        <f>VLOOKUP(B1034,'EXPORT IRIS PROD 13-11-2024'!A:A,1,0)</f>
        <v>VEICOLO_LENTO_CORSIA_MARCIA_SUD-Allarme veicolo lento corsia di marcia sud</v>
      </c>
      <c r="E1034" t="str">
        <f>VLOOKUP(H1034,'EXPORT IRIS PROD 13-11-2024'!F:F,1,0)</f>
        <v>VEICOLO_LENTO_CORSIA_MARCIA_SUD</v>
      </c>
      <c r="F1034" t="str">
        <f>VLOOKUP(I1034,'EXPORT IRIS PROD 13-11-2024'!D:D,1,0)</f>
        <v>Allarme veicolo lento corsia di marcia sud</v>
      </c>
      <c r="G1034" s="37" t="s">
        <v>979</v>
      </c>
      <c r="H1034" s="38" t="s">
        <v>1832</v>
      </c>
      <c r="I1034" s="45" t="s">
        <v>1833</v>
      </c>
      <c r="J1034" s="46" t="s">
        <v>1337</v>
      </c>
      <c r="K1034" s="46" t="s">
        <v>1321</v>
      </c>
      <c r="L1034" s="47" t="s">
        <v>31</v>
      </c>
      <c r="M1034" s="48" t="s">
        <v>32</v>
      </c>
      <c r="N1034" s="43">
        <v>1</v>
      </c>
      <c r="O1034" s="43" t="s">
        <v>24</v>
      </c>
      <c r="P1034" s="43" t="s">
        <v>25</v>
      </c>
      <c r="Q1034" s="42" t="s">
        <v>21</v>
      </c>
      <c r="R1034" s="44"/>
    </row>
    <row r="1035" spans="1:18" x14ac:dyDescent="0.25">
      <c r="A1035" t="str">
        <f t="shared" si="32"/>
        <v>Impianto rete dati_PLC primario/di cabina_ALR_AVARIA_INGRESSI_DIGITALI_PLC-Allarme avaria Scheda Ingressi Digitali PLC</v>
      </c>
      <c r="B1035" t="str">
        <f t="shared" ref="B1035:B1098" si="34">CONCATENATE(H1035,"-",I1035)</f>
        <v>ALR_AVARIA_INGRESSI_DIGITALI_PLC-Allarme avaria Scheda Ingressi Digitali PLC</v>
      </c>
      <c r="C1035" t="str">
        <f>VLOOKUP(B1035,'[2]Classi allarmi RMT-STIG_rev4'!$C:$C,1,0)</f>
        <v>ALR_AVARIA_INGRESSI_DIGITALI_PLC-Allarme avaria Scheda Ingressi Digitali PLC</v>
      </c>
      <c r="D1035" t="str">
        <f>VLOOKUP(B1035,'EXPORT IRIS PROD 13-11-2024'!A:A,1,0)</f>
        <v>ALR_AVARIA_INGRESSI_DIGITALI_PLC-Allarme avaria Scheda Ingressi Digitali PLC</v>
      </c>
      <c r="E1035" t="str">
        <f>VLOOKUP(H1035,'EXPORT IRIS PROD 13-11-2024'!F:F,1,0)</f>
        <v>ALR_AVARIA_INGRESSI_DIGITALI_PLC</v>
      </c>
      <c r="F1035" t="str">
        <f>VLOOKUP(I1035,'EXPORT IRIS PROD 13-11-2024'!D:D,1,0)</f>
        <v>Allarme avaria Scheda Ingressi Digitali PLC</v>
      </c>
      <c r="G1035" s="25" t="s">
        <v>16</v>
      </c>
      <c r="H1035" s="26" t="s">
        <v>1843</v>
      </c>
      <c r="I1035" s="26" t="s">
        <v>1844</v>
      </c>
      <c r="J1035" s="27" t="s">
        <v>1156</v>
      </c>
      <c r="K1035" s="27" t="s">
        <v>1157</v>
      </c>
      <c r="L1035" s="28" t="s">
        <v>21</v>
      </c>
      <c r="M1035" s="71" t="s">
        <v>22</v>
      </c>
      <c r="N1035" s="30" t="s">
        <v>23</v>
      </c>
      <c r="O1035" s="72" t="s">
        <v>24</v>
      </c>
      <c r="P1035" s="30" t="s">
        <v>25</v>
      </c>
      <c r="Q1035" s="30" t="s">
        <v>21</v>
      </c>
      <c r="R1035" s="94" t="s">
        <v>2053</v>
      </c>
    </row>
    <row r="1036" spans="1:18" x14ac:dyDescent="0.25">
      <c r="A1036" t="str">
        <f t="shared" si="32"/>
        <v>Impianto rete dati_PLC primario/di cabina_ALR_AVARIA_USCITE_DIGITALI_PLC-Allarme avaria Scheda Uscite Digitali PLC</v>
      </c>
      <c r="B1036" t="str">
        <f t="shared" si="34"/>
        <v>ALR_AVARIA_USCITE_DIGITALI_PLC-Allarme avaria Scheda Uscite Digitali PLC</v>
      </c>
      <c r="C1036" t="e">
        <f>VLOOKUP(B1036,'[2]Classi allarmi RMT-STIG_rev4'!$C:$C,1,0)</f>
        <v>#N/A</v>
      </c>
      <c r="D1036" t="str">
        <f>VLOOKUP(B1036,'EXPORT IRIS PROD 13-11-2024'!A:A,1,0)</f>
        <v>ALR_AVARIA_USCITE_DIGITALI_PLC-Allarme avaria Scheda Uscite Digitali PLC</v>
      </c>
      <c r="E1036" t="str">
        <f>VLOOKUP(H1036,'EXPORT IRIS PROD 13-11-2024'!F:F,1,0)</f>
        <v>ALR_AVARIA_USCITE_DIGITALI_PLC</v>
      </c>
      <c r="F1036" t="str">
        <f>VLOOKUP(I1036,'EXPORT IRIS PROD 13-11-2024'!D:D,1,0)</f>
        <v>Allarme avaria Scheda Uscite Digitali PLC</v>
      </c>
      <c r="G1036" s="25" t="s">
        <v>16</v>
      </c>
      <c r="H1036" s="26" t="s">
        <v>1846</v>
      </c>
      <c r="I1036" s="26" t="s">
        <v>1847</v>
      </c>
      <c r="J1036" s="27" t="s">
        <v>1156</v>
      </c>
      <c r="K1036" s="27" t="s">
        <v>1157</v>
      </c>
      <c r="L1036" s="28" t="s">
        <v>21</v>
      </c>
      <c r="M1036" s="71" t="s">
        <v>22</v>
      </c>
      <c r="N1036" s="30" t="s">
        <v>23</v>
      </c>
      <c r="O1036" s="72" t="s">
        <v>24</v>
      </c>
      <c r="P1036" s="30" t="s">
        <v>25</v>
      </c>
      <c r="Q1036" s="30" t="s">
        <v>21</v>
      </c>
      <c r="R1036" s="94" t="s">
        <v>2053</v>
      </c>
    </row>
    <row r="1037" spans="1:18" x14ac:dyDescent="0.25">
      <c r="A1037" t="str">
        <f t="shared" si="32"/>
        <v>Impianto radio_Centrale sonora_ALR_GUASTO_2_IMP-Allarme guasto dispositivo</v>
      </c>
      <c r="B1037" t="str">
        <f t="shared" si="34"/>
        <v>ALR_GUASTO_2_IMP-Allarme guasto dispositivo</v>
      </c>
      <c r="C1037" t="str">
        <f>VLOOKUP(B1037,'[2]Classi allarmi RMT-STIG_rev4'!$C:$C,1,0)</f>
        <v>ALR_GUASTO_2_IMP-Allarme guasto dispositivo</v>
      </c>
      <c r="D1037" t="str">
        <f>VLOOKUP(B1037,'EXPORT IRIS PROD 13-11-2024'!A:A,1,0)</f>
        <v>ALR_GUASTO_2_IMP-Allarme guasto dispositivo</v>
      </c>
      <c r="E1037" t="str">
        <f>VLOOKUP(H1037,'EXPORT IRIS PROD 13-11-2024'!F:F,1,0)</f>
        <v>ALR_GUASTO_2_IMP</v>
      </c>
      <c r="F1037" t="str">
        <f>VLOOKUP(I1037,'EXPORT IRIS PROD 13-11-2024'!D:D,1,0)</f>
        <v>Allarme guasto dispositivo</v>
      </c>
      <c r="G1037" s="25" t="s">
        <v>1109</v>
      </c>
      <c r="H1037" s="26" t="s">
        <v>377</v>
      </c>
      <c r="I1037" s="26" t="s">
        <v>375</v>
      </c>
      <c r="J1037" s="27" t="s">
        <v>1186</v>
      </c>
      <c r="K1037" s="27" t="s">
        <v>1510</v>
      </c>
      <c r="L1037" s="28" t="s">
        <v>21</v>
      </c>
      <c r="M1037" s="71" t="s">
        <v>22</v>
      </c>
      <c r="N1037" s="30" t="s">
        <v>23</v>
      </c>
      <c r="O1037" s="72" t="s">
        <v>24</v>
      </c>
      <c r="P1037" s="30" t="s">
        <v>25</v>
      </c>
      <c r="Q1037" s="30" t="s">
        <v>21</v>
      </c>
      <c r="R1037" s="94" t="s">
        <v>2053</v>
      </c>
    </row>
    <row r="1038" spans="1:18" x14ac:dyDescent="0.25">
      <c r="A1038" t="str">
        <f t="shared" si="32"/>
        <v>Impianto Elettrico_Gruppo elettrogeno_ALR_AVVIAMENTO_IN_CORSO-Allarme avviamento in corso</v>
      </c>
      <c r="B1038" t="str">
        <f t="shared" si="34"/>
        <v>ALR_AVVIAMENTO_IN_CORSO-Allarme avviamento in corso</v>
      </c>
      <c r="C1038" t="str">
        <f>VLOOKUP(B1038,'[2]Classi allarmi RMT-STIG_rev4'!$C:$C,1,0)</f>
        <v>ALR_AVVIAMENTO_IN_CORSO-Allarme avviamento in corso</v>
      </c>
      <c r="D1038" t="str">
        <f>VLOOKUP(B1038,'EXPORT IRIS PROD 13-11-2024'!A:A,1,0)</f>
        <v>ALR_AVVIAMENTO_IN_CORSO-Allarme avviamento in corso</v>
      </c>
      <c r="E1038" t="str">
        <f>VLOOKUP(H1038,'EXPORT IRIS PROD 13-11-2024'!F:F,1,0)</f>
        <v>ALR_AVVIAMENTO_IN_CORSO</v>
      </c>
      <c r="F1038" t="str">
        <f>VLOOKUP(I1038,'EXPORT IRIS PROD 13-11-2024'!D:D,1,0)</f>
        <v>Allarme avviamento in corso</v>
      </c>
      <c r="G1038" s="25" t="s">
        <v>53</v>
      </c>
      <c r="H1038" s="26" t="s">
        <v>1852</v>
      </c>
      <c r="I1038" s="26" t="s">
        <v>1853</v>
      </c>
      <c r="J1038" s="27" t="s">
        <v>56</v>
      </c>
      <c r="K1038" s="27" t="s">
        <v>57</v>
      </c>
      <c r="L1038" s="28" t="s">
        <v>21</v>
      </c>
      <c r="M1038" s="71" t="s">
        <v>22</v>
      </c>
      <c r="N1038" s="30" t="s">
        <v>23</v>
      </c>
      <c r="O1038" s="72" t="s">
        <v>157</v>
      </c>
      <c r="P1038" s="30" t="s">
        <v>158</v>
      </c>
      <c r="Q1038" s="30" t="s">
        <v>21</v>
      </c>
      <c r="R1038" s="94" t="s">
        <v>2053</v>
      </c>
    </row>
    <row r="1039" spans="1:18" x14ac:dyDescent="0.25">
      <c r="A1039" t="str">
        <f t="shared" si="32"/>
        <v>Impianto Elettrico_Gruppo elettrogeno_ALR_ARRESTO_IN_CORSO-Allarme arresto in corso</v>
      </c>
      <c r="B1039" t="str">
        <f t="shared" si="34"/>
        <v>ALR_ARRESTO_IN_CORSO-Allarme arresto in corso</v>
      </c>
      <c r="C1039" t="str">
        <f>VLOOKUP(B1039,'[2]Classi allarmi RMT-STIG_rev4'!$C:$C,1,0)</f>
        <v>ALR_ARRESTO_IN_CORSO-Allarme arresto in corso</v>
      </c>
      <c r="D1039" t="str">
        <f>VLOOKUP(B1039,'EXPORT IRIS PROD 13-11-2024'!A:A,1,0)</f>
        <v>ALR_ARRESTO_IN_CORSO-Allarme arresto in corso</v>
      </c>
      <c r="E1039" t="str">
        <f>VLOOKUP(H1039,'EXPORT IRIS PROD 13-11-2024'!F:F,1,0)</f>
        <v>ALR_ARRESTO_IN_CORSO</v>
      </c>
      <c r="F1039" t="str">
        <f>VLOOKUP(I1039,'EXPORT IRIS PROD 13-11-2024'!D:D,1,0)</f>
        <v>Allarme arresto in corso</v>
      </c>
      <c r="G1039" s="25" t="s">
        <v>53</v>
      </c>
      <c r="H1039" s="26" t="s">
        <v>1854</v>
      </c>
      <c r="I1039" s="26" t="s">
        <v>1855</v>
      </c>
      <c r="J1039" s="27" t="s">
        <v>56</v>
      </c>
      <c r="K1039" s="27" t="s">
        <v>57</v>
      </c>
      <c r="L1039" s="28" t="s">
        <v>21</v>
      </c>
      <c r="M1039" s="71" t="s">
        <v>22</v>
      </c>
      <c r="N1039" s="30" t="s">
        <v>23</v>
      </c>
      <c r="O1039" s="72" t="s">
        <v>157</v>
      </c>
      <c r="P1039" s="30" t="s">
        <v>158</v>
      </c>
      <c r="Q1039" s="30" t="s">
        <v>21</v>
      </c>
      <c r="R1039" s="94" t="s">
        <v>2053</v>
      </c>
    </row>
    <row r="1040" spans="1:18" x14ac:dyDescent="0.25">
      <c r="A1040" t="str">
        <f t="shared" si="32"/>
        <v>Impianto Rete dati_PLC Rio_ALR_FAULT_MODULO_1-Allarme fault modulo 1</v>
      </c>
      <c r="B1040" t="str">
        <f t="shared" si="34"/>
        <v>ALR_FAULT_MODULO_1-Allarme fault modulo 1</v>
      </c>
      <c r="C1040" t="str">
        <f>VLOOKUP(B1040,'[2]Classi allarmi RMT-STIG_rev4'!$C:$C,1,0)</f>
        <v>ALR_FAULT_MODULO_1-Allarme fault modulo 1</v>
      </c>
      <c r="D1040" t="str">
        <f>VLOOKUP(B1040,'EXPORT IRIS PROD 13-11-2024'!A:A,1,0)</f>
        <v>ALR_FAULT_MODULO_1-Allarme fault modulo 1</v>
      </c>
      <c r="E1040" t="str">
        <f>VLOOKUP(H1040,'EXPORT IRIS PROD 13-11-2024'!F:F,1,0)</f>
        <v>ALR_FAULT_MODULO_1</v>
      </c>
      <c r="F1040" t="str">
        <f>VLOOKUP(I1040,'EXPORT IRIS PROD 13-11-2024'!D:D,1,0)</f>
        <v>Allarme fault modulo 1</v>
      </c>
      <c r="G1040" s="25" t="s">
        <v>16</v>
      </c>
      <c r="H1040" s="26" t="s">
        <v>1856</v>
      </c>
      <c r="I1040" s="26" t="s">
        <v>1857</v>
      </c>
      <c r="J1040" s="27" t="s">
        <v>19</v>
      </c>
      <c r="K1040" s="27" t="s">
        <v>258</v>
      </c>
      <c r="L1040" s="28" t="s">
        <v>21</v>
      </c>
      <c r="M1040" s="29" t="s">
        <v>22</v>
      </c>
      <c r="N1040" s="30" t="s">
        <v>23</v>
      </c>
      <c r="O1040" s="31" t="s">
        <v>24</v>
      </c>
      <c r="P1040" s="32" t="s">
        <v>25</v>
      </c>
      <c r="Q1040" s="30" t="s">
        <v>21</v>
      </c>
      <c r="R1040" s="94" t="s">
        <v>2053</v>
      </c>
    </row>
    <row r="1041" spans="1:18" x14ac:dyDescent="0.25">
      <c r="A1041" t="str">
        <f t="shared" si="32"/>
        <v>Impianto Rete dati_PLC Rio_ALR_FAULT_MODULO_2-Allarme fault modulo 2</v>
      </c>
      <c r="B1041" t="str">
        <f t="shared" si="34"/>
        <v>ALR_FAULT_MODULO_2-Allarme fault modulo 2</v>
      </c>
      <c r="C1041" t="str">
        <f>VLOOKUP(B1041,'[2]Classi allarmi RMT-STIG_rev4'!$C:$C,1,0)</f>
        <v>ALR_FAULT_MODULO_2-Allarme fault modulo 2</v>
      </c>
      <c r="D1041" t="str">
        <f>VLOOKUP(B1041,'EXPORT IRIS PROD 13-11-2024'!A:A,1,0)</f>
        <v>ALR_FAULT_MODULO_2-Allarme fault modulo 2</v>
      </c>
      <c r="E1041" t="str">
        <f>VLOOKUP(H1041,'EXPORT IRIS PROD 13-11-2024'!F:F,1,0)</f>
        <v>ALR_FAULT_MODULO_2</v>
      </c>
      <c r="F1041" t="str">
        <f>VLOOKUP(I1041,'EXPORT IRIS PROD 13-11-2024'!D:D,1,0)</f>
        <v>Allarme fault modulo 2</v>
      </c>
      <c r="G1041" s="25" t="s">
        <v>16</v>
      </c>
      <c r="H1041" s="26" t="s">
        <v>1858</v>
      </c>
      <c r="I1041" s="26" t="s">
        <v>1859</v>
      </c>
      <c r="J1041" s="27" t="s">
        <v>19</v>
      </c>
      <c r="K1041" s="27" t="s">
        <v>258</v>
      </c>
      <c r="L1041" s="28" t="s">
        <v>21</v>
      </c>
      <c r="M1041" s="29" t="s">
        <v>22</v>
      </c>
      <c r="N1041" s="30" t="s">
        <v>23</v>
      </c>
      <c r="O1041" s="31" t="s">
        <v>24</v>
      </c>
      <c r="P1041" s="32" t="s">
        <v>25</v>
      </c>
      <c r="Q1041" s="30" t="s">
        <v>21</v>
      </c>
      <c r="R1041" s="94" t="s">
        <v>2053</v>
      </c>
    </row>
    <row r="1042" spans="1:18" x14ac:dyDescent="0.25">
      <c r="A1042" t="str">
        <f t="shared" si="32"/>
        <v>Impianto Rete dati_PLC Rio_ALR_FAULT_MODULO_3-Allarme fault modulo 3</v>
      </c>
      <c r="B1042" t="str">
        <f t="shared" si="34"/>
        <v>ALR_FAULT_MODULO_3-Allarme fault modulo 3</v>
      </c>
      <c r="C1042" t="str">
        <f>VLOOKUP(B1042,'[2]Classi allarmi RMT-STIG_rev4'!$C:$C,1,0)</f>
        <v>ALR_FAULT_MODULO_3-Allarme fault modulo 3</v>
      </c>
      <c r="D1042" t="str">
        <f>VLOOKUP(B1042,'EXPORT IRIS PROD 13-11-2024'!A:A,1,0)</f>
        <v>ALR_FAULT_MODULO_3-Allarme fault modulo 3</v>
      </c>
      <c r="E1042" t="str">
        <f>VLOOKUP(H1042,'EXPORT IRIS PROD 13-11-2024'!F:F,1,0)</f>
        <v>ALR_FAULT_MODULO_3</v>
      </c>
      <c r="F1042" t="str">
        <f>VLOOKUP(I1042,'EXPORT IRIS PROD 13-11-2024'!D:D,1,0)</f>
        <v>Allarme fault modulo 3</v>
      </c>
      <c r="G1042" s="25" t="s">
        <v>16</v>
      </c>
      <c r="H1042" s="26" t="s">
        <v>1860</v>
      </c>
      <c r="I1042" s="26" t="s">
        <v>1861</v>
      </c>
      <c r="J1042" s="27" t="s">
        <v>19</v>
      </c>
      <c r="K1042" s="27" t="s">
        <v>258</v>
      </c>
      <c r="L1042" s="28" t="s">
        <v>21</v>
      </c>
      <c r="M1042" s="29" t="s">
        <v>22</v>
      </c>
      <c r="N1042" s="30" t="s">
        <v>23</v>
      </c>
      <c r="O1042" s="31" t="s">
        <v>24</v>
      </c>
      <c r="P1042" s="32" t="s">
        <v>25</v>
      </c>
      <c r="Q1042" s="30" t="s">
        <v>21</v>
      </c>
      <c r="R1042" s="94" t="s">
        <v>2053</v>
      </c>
    </row>
    <row r="1043" spans="1:18" x14ac:dyDescent="0.25">
      <c r="A1043" t="str">
        <f t="shared" si="32"/>
        <v>Impianto Rete dati_PLC Rio_ALR_FAULT_MODULO_4-Allarme fault modulo 4</v>
      </c>
      <c r="B1043" t="str">
        <f t="shared" si="34"/>
        <v>ALR_FAULT_MODULO_4-Allarme fault modulo 4</v>
      </c>
      <c r="C1043" t="str">
        <f>VLOOKUP(B1043,'[2]Classi allarmi RMT-STIG_rev4'!$C:$C,1,0)</f>
        <v>ALR_FAULT_MODULO_4-Allarme fault modulo 4</v>
      </c>
      <c r="D1043" t="str">
        <f>VLOOKUP(B1043,'EXPORT IRIS PROD 13-11-2024'!A:A,1,0)</f>
        <v>ALR_FAULT_MODULO_4-Allarme fault modulo 4</v>
      </c>
      <c r="E1043" t="str">
        <f>VLOOKUP(H1043,'EXPORT IRIS PROD 13-11-2024'!F:F,1,0)</f>
        <v>ALR_FAULT_MODULO_4</v>
      </c>
      <c r="F1043" t="str">
        <f>VLOOKUP(I1043,'EXPORT IRIS PROD 13-11-2024'!D:D,1,0)</f>
        <v>Allarme fault modulo 4</v>
      </c>
      <c r="G1043" s="25" t="s">
        <v>16</v>
      </c>
      <c r="H1043" s="26" t="s">
        <v>1862</v>
      </c>
      <c r="I1043" s="26" t="s">
        <v>1863</v>
      </c>
      <c r="J1043" s="27" t="s">
        <v>19</v>
      </c>
      <c r="K1043" s="27" t="s">
        <v>258</v>
      </c>
      <c r="L1043" s="28" t="s">
        <v>21</v>
      </c>
      <c r="M1043" s="29" t="s">
        <v>22</v>
      </c>
      <c r="N1043" s="30" t="s">
        <v>23</v>
      </c>
      <c r="O1043" s="31" t="s">
        <v>24</v>
      </c>
      <c r="P1043" s="32" t="s">
        <v>25</v>
      </c>
      <c r="Q1043" s="30" t="s">
        <v>21</v>
      </c>
      <c r="R1043" s="94" t="s">
        <v>2053</v>
      </c>
    </row>
    <row r="1044" spans="1:18" x14ac:dyDescent="0.25">
      <c r="A1044" t="str">
        <f t="shared" si="32"/>
        <v>Impianto Rete dati_PLC Rio_ALR_FAULT_MODULO_5-Allarme fault modulo 5</v>
      </c>
      <c r="B1044" t="str">
        <f t="shared" si="34"/>
        <v>ALR_FAULT_MODULO_5-Allarme fault modulo 5</v>
      </c>
      <c r="C1044" t="str">
        <f>VLOOKUP(B1044,'[2]Classi allarmi RMT-STIG_rev4'!$C:$C,1,0)</f>
        <v>ALR_FAULT_MODULO_5-Allarme fault modulo 5</v>
      </c>
      <c r="D1044" t="str">
        <f>VLOOKUP(B1044,'EXPORT IRIS PROD 13-11-2024'!A:A,1,0)</f>
        <v>ALR_FAULT_MODULO_5-Allarme fault modulo 5</v>
      </c>
      <c r="E1044" t="str">
        <f>VLOOKUP(H1044,'EXPORT IRIS PROD 13-11-2024'!F:F,1,0)</f>
        <v>ALR_FAULT_MODULO_5</v>
      </c>
      <c r="F1044" t="str">
        <f>VLOOKUP(I1044,'EXPORT IRIS PROD 13-11-2024'!D:D,1,0)</f>
        <v>Allarme fault modulo 5</v>
      </c>
      <c r="G1044" s="25" t="s">
        <v>16</v>
      </c>
      <c r="H1044" s="26" t="s">
        <v>1864</v>
      </c>
      <c r="I1044" s="26" t="s">
        <v>1865</v>
      </c>
      <c r="J1044" s="27" t="s">
        <v>19</v>
      </c>
      <c r="K1044" s="27" t="s">
        <v>258</v>
      </c>
      <c r="L1044" s="28" t="s">
        <v>21</v>
      </c>
      <c r="M1044" s="29" t="s">
        <v>22</v>
      </c>
      <c r="N1044" s="30" t="s">
        <v>23</v>
      </c>
      <c r="O1044" s="31" t="s">
        <v>24</v>
      </c>
      <c r="P1044" s="32" t="s">
        <v>25</v>
      </c>
      <c r="Q1044" s="30" t="s">
        <v>21</v>
      </c>
      <c r="R1044" s="94" t="s">
        <v>2053</v>
      </c>
    </row>
    <row r="1045" spans="1:18" x14ac:dyDescent="0.25">
      <c r="A1045" t="str">
        <f t="shared" si="32"/>
        <v>Impianto Rete dati_PLC Rio_ALR_FAULT_MODULO_6-Allarme fault modulo 6</v>
      </c>
      <c r="B1045" t="str">
        <f t="shared" si="34"/>
        <v>ALR_FAULT_MODULO_6-Allarme fault modulo 6</v>
      </c>
      <c r="C1045" t="str">
        <f>VLOOKUP(B1045,'[2]Classi allarmi RMT-STIG_rev4'!$C:$C,1,0)</f>
        <v>ALR_FAULT_MODULO_6-Allarme fault modulo 6</v>
      </c>
      <c r="D1045" t="str">
        <f>VLOOKUP(B1045,'EXPORT IRIS PROD 13-11-2024'!A:A,1,0)</f>
        <v>ALR_FAULT_MODULO_6-Allarme fault modulo 6</v>
      </c>
      <c r="E1045" t="str">
        <f>VLOOKUP(H1045,'EXPORT IRIS PROD 13-11-2024'!F:F,1,0)</f>
        <v>ALR_FAULT_MODULO_6</v>
      </c>
      <c r="F1045" t="str">
        <f>VLOOKUP(I1045,'EXPORT IRIS PROD 13-11-2024'!D:D,1,0)</f>
        <v>Allarme fault modulo 6</v>
      </c>
      <c r="G1045" s="25" t="s">
        <v>16</v>
      </c>
      <c r="H1045" s="26" t="s">
        <v>1866</v>
      </c>
      <c r="I1045" s="26" t="s">
        <v>1867</v>
      </c>
      <c r="J1045" s="27" t="s">
        <v>19</v>
      </c>
      <c r="K1045" s="27" t="s">
        <v>258</v>
      </c>
      <c r="L1045" s="28" t="s">
        <v>21</v>
      </c>
      <c r="M1045" s="29" t="s">
        <v>22</v>
      </c>
      <c r="N1045" s="30" t="s">
        <v>23</v>
      </c>
      <c r="O1045" s="31" t="s">
        <v>24</v>
      </c>
      <c r="P1045" s="32" t="s">
        <v>25</v>
      </c>
      <c r="Q1045" s="30" t="s">
        <v>21</v>
      </c>
      <c r="R1045" s="94" t="s">
        <v>2053</v>
      </c>
    </row>
    <row r="1046" spans="1:18" x14ac:dyDescent="0.25">
      <c r="A1046" t="str">
        <f t="shared" si="32"/>
        <v>Impianto Rete dati_PLC Rio_ALR_FAULT_MODULO_7-Allarme fault modulo 7</v>
      </c>
      <c r="B1046" t="str">
        <f t="shared" si="34"/>
        <v>ALR_FAULT_MODULO_7-Allarme fault modulo 7</v>
      </c>
      <c r="C1046" t="str">
        <f>VLOOKUP(B1046,'[2]Classi allarmi RMT-STIG_rev4'!$C:$C,1,0)</f>
        <v>ALR_FAULT_MODULO_7-Allarme fault modulo 7</v>
      </c>
      <c r="D1046" t="str">
        <f>VLOOKUP(B1046,'EXPORT IRIS PROD 13-11-2024'!A:A,1,0)</f>
        <v>ALR_FAULT_MODULO_7-Allarme fault modulo 7</v>
      </c>
      <c r="E1046" t="str">
        <f>VLOOKUP(H1046,'EXPORT IRIS PROD 13-11-2024'!F:F,1,0)</f>
        <v>ALR_FAULT_MODULO_7</v>
      </c>
      <c r="F1046" t="str">
        <f>VLOOKUP(I1046,'EXPORT IRIS PROD 13-11-2024'!D:D,1,0)</f>
        <v>Allarme fault modulo 7</v>
      </c>
      <c r="G1046" s="25" t="s">
        <v>16</v>
      </c>
      <c r="H1046" s="26" t="s">
        <v>1868</v>
      </c>
      <c r="I1046" s="26" t="s">
        <v>1869</v>
      </c>
      <c r="J1046" s="27" t="s">
        <v>19</v>
      </c>
      <c r="K1046" s="27" t="s">
        <v>258</v>
      </c>
      <c r="L1046" s="28" t="s">
        <v>21</v>
      </c>
      <c r="M1046" s="29" t="s">
        <v>22</v>
      </c>
      <c r="N1046" s="30" t="s">
        <v>23</v>
      </c>
      <c r="O1046" s="31" t="s">
        <v>24</v>
      </c>
      <c r="P1046" s="32" t="s">
        <v>25</v>
      </c>
      <c r="Q1046" s="30" t="s">
        <v>21</v>
      </c>
      <c r="R1046" s="94" t="s">
        <v>2053</v>
      </c>
    </row>
    <row r="1047" spans="1:18" x14ac:dyDescent="0.25">
      <c r="A1047" t="str">
        <f t="shared" si="32"/>
        <v>Impianto Rete dati_PLC Rio_ALR_FAULT_MODULO_8-Allarme fault modulo 8</v>
      </c>
      <c r="B1047" t="str">
        <f t="shared" si="34"/>
        <v>ALR_FAULT_MODULO_8-Allarme fault modulo 8</v>
      </c>
      <c r="C1047" t="str">
        <f>VLOOKUP(B1047,'[2]Classi allarmi RMT-STIG_rev4'!$C:$C,1,0)</f>
        <v>ALR_FAULT_MODULO_8-Allarme fault modulo 8</v>
      </c>
      <c r="D1047" t="str">
        <f>VLOOKUP(B1047,'EXPORT IRIS PROD 13-11-2024'!A:A,1,0)</f>
        <v>ALR_FAULT_MODULO_8-Allarme fault modulo 8</v>
      </c>
      <c r="E1047" t="str">
        <f>VLOOKUP(H1047,'EXPORT IRIS PROD 13-11-2024'!F:F,1,0)</f>
        <v>ALR_FAULT_MODULO_8</v>
      </c>
      <c r="F1047" t="str">
        <f>VLOOKUP(I1047,'EXPORT IRIS PROD 13-11-2024'!D:D,1,0)</f>
        <v>Allarme fault modulo 8</v>
      </c>
      <c r="G1047" s="25" t="s">
        <v>16</v>
      </c>
      <c r="H1047" s="26" t="s">
        <v>1870</v>
      </c>
      <c r="I1047" s="26" t="s">
        <v>1871</v>
      </c>
      <c r="J1047" s="27" t="s">
        <v>19</v>
      </c>
      <c r="K1047" s="27" t="s">
        <v>258</v>
      </c>
      <c r="L1047" s="28" t="s">
        <v>21</v>
      </c>
      <c r="M1047" s="29" t="s">
        <v>22</v>
      </c>
      <c r="N1047" s="30" t="s">
        <v>23</v>
      </c>
      <c r="O1047" s="31" t="s">
        <v>24</v>
      </c>
      <c r="P1047" s="32" t="s">
        <v>25</v>
      </c>
      <c r="Q1047" s="30" t="s">
        <v>21</v>
      </c>
      <c r="R1047" s="94" t="s">
        <v>2053</v>
      </c>
    </row>
    <row r="1048" spans="1:18" x14ac:dyDescent="0.25">
      <c r="A1048" t="str">
        <f t="shared" si="32"/>
        <v>Impianto Rete dati_PLC Rio_ALR_FAULT_MODULO_9-Allarme fault modulo 9</v>
      </c>
      <c r="B1048" t="str">
        <f t="shared" si="34"/>
        <v>ALR_FAULT_MODULO_9-Allarme fault modulo 9</v>
      </c>
      <c r="C1048" t="str">
        <f>VLOOKUP(B1048,'[2]Classi allarmi RMT-STIG_rev4'!$C:$C,1,0)</f>
        <v>ALR_FAULT_MODULO_9-Allarme fault modulo 9</v>
      </c>
      <c r="D1048" t="str">
        <f>VLOOKUP(B1048,'EXPORT IRIS PROD 13-11-2024'!A:A,1,0)</f>
        <v>ALR_FAULT_MODULO_9-Allarme fault modulo 9</v>
      </c>
      <c r="E1048" t="str">
        <f>VLOOKUP(H1048,'EXPORT IRIS PROD 13-11-2024'!F:F,1,0)</f>
        <v>ALR_FAULT_MODULO_9</v>
      </c>
      <c r="F1048" t="str">
        <f>VLOOKUP(I1048,'EXPORT IRIS PROD 13-11-2024'!D:D,1,0)</f>
        <v>Allarme fault modulo 9</v>
      </c>
      <c r="G1048" s="25" t="s">
        <v>16</v>
      </c>
      <c r="H1048" s="26" t="s">
        <v>1872</v>
      </c>
      <c r="I1048" s="26" t="s">
        <v>1873</v>
      </c>
      <c r="J1048" s="27" t="s">
        <v>19</v>
      </c>
      <c r="K1048" s="27" t="s">
        <v>258</v>
      </c>
      <c r="L1048" s="28" t="s">
        <v>21</v>
      </c>
      <c r="M1048" s="29" t="s">
        <v>22</v>
      </c>
      <c r="N1048" s="30" t="s">
        <v>23</v>
      </c>
      <c r="O1048" s="31" t="s">
        <v>24</v>
      </c>
      <c r="P1048" s="32" t="s">
        <v>25</v>
      </c>
      <c r="Q1048" s="30" t="s">
        <v>21</v>
      </c>
      <c r="R1048" s="94" t="s">
        <v>2053</v>
      </c>
    </row>
    <row r="1049" spans="1:18" x14ac:dyDescent="0.25">
      <c r="A1049" t="str">
        <f t="shared" si="32"/>
        <v>Impianto Rete dati_PLC_ALR_CPU-Allarme CPU</v>
      </c>
      <c r="B1049" t="str">
        <f t="shared" si="34"/>
        <v>ALR_CPU-Allarme CPU</v>
      </c>
      <c r="C1049" t="str">
        <f>VLOOKUP(B1049,'[2]Classi allarmi RMT-STIG_rev4'!$C:$C,1,0)</f>
        <v>ALR_CPU-Allarme CPU</v>
      </c>
      <c r="D1049" t="str">
        <f>VLOOKUP(B1049,'EXPORT IRIS PROD 13-11-2024'!A:A,1,0)</f>
        <v>ALR_CPU-Allarme CPU</v>
      </c>
      <c r="E1049" t="str">
        <f>VLOOKUP(H1049,'EXPORT IRIS PROD 13-11-2024'!F:F,1,0)</f>
        <v>ALR_CPU</v>
      </c>
      <c r="F1049" t="str">
        <f>VLOOKUP(I1049,'EXPORT IRIS PROD 13-11-2024'!D:D,1,0)</f>
        <v>Allarme CPU</v>
      </c>
      <c r="G1049" s="25" t="s">
        <v>249</v>
      </c>
      <c r="H1049" s="26" t="s">
        <v>1874</v>
      </c>
      <c r="I1049" s="26" t="s">
        <v>1875</v>
      </c>
      <c r="J1049" s="27" t="s">
        <v>19</v>
      </c>
      <c r="K1049" s="27" t="s">
        <v>167</v>
      </c>
      <c r="L1049" s="28" t="s">
        <v>31</v>
      </c>
      <c r="M1049" s="29" t="s">
        <v>32</v>
      </c>
      <c r="N1049" s="30">
        <v>3</v>
      </c>
      <c r="O1049" s="31" t="s">
        <v>33</v>
      </c>
      <c r="P1049" s="32" t="s">
        <v>34</v>
      </c>
      <c r="Q1049" s="30" t="s">
        <v>31</v>
      </c>
      <c r="R1049" s="94" t="s">
        <v>2053</v>
      </c>
    </row>
    <row r="1050" spans="1:18" x14ac:dyDescent="0.25">
      <c r="A1050" t="str">
        <f t="shared" si="32"/>
        <v>Impianto Elettrico_Sezionatore_ALR_SEZ_SCATTATO-Allarme sezionatore scattato</v>
      </c>
      <c r="B1050" t="str">
        <f t="shared" si="34"/>
        <v>ALR_SEZ_SCATTATO-Allarme sezionatore scattato</v>
      </c>
      <c r="C1050" t="str">
        <f>VLOOKUP(B1050,'[2]Classi allarmi RMT-STIG_rev4'!$C:$C,1,0)</f>
        <v>ALR_SEZ_SCATTATO-Allarme sezionatore scattato</v>
      </c>
      <c r="D1050" t="str">
        <f>VLOOKUP(B1050,'EXPORT IRIS PROD 13-11-2024'!A:A,1,0)</f>
        <v>ALR_SEZ_SCATTATO-Allarme sezionatore scattato</v>
      </c>
      <c r="E1050" t="str">
        <f>VLOOKUP(H1050,'EXPORT IRIS PROD 13-11-2024'!F:F,1,0)</f>
        <v>ALR_SEZ_SCATTATO</v>
      </c>
      <c r="F1050" t="str">
        <f>VLOOKUP(I1050,'EXPORT IRIS PROD 13-11-2024'!D:D,1,0)</f>
        <v>Allarme sezionatore scattato</v>
      </c>
      <c r="G1050" s="25" t="s">
        <v>53</v>
      </c>
      <c r="H1050" s="26" t="s">
        <v>1876</v>
      </c>
      <c r="I1050" s="26" t="s">
        <v>1877</v>
      </c>
      <c r="J1050" s="27" t="s">
        <v>56</v>
      </c>
      <c r="K1050" s="27" t="s">
        <v>463</v>
      </c>
      <c r="L1050" s="28" t="s">
        <v>21</v>
      </c>
      <c r="M1050" s="29" t="s">
        <v>22</v>
      </c>
      <c r="N1050" s="30" t="s">
        <v>23</v>
      </c>
      <c r="O1050" s="31" t="s">
        <v>24</v>
      </c>
      <c r="P1050" s="32" t="s">
        <v>25</v>
      </c>
      <c r="Q1050" s="30" t="s">
        <v>21</v>
      </c>
      <c r="R1050" s="94" t="s">
        <v>2053</v>
      </c>
    </row>
    <row r="1051" spans="1:18" x14ac:dyDescent="0.25">
      <c r="A1051" t="str">
        <f t="shared" si="32"/>
        <v>Impianto Elettrico_Multimetro_ALR-MULTI-FAULT-Allarme multimetro fault</v>
      </c>
      <c r="B1051" t="str">
        <f t="shared" si="34"/>
        <v>ALR-MULTI-FAULT-Allarme multimetro fault</v>
      </c>
      <c r="C1051" t="str">
        <f>VLOOKUP(B1051,'[2]Classi allarmi RMT-STIG_rev4'!$C:$C,1,0)</f>
        <v>ALR-MULTI-FAULT-Allarme multimetro fault</v>
      </c>
      <c r="D1051" t="str">
        <f>VLOOKUP(B1051,'EXPORT IRIS PROD 13-11-2024'!A:A,1,0)</f>
        <v>ALR-MULTI-FAULT-Allarme multimetro fault</v>
      </c>
      <c r="E1051" t="str">
        <f>VLOOKUP(H1051,'EXPORT IRIS PROD 13-11-2024'!F:F,1,0)</f>
        <v>ALR-MULTI-FAULT</v>
      </c>
      <c r="F1051" t="str">
        <f>VLOOKUP(I1051,'EXPORT IRIS PROD 13-11-2024'!D:D,1,0)</f>
        <v>Allarme multimetro fault</v>
      </c>
      <c r="G1051" s="25" t="s">
        <v>53</v>
      </c>
      <c r="H1051" s="26" t="s">
        <v>1878</v>
      </c>
      <c r="I1051" s="26" t="s">
        <v>1879</v>
      </c>
      <c r="J1051" s="27" t="s">
        <v>56</v>
      </c>
      <c r="K1051" s="27" t="s">
        <v>254</v>
      </c>
      <c r="L1051" s="28" t="s">
        <v>21</v>
      </c>
      <c r="M1051" s="29" t="s">
        <v>22</v>
      </c>
      <c r="N1051" s="30" t="s">
        <v>23</v>
      </c>
      <c r="O1051" s="31" t="s">
        <v>24</v>
      </c>
      <c r="P1051" s="32" t="s">
        <v>25</v>
      </c>
      <c r="Q1051" s="30" t="s">
        <v>21</v>
      </c>
      <c r="R1051" s="94" t="s">
        <v>2053</v>
      </c>
    </row>
    <row r="1052" spans="1:18" x14ac:dyDescent="0.25">
      <c r="A1052" t="str">
        <f t="shared" si="32"/>
        <v>Impianto Elettrico_Centralina scambio rete-gruppo_ALR_GENERICO-Allarme dispositivo</v>
      </c>
      <c r="B1052" t="str">
        <f t="shared" si="34"/>
        <v>ALR_GENERICO-Allarme dispositivo</v>
      </c>
      <c r="C1052" t="str">
        <f>VLOOKUP(B1052,'[2]Classi allarmi RMT-STIG_rev4'!$C:$C,1,0)</f>
        <v>ALR_GENERICO-Allarme dispositivo</v>
      </c>
      <c r="D1052" t="str">
        <f>VLOOKUP(B1052,'EXPORT IRIS PROD 13-11-2024'!A:A,1,0)</f>
        <v>ALR_GENERICO-Allarme dispositivo</v>
      </c>
      <c r="E1052" t="str">
        <f>VLOOKUP(H1052,'EXPORT IRIS PROD 13-11-2024'!F:F,1,0)</f>
        <v>ALR_GENERICO</v>
      </c>
      <c r="F1052" t="str">
        <f>VLOOKUP(I1052,'EXPORT IRIS PROD 13-11-2024'!D:D,1,0)</f>
        <v>Allarme dispositivo</v>
      </c>
      <c r="G1052" s="25" t="s">
        <v>53</v>
      </c>
      <c r="H1052" s="26" t="s">
        <v>353</v>
      </c>
      <c r="I1052" s="26" t="s">
        <v>354</v>
      </c>
      <c r="J1052" s="27" t="s">
        <v>56</v>
      </c>
      <c r="K1052" s="27" t="s">
        <v>177</v>
      </c>
      <c r="L1052" s="28" t="s">
        <v>21</v>
      </c>
      <c r="M1052" s="29" t="s">
        <v>22</v>
      </c>
      <c r="N1052" s="30" t="s">
        <v>23</v>
      </c>
      <c r="O1052" s="31" t="s">
        <v>24</v>
      </c>
      <c r="P1052" s="32" t="s">
        <v>25</v>
      </c>
      <c r="Q1052" s="30" t="s">
        <v>21</v>
      </c>
      <c r="R1052" s="94" t="s">
        <v>2053</v>
      </c>
    </row>
    <row r="1053" spans="1:18" x14ac:dyDescent="0.25">
      <c r="A1053" t="str">
        <f t="shared" si="32"/>
        <v>Impianto elettrico_Centralina scambio rete-gruppo_CENTRALINA_TRIP_I-Centralina trip</v>
      </c>
      <c r="B1053" t="str">
        <f t="shared" si="34"/>
        <v>CENTRALINA_TRIP_I-Centralina trip</v>
      </c>
      <c r="C1053" t="str">
        <f>VLOOKUP(B1053,'[2]Classi allarmi RMT-STIG_rev4'!$C:$C,1,0)</f>
        <v>CENTRALINA_TRIP_I-Centralina trip</v>
      </c>
      <c r="D1053" t="str">
        <f>VLOOKUP(B1053,'EXPORT IRIS PROD 13-11-2024'!A:A,1,0)</f>
        <v>CENTRALINA_TRIP_I-Centralina trip</v>
      </c>
      <c r="E1053" t="str">
        <f>VLOOKUP(H1053,'EXPORT IRIS PROD 13-11-2024'!F:F,1,0)</f>
        <v>CENTRALINA_TRIP_I</v>
      </c>
      <c r="F1053" t="str">
        <f>VLOOKUP(I1053,'EXPORT IRIS PROD 13-11-2024'!D:D,1,0)</f>
        <v>Centralina trip</v>
      </c>
      <c r="G1053" s="25" t="s">
        <v>53</v>
      </c>
      <c r="H1053" s="26" t="s">
        <v>1880</v>
      </c>
      <c r="I1053" s="26" t="s">
        <v>1881</v>
      </c>
      <c r="J1053" s="27" t="s">
        <v>1106</v>
      </c>
      <c r="K1053" s="27" t="s">
        <v>177</v>
      </c>
      <c r="L1053" s="28" t="s">
        <v>21</v>
      </c>
      <c r="M1053" s="29" t="s">
        <v>22</v>
      </c>
      <c r="N1053" s="30" t="s">
        <v>23</v>
      </c>
      <c r="O1053" s="31" t="s">
        <v>24</v>
      </c>
      <c r="P1053" s="32" t="s">
        <v>25</v>
      </c>
      <c r="Q1053" s="30" t="s">
        <v>21</v>
      </c>
      <c r="R1053" s="94" t="s">
        <v>2053</v>
      </c>
    </row>
    <row r="1054" spans="1:18" x14ac:dyDescent="0.25">
      <c r="A1054" t="str">
        <f t="shared" si="32"/>
        <v>Impianto elettrico_Trasformatore_CENTRALINA_TRIP-Centralina trip</v>
      </c>
      <c r="B1054" t="str">
        <f t="shared" si="34"/>
        <v>CENTRALINA_TRIP-Centralina trip</v>
      </c>
      <c r="C1054" t="str">
        <f>VLOOKUP(B1054,'[2]Classi allarmi RMT-STIG_rev4'!$C:$C,1,0)</f>
        <v>CENTRALINA_TRIP-Centralina trip</v>
      </c>
      <c r="D1054" t="str">
        <f>VLOOKUP(B1054,'EXPORT IRIS PROD 13-11-2024'!A:A,1,0)</f>
        <v>CENTRALINA_TRIP-Centralina trip</v>
      </c>
      <c r="E1054" t="str">
        <f>VLOOKUP(H1054,'EXPORT IRIS PROD 13-11-2024'!F:F,1,0)</f>
        <v>CENTRALINA_TRIP</v>
      </c>
      <c r="F1054" t="str">
        <f>VLOOKUP(I1054,'EXPORT IRIS PROD 13-11-2024'!D:D,1,0)</f>
        <v>Centralina trip</v>
      </c>
      <c r="G1054" s="25" t="s">
        <v>53</v>
      </c>
      <c r="H1054" s="26" t="s">
        <v>1882</v>
      </c>
      <c r="I1054" s="26" t="s">
        <v>1881</v>
      </c>
      <c r="J1054" s="27" t="s">
        <v>1106</v>
      </c>
      <c r="K1054" s="27" t="s">
        <v>208</v>
      </c>
      <c r="L1054" s="28" t="s">
        <v>21</v>
      </c>
      <c r="M1054" s="29" t="s">
        <v>22</v>
      </c>
      <c r="N1054" s="30" t="s">
        <v>23</v>
      </c>
      <c r="O1054" s="31" t="s">
        <v>24</v>
      </c>
      <c r="P1054" s="32" t="s">
        <v>25</v>
      </c>
      <c r="Q1054" s="30" t="s">
        <v>21</v>
      </c>
      <c r="R1054" s="94" t="s">
        <v>2053</v>
      </c>
    </row>
    <row r="1055" spans="1:18" x14ac:dyDescent="0.25">
      <c r="A1055" t="str">
        <f t="shared" si="32"/>
        <v>Impianto elettrico_Centralina scambio rete-gruppo_CENTRALINA_TRIP_GRUPPO-Centralina trip Gruppo</v>
      </c>
      <c r="B1055" t="str">
        <f t="shared" si="34"/>
        <v>CENTRALINA_TRIP_GRUPPO-Centralina trip Gruppo</v>
      </c>
      <c r="C1055" t="str">
        <f>VLOOKUP(B1055,'[2]Classi allarmi RMT-STIG_rev4'!$C:$C,1,0)</f>
        <v>CENTRALINA_TRIP_GRUPPO-Centralina trip Gruppo</v>
      </c>
      <c r="D1055" t="str">
        <f>VLOOKUP(B1055,'EXPORT IRIS PROD 13-11-2024'!A:A,1,0)</f>
        <v>CENTRALINA_TRIP_GRUPPO-Centralina trip Gruppo</v>
      </c>
      <c r="E1055" t="str">
        <f>VLOOKUP(H1055,'EXPORT IRIS PROD 13-11-2024'!F:F,1,0)</f>
        <v>CENTRALINA_TRIP_GRUPPO</v>
      </c>
      <c r="F1055" t="str">
        <f>VLOOKUP(I1055,'EXPORT IRIS PROD 13-11-2024'!D:D,1,0)</f>
        <v>Centralina trip Gruppo</v>
      </c>
      <c r="G1055" s="25" t="s">
        <v>53</v>
      </c>
      <c r="H1055" s="26" t="s">
        <v>1883</v>
      </c>
      <c r="I1055" s="26" t="s">
        <v>1884</v>
      </c>
      <c r="J1055" s="27" t="s">
        <v>1106</v>
      </c>
      <c r="K1055" s="27" t="s">
        <v>177</v>
      </c>
      <c r="L1055" s="28" t="s">
        <v>21</v>
      </c>
      <c r="M1055" s="29" t="s">
        <v>22</v>
      </c>
      <c r="N1055" s="30" t="s">
        <v>23</v>
      </c>
      <c r="O1055" s="31" t="s">
        <v>24</v>
      </c>
      <c r="P1055" s="32" t="s">
        <v>25</v>
      </c>
      <c r="Q1055" s="30" t="s">
        <v>21</v>
      </c>
      <c r="R1055" s="94" t="s">
        <v>2053</v>
      </c>
    </row>
    <row r="1056" spans="1:18" x14ac:dyDescent="0.25">
      <c r="A1056" t="str">
        <f t="shared" si="32"/>
        <v>Impianto Elettrico_Centrale antintrusione_ALR_GUASTO_2_IMP-Allarme guasto dispositivo</v>
      </c>
      <c r="B1056" t="str">
        <f t="shared" si="34"/>
        <v>ALR_GUASTO_2_IMP-Allarme guasto dispositivo</v>
      </c>
      <c r="C1056" t="str">
        <f>VLOOKUP(B1056,'[2]Classi allarmi RMT-STIG_rev4'!$C:$C,1,0)</f>
        <v>ALR_GUASTO_2_IMP-Allarme guasto dispositivo</v>
      </c>
      <c r="D1056" t="str">
        <f>VLOOKUP(B1056,'EXPORT IRIS PROD 13-11-2024'!A:A,1,0)</f>
        <v>ALR_GUASTO_2_IMP-Allarme guasto dispositivo</v>
      </c>
      <c r="E1056" t="str">
        <f>VLOOKUP(H1056,'EXPORT IRIS PROD 13-11-2024'!F:F,1,0)</f>
        <v>ALR_GUASTO_2_IMP</v>
      </c>
      <c r="F1056" t="str">
        <f>VLOOKUP(I1056,'EXPORT IRIS PROD 13-11-2024'!D:D,1,0)</f>
        <v>Allarme guasto dispositivo</v>
      </c>
      <c r="G1056" s="25" t="s">
        <v>53</v>
      </c>
      <c r="H1056" s="26" t="s">
        <v>377</v>
      </c>
      <c r="I1056" s="26" t="s">
        <v>375</v>
      </c>
      <c r="J1056" s="27" t="s">
        <v>56</v>
      </c>
      <c r="K1056" s="27" t="s">
        <v>1545</v>
      </c>
      <c r="L1056" s="28" t="s">
        <v>21</v>
      </c>
      <c r="M1056" s="29" t="s">
        <v>22</v>
      </c>
      <c r="N1056" s="30" t="s">
        <v>23</v>
      </c>
      <c r="O1056" s="31" t="s">
        <v>24</v>
      </c>
      <c r="P1056" s="32" t="s">
        <v>25</v>
      </c>
      <c r="Q1056" s="30" t="s">
        <v>21</v>
      </c>
      <c r="R1056" s="94" t="s">
        <v>2053</v>
      </c>
    </row>
    <row r="1057" spans="1:18" x14ac:dyDescent="0.25">
      <c r="A1057" t="str">
        <f t="shared" si="32"/>
        <v>Impianto Rete dati_PLC_ALR_NON_PRONTO-Allarme dispositivo non pronto</v>
      </c>
      <c r="B1057" t="str">
        <f t="shared" si="34"/>
        <v>ALR_NON_PRONTO-Allarme dispositivo non pronto</v>
      </c>
      <c r="C1057" t="str">
        <f>VLOOKUP(B1057,'[2]Classi allarmi RMT-STIG_rev4'!$C:$C,1,0)</f>
        <v>ALR_NON_PRONTO-Allarme dispositivo non pronto</v>
      </c>
      <c r="D1057" t="str">
        <f>VLOOKUP(B1057,'EXPORT IRIS PROD 13-11-2024'!A:A,1,0)</f>
        <v>ALR_NON_PRONTO-Allarme dispositivo non pronto</v>
      </c>
      <c r="E1057" t="str">
        <f>VLOOKUP(H1057,'EXPORT IRIS PROD 13-11-2024'!F:F,1,0)</f>
        <v>ALR_NON_PRONTO</v>
      </c>
      <c r="F1057" t="str">
        <f>VLOOKUP(I1057,'EXPORT IRIS PROD 13-11-2024'!D:D,1,0)</f>
        <v>Allarme dispositivo non pronto</v>
      </c>
      <c r="G1057" s="25" t="s">
        <v>249</v>
      </c>
      <c r="H1057" s="26" t="s">
        <v>1467</v>
      </c>
      <c r="I1057" s="26" t="s">
        <v>1468</v>
      </c>
      <c r="J1057" s="27" t="s">
        <v>19</v>
      </c>
      <c r="K1057" s="27" t="s">
        <v>167</v>
      </c>
      <c r="L1057" s="28" t="s">
        <v>31</v>
      </c>
      <c r="M1057" s="29" t="s">
        <v>32</v>
      </c>
      <c r="N1057" s="30">
        <v>3</v>
      </c>
      <c r="O1057" s="31" t="s">
        <v>33</v>
      </c>
      <c r="P1057" s="32" t="s">
        <v>34</v>
      </c>
      <c r="Q1057" s="30" t="s">
        <v>31</v>
      </c>
      <c r="R1057" s="94" t="s">
        <v>2053</v>
      </c>
    </row>
    <row r="1058" spans="1:18" x14ac:dyDescent="0.25">
      <c r="A1058" t="str">
        <f t="shared" si="32"/>
        <v>Impianto Elettrico_Centralina scambio rete-gruppo_ALR_COMUNICAZIONE_2_IMP-Allarme comunicazione dispositivo</v>
      </c>
      <c r="B1058" t="str">
        <f t="shared" si="34"/>
        <v>ALR_COMUNICAZIONE_2_IMP-Allarme comunicazione dispositivo</v>
      </c>
      <c r="C1058" t="str">
        <f>VLOOKUP(B1058,'[2]Classi allarmi RMT-STIG_rev4'!$C:$C,1,0)</f>
        <v>ALR_COMUNICAZIONE_2_IMP-Allarme comunicazione dispositivo</v>
      </c>
      <c r="D1058" t="str">
        <f>VLOOKUP(B1058,'EXPORT IRIS PROD 13-11-2024'!A:A,1,0)</f>
        <v>ALR_COMUNICAZIONE_2_IMP-Allarme comunicazione dispositivo</v>
      </c>
      <c r="E1058" t="str">
        <f>VLOOKUP(H1058,'EXPORT IRIS PROD 13-11-2024'!F:F,1,0)</f>
        <v>ALR_COMUNICAZIONE_2_IMP</v>
      </c>
      <c r="F1058" t="str">
        <f>VLOOKUP(I1058,'EXPORT IRIS PROD 13-11-2024'!D:D,1,0)</f>
        <v>Allarme comunicazione dispositivo</v>
      </c>
      <c r="G1058" s="25" t="s">
        <v>53</v>
      </c>
      <c r="H1058" s="26" t="s">
        <v>253</v>
      </c>
      <c r="I1058" s="26" t="s">
        <v>251</v>
      </c>
      <c r="J1058" s="27" t="s">
        <v>56</v>
      </c>
      <c r="K1058" s="27" t="s">
        <v>177</v>
      </c>
      <c r="L1058" s="28" t="s">
        <v>21</v>
      </c>
      <c r="M1058" s="29" t="s">
        <v>22</v>
      </c>
      <c r="N1058" s="30" t="s">
        <v>23</v>
      </c>
      <c r="O1058" s="31" t="s">
        <v>24</v>
      </c>
      <c r="P1058" s="32" t="s">
        <v>25</v>
      </c>
      <c r="Q1058" s="30" t="s">
        <v>21</v>
      </c>
      <c r="R1058" s="94" t="s">
        <v>2053</v>
      </c>
    </row>
    <row r="1059" spans="1:18" x14ac:dyDescent="0.25">
      <c r="A1059" t="str">
        <f t="shared" si="32"/>
        <v>Impianto videosorveglianza_Telecamera_ALR_SURRISCALDAMENTO-Allarme surriscaldamento</v>
      </c>
      <c r="B1059" t="str">
        <f t="shared" si="34"/>
        <v>ALR_SURRISCALDAMENTO-Allarme surriscaldamento</v>
      </c>
      <c r="C1059" t="str">
        <f>VLOOKUP(B1059,'[2]Classi allarmi RMT-STIG_rev4'!$C:$C,1,0)</f>
        <v>ALR_SURRISCALDAMENTO-Allarme surriscaldamento</v>
      </c>
      <c r="D1059" t="str">
        <f>VLOOKUP(B1059,'EXPORT IRIS PROD 13-11-2024'!A:A,1,0)</f>
        <v>ALR_SURRISCALDAMENTO-Allarme surriscaldamento</v>
      </c>
      <c r="E1059" t="str">
        <f>VLOOKUP(H1059,'EXPORT IRIS PROD 13-11-2024'!F:F,1,0)</f>
        <v>ALR_SURRISCALDAMENTO</v>
      </c>
      <c r="F1059" t="str">
        <f>VLOOKUP(I1059,'EXPORT IRIS PROD 13-11-2024'!D:D,1,0)</f>
        <v>Allarme surriscaldamento</v>
      </c>
      <c r="G1059" s="25" t="s">
        <v>198</v>
      </c>
      <c r="H1059" s="26" t="s">
        <v>1887</v>
      </c>
      <c r="I1059" s="26" t="s">
        <v>1888</v>
      </c>
      <c r="J1059" s="27" t="s">
        <v>1337</v>
      </c>
      <c r="K1059" s="27" t="s">
        <v>1321</v>
      </c>
      <c r="L1059" s="28" t="s">
        <v>21</v>
      </c>
      <c r="M1059" s="29" t="s">
        <v>22</v>
      </c>
      <c r="N1059" s="30" t="s">
        <v>23</v>
      </c>
      <c r="O1059" s="31" t="s">
        <v>24</v>
      </c>
      <c r="P1059" s="32" t="s">
        <v>25</v>
      </c>
      <c r="Q1059" s="30" t="s">
        <v>21</v>
      </c>
      <c r="R1059" s="94" t="s">
        <v>2053</v>
      </c>
    </row>
    <row r="1060" spans="1:18" x14ac:dyDescent="0.25">
      <c r="A1060" t="str">
        <f t="shared" si="32"/>
        <v>Impianto videosorveglianza_Telecamera_ALR_FAULT_CORSIA_3-Allarme fault corsia veloce</v>
      </c>
      <c r="B1060" t="str">
        <f t="shared" si="34"/>
        <v>ALR_FAULT_CORSIA_3-Allarme fault corsia veloce</v>
      </c>
      <c r="C1060" t="str">
        <f>VLOOKUP(B1060,'[2]Classi allarmi RMT-STIG_rev4'!$C:$C,1,0)</f>
        <v>ALR_FAULT_CORSIA_3-Allarme fault corsia veloce</v>
      </c>
      <c r="D1060" t="str">
        <f>VLOOKUP(B1060,'EXPORT IRIS PROD 13-11-2024'!A:A,1,0)</f>
        <v>ALR_FAULT_CORSIA_3-Allarme fault corsia veloce</v>
      </c>
      <c r="E1060" t="str">
        <f>VLOOKUP(H1060,'EXPORT IRIS PROD 13-11-2024'!F:F,1,0)</f>
        <v>ALR_FAULT_CORSIA_3</v>
      </c>
      <c r="F1060" t="str">
        <f>VLOOKUP(I1060,'EXPORT IRIS PROD 13-11-2024'!D:D,1,0)</f>
        <v>Allarme fault corsia veloce</v>
      </c>
      <c r="G1060" s="25" t="s">
        <v>198</v>
      </c>
      <c r="H1060" s="26" t="s">
        <v>1889</v>
      </c>
      <c r="I1060" s="26" t="s">
        <v>1890</v>
      </c>
      <c r="J1060" s="27" t="s">
        <v>1337</v>
      </c>
      <c r="K1060" s="27" t="s">
        <v>1321</v>
      </c>
      <c r="L1060" s="28" t="s">
        <v>21</v>
      </c>
      <c r="M1060" s="29" t="s">
        <v>22</v>
      </c>
      <c r="N1060" s="30" t="s">
        <v>23</v>
      </c>
      <c r="O1060" s="31" t="s">
        <v>24</v>
      </c>
      <c r="P1060" s="32" t="s">
        <v>25</v>
      </c>
      <c r="Q1060" s="30" t="s">
        <v>21</v>
      </c>
      <c r="R1060" s="94" t="s">
        <v>2053</v>
      </c>
    </row>
    <row r="1061" spans="1:18" x14ac:dyDescent="0.25">
      <c r="A1061" t="str">
        <f t="shared" si="32"/>
        <v>Impianto videosorveglianza_Telecamera_ALR_FAULT_CORSIA_1-Allarme fault corsia di emergenza</v>
      </c>
      <c r="B1061" t="str">
        <f t="shared" si="34"/>
        <v>ALR_FAULT_CORSIA_1-Allarme fault corsia di emergenza</v>
      </c>
      <c r="C1061" t="str">
        <f>VLOOKUP(B1061,'[2]Classi allarmi RMT-STIG_rev4'!$C:$C,1,0)</f>
        <v>ALR_FAULT_CORSIA_1-Allarme fault corsia di emergenza</v>
      </c>
      <c r="D1061" t="str">
        <f>VLOOKUP(B1061,'EXPORT IRIS PROD 13-11-2024'!A:A,1,0)</f>
        <v>ALR_FAULT_CORSIA_1-Allarme fault corsia di emergenza</v>
      </c>
      <c r="E1061" t="str">
        <f>VLOOKUP(H1061,'EXPORT IRIS PROD 13-11-2024'!F:F,1,0)</f>
        <v>ALR_FAULT_CORSIA_1</v>
      </c>
      <c r="F1061" t="str">
        <f>VLOOKUP(I1061,'EXPORT IRIS PROD 13-11-2024'!D:D,1,0)</f>
        <v>Allarme fault corsia di emergenza</v>
      </c>
      <c r="G1061" s="25" t="s">
        <v>198</v>
      </c>
      <c r="H1061" s="26" t="s">
        <v>1891</v>
      </c>
      <c r="I1061" s="26" t="s">
        <v>1892</v>
      </c>
      <c r="J1061" s="27" t="s">
        <v>1337</v>
      </c>
      <c r="K1061" s="27" t="s">
        <v>1321</v>
      </c>
      <c r="L1061" s="28" t="s">
        <v>21</v>
      </c>
      <c r="M1061" s="29" t="s">
        <v>22</v>
      </c>
      <c r="N1061" s="30" t="s">
        <v>23</v>
      </c>
      <c r="O1061" s="31" t="s">
        <v>24</v>
      </c>
      <c r="P1061" s="32" t="s">
        <v>25</v>
      </c>
      <c r="Q1061" s="30" t="s">
        <v>21</v>
      </c>
      <c r="R1061" s="94" t="s">
        <v>2053</v>
      </c>
    </row>
    <row r="1062" spans="1:18" x14ac:dyDescent="0.25">
      <c r="A1062" t="str">
        <f t="shared" si="32"/>
        <v>Impianto videosorveglianza_Telecamera_ALR_FAULT_CORSIA_2-Allarme fault corsia di marcia</v>
      </c>
      <c r="B1062" t="str">
        <f t="shared" si="34"/>
        <v>ALR_FAULT_CORSIA_2-Allarme fault corsia di marcia</v>
      </c>
      <c r="C1062" t="str">
        <f>VLOOKUP(B1062,'[2]Classi allarmi RMT-STIG_rev4'!$C:$C,1,0)</f>
        <v>ALR_FAULT_CORSIA_2-Allarme fault corsia di marcia</v>
      </c>
      <c r="D1062" t="str">
        <f>VLOOKUP(B1062,'EXPORT IRIS PROD 13-11-2024'!A:A,1,0)</f>
        <v>ALR_FAULT_CORSIA_2-Allarme fault corsia di marcia</v>
      </c>
      <c r="E1062" t="str">
        <f>VLOOKUP(H1062,'EXPORT IRIS PROD 13-11-2024'!F:F,1,0)</f>
        <v>ALR_FAULT_CORSIA_2</v>
      </c>
      <c r="F1062" t="str">
        <f>VLOOKUP(I1062,'EXPORT IRIS PROD 13-11-2024'!D:D,1,0)</f>
        <v>Allarme fault corsia di marcia</v>
      </c>
      <c r="G1062" s="25" t="s">
        <v>198</v>
      </c>
      <c r="H1062" s="26" t="s">
        <v>1893</v>
      </c>
      <c r="I1062" s="26" t="s">
        <v>1894</v>
      </c>
      <c r="J1062" s="27" t="s">
        <v>1337</v>
      </c>
      <c r="K1062" s="27" t="s">
        <v>1321</v>
      </c>
      <c r="L1062" s="28" t="s">
        <v>21</v>
      </c>
      <c r="M1062" s="29" t="s">
        <v>22</v>
      </c>
      <c r="N1062" s="30" t="s">
        <v>23</v>
      </c>
      <c r="O1062" s="31" t="s">
        <v>24</v>
      </c>
      <c r="P1062" s="32" t="s">
        <v>25</v>
      </c>
      <c r="Q1062" s="30" t="s">
        <v>21</v>
      </c>
      <c r="R1062" s="94" t="s">
        <v>2053</v>
      </c>
    </row>
    <row r="1063" spans="1:18" x14ac:dyDescent="0.25">
      <c r="A1063" t="str">
        <f t="shared" si="32"/>
        <v>Impianto videosorveglianza_Telecamera_ALR_KO_CORSIA_1-Allarme non attiva corsia di emergenza</v>
      </c>
      <c r="B1063" t="str">
        <f t="shared" si="34"/>
        <v>ALR_KO_CORSIA_1-Allarme non attiva corsia di emergenza</v>
      </c>
      <c r="C1063" t="str">
        <f>VLOOKUP(B1063,'[2]Classi allarmi RMT-STIG_rev4'!$C:$C,1,0)</f>
        <v>ALR_KO_CORSIA_1-Allarme non attiva corsia di emergenza</v>
      </c>
      <c r="D1063" t="str">
        <f>VLOOKUP(B1063,'EXPORT IRIS PROD 13-11-2024'!A:A,1,0)</f>
        <v>ALR_KO_CORSIA_1-Allarme non attiva corsia di emergenza</v>
      </c>
      <c r="E1063" t="str">
        <f>VLOOKUP(H1063,'EXPORT IRIS PROD 13-11-2024'!F:F,1,0)</f>
        <v>ALR_KO_CORSIA_1</v>
      </c>
      <c r="F1063" t="str">
        <f>VLOOKUP(I1063,'EXPORT IRIS PROD 13-11-2024'!D:D,1,0)</f>
        <v>Allarme non attiva corsia di emergenza</v>
      </c>
      <c r="G1063" s="25" t="s">
        <v>198</v>
      </c>
      <c r="H1063" s="26" t="s">
        <v>1895</v>
      </c>
      <c r="I1063" s="26" t="s">
        <v>1896</v>
      </c>
      <c r="J1063" s="27" t="s">
        <v>1337</v>
      </c>
      <c r="K1063" s="27" t="s">
        <v>1321</v>
      </c>
      <c r="L1063" s="28" t="s">
        <v>21</v>
      </c>
      <c r="M1063" s="29" t="s">
        <v>22</v>
      </c>
      <c r="N1063" s="30" t="s">
        <v>23</v>
      </c>
      <c r="O1063" s="31" t="s">
        <v>24</v>
      </c>
      <c r="P1063" s="32" t="s">
        <v>25</v>
      </c>
      <c r="Q1063" s="30" t="s">
        <v>21</v>
      </c>
      <c r="R1063" s="94" t="s">
        <v>2053</v>
      </c>
    </row>
    <row r="1064" spans="1:18" x14ac:dyDescent="0.25">
      <c r="A1064" t="str">
        <f t="shared" si="32"/>
        <v>Impianto videosorveglianza_Telecamera_ALR_KO_CORSIA_2-Allarme non attiva corsia di marcia</v>
      </c>
      <c r="B1064" t="str">
        <f t="shared" si="34"/>
        <v>ALR_KO_CORSIA_2-Allarme non attiva corsia di marcia</v>
      </c>
      <c r="C1064" t="str">
        <f>VLOOKUP(B1064,'[2]Classi allarmi RMT-STIG_rev4'!$C:$C,1,0)</f>
        <v>ALR_KO_CORSIA_2-Allarme non attiva corsia di marcia</v>
      </c>
      <c r="D1064" t="str">
        <f>VLOOKUP(B1064,'EXPORT IRIS PROD 13-11-2024'!A:A,1,0)</f>
        <v>ALR_KO_CORSIA_2-Allarme non attiva corsia di marcia</v>
      </c>
      <c r="E1064" t="str">
        <f>VLOOKUP(H1064,'EXPORT IRIS PROD 13-11-2024'!F:F,1,0)</f>
        <v>ALR_KO_CORSIA_2</v>
      </c>
      <c r="F1064" t="str">
        <f>VLOOKUP(I1064,'EXPORT IRIS PROD 13-11-2024'!D:D,1,0)</f>
        <v>Allarme non attiva corsia di marcia</v>
      </c>
      <c r="G1064" s="25" t="s">
        <v>198</v>
      </c>
      <c r="H1064" s="26" t="s">
        <v>1897</v>
      </c>
      <c r="I1064" s="26" t="s">
        <v>1898</v>
      </c>
      <c r="J1064" s="27" t="s">
        <v>1337</v>
      </c>
      <c r="K1064" s="27" t="s">
        <v>1321</v>
      </c>
      <c r="L1064" s="28" t="s">
        <v>21</v>
      </c>
      <c r="M1064" s="29" t="s">
        <v>22</v>
      </c>
      <c r="N1064" s="30" t="s">
        <v>23</v>
      </c>
      <c r="O1064" s="31" t="s">
        <v>24</v>
      </c>
      <c r="P1064" s="32" t="s">
        <v>25</v>
      </c>
      <c r="Q1064" s="30" t="s">
        <v>21</v>
      </c>
      <c r="R1064" s="94" t="s">
        <v>2053</v>
      </c>
    </row>
    <row r="1065" spans="1:18" x14ac:dyDescent="0.25">
      <c r="A1065" t="str">
        <f t="shared" si="32"/>
        <v>Impianto videosorveglianza_Telecamera_ALR_KO_CORSIA_3-Allarme non attiva corsia veloce</v>
      </c>
      <c r="B1065" t="str">
        <f t="shared" si="34"/>
        <v>ALR_KO_CORSIA_3-Allarme non attiva corsia veloce</v>
      </c>
      <c r="C1065" t="str">
        <f>VLOOKUP(B1065,'[2]Classi allarmi RMT-STIG_rev4'!$C:$C,1,0)</f>
        <v>ALR_KO_CORSIA_3-Allarme non attiva corsia veloce</v>
      </c>
      <c r="D1065" t="str">
        <f>VLOOKUP(B1065,'EXPORT IRIS PROD 13-11-2024'!A:A,1,0)</f>
        <v>ALR_KO_CORSIA_3-Allarme non attiva corsia veloce</v>
      </c>
      <c r="E1065" t="str">
        <f>VLOOKUP(H1065,'EXPORT IRIS PROD 13-11-2024'!F:F,1,0)</f>
        <v>ALR_KO_CORSIA_3</v>
      </c>
      <c r="F1065" t="str">
        <f>VLOOKUP(I1065,'EXPORT IRIS PROD 13-11-2024'!D:D,1,0)</f>
        <v>Allarme non attiva corsia veloce</v>
      </c>
      <c r="G1065" s="25" t="s">
        <v>198</v>
      </c>
      <c r="H1065" s="26" t="s">
        <v>1899</v>
      </c>
      <c r="I1065" s="26" t="s">
        <v>1900</v>
      </c>
      <c r="J1065" s="27" t="s">
        <v>1337</v>
      </c>
      <c r="K1065" s="27" t="s">
        <v>1321</v>
      </c>
      <c r="L1065" s="28" t="s">
        <v>21</v>
      </c>
      <c r="M1065" s="29" t="s">
        <v>22</v>
      </c>
      <c r="N1065" s="30" t="s">
        <v>23</v>
      </c>
      <c r="O1065" s="31" t="s">
        <v>24</v>
      </c>
      <c r="P1065" s="32" t="s">
        <v>25</v>
      </c>
      <c r="Q1065" s="30" t="s">
        <v>21</v>
      </c>
      <c r="R1065" s="94" t="s">
        <v>2053</v>
      </c>
    </row>
    <row r="1066" spans="1:18" x14ac:dyDescent="0.25">
      <c r="A1066" t="str">
        <f t="shared" si="32"/>
        <v>Impianto Rete dati_PLC Rio_ALR-SLOT-1-Allarme Slot 1</v>
      </c>
      <c r="B1066" t="str">
        <f t="shared" si="34"/>
        <v>ALR-SLOT-1-Allarme Slot 1</v>
      </c>
      <c r="C1066" t="str">
        <f>VLOOKUP(B1066,'[2]Classi allarmi RMT-STIG_rev4'!$C:$C,1,0)</f>
        <v>ALR-SLOT-1-Allarme Slot 1</v>
      </c>
      <c r="D1066" t="str">
        <f>VLOOKUP(B1066,'EXPORT IRIS PROD 13-11-2024'!A:A,1,0)</f>
        <v>ALR-SLOT-1-Allarme Slot 1</v>
      </c>
      <c r="E1066" t="str">
        <f>VLOOKUP(H1066,'EXPORT IRIS PROD 13-11-2024'!F:F,1,0)</f>
        <v>ALR-SLOT-1</v>
      </c>
      <c r="F1066" t="str">
        <f>VLOOKUP(I1066,'EXPORT IRIS PROD 13-11-2024'!D:D,1,0)</f>
        <v>Allarme Slot 1</v>
      </c>
      <c r="G1066" s="78" t="s">
        <v>16</v>
      </c>
      <c r="H1066" s="26" t="s">
        <v>1901</v>
      </c>
      <c r="I1066" s="26" t="s">
        <v>1902</v>
      </c>
      <c r="J1066" s="27" t="s">
        <v>19</v>
      </c>
      <c r="K1066" s="27" t="s">
        <v>258</v>
      </c>
      <c r="L1066" s="28" t="s">
        <v>21</v>
      </c>
      <c r="M1066" s="29" t="s">
        <v>22</v>
      </c>
      <c r="N1066" s="30" t="s">
        <v>23</v>
      </c>
      <c r="O1066" s="31" t="s">
        <v>24</v>
      </c>
      <c r="P1066" s="32" t="s">
        <v>25</v>
      </c>
      <c r="Q1066" s="30" t="s">
        <v>21</v>
      </c>
      <c r="R1066" s="94" t="s">
        <v>2053</v>
      </c>
    </row>
    <row r="1067" spans="1:18" x14ac:dyDescent="0.25">
      <c r="A1067" t="str">
        <f t="shared" si="32"/>
        <v>Impianto Rete dati_PLC Rio_ALR-SLOT-2-Allarme Slot 2</v>
      </c>
      <c r="B1067" t="str">
        <f t="shared" si="34"/>
        <v>ALR-SLOT-2-Allarme Slot 2</v>
      </c>
      <c r="C1067" t="str">
        <f>VLOOKUP(B1067,'[2]Classi allarmi RMT-STIG_rev4'!$C:$C,1,0)</f>
        <v>ALR-SLOT-2-Allarme Slot 2</v>
      </c>
      <c r="D1067" t="str">
        <f>VLOOKUP(B1067,'EXPORT IRIS PROD 13-11-2024'!A:A,1,0)</f>
        <v>ALR-SLOT-2-Allarme Slot 2</v>
      </c>
      <c r="E1067" t="str">
        <f>VLOOKUP(H1067,'EXPORT IRIS PROD 13-11-2024'!F:F,1,0)</f>
        <v>ALR-SLOT-2</v>
      </c>
      <c r="F1067" t="str">
        <f>VLOOKUP(I1067,'EXPORT IRIS PROD 13-11-2024'!D:D,1,0)</f>
        <v>Allarme Slot 2</v>
      </c>
      <c r="G1067" s="78" t="s">
        <v>16</v>
      </c>
      <c r="H1067" s="26" t="s">
        <v>1903</v>
      </c>
      <c r="I1067" s="26" t="s">
        <v>1904</v>
      </c>
      <c r="J1067" s="27" t="s">
        <v>19</v>
      </c>
      <c r="K1067" s="27" t="s">
        <v>258</v>
      </c>
      <c r="L1067" s="28" t="s">
        <v>21</v>
      </c>
      <c r="M1067" s="29" t="s">
        <v>22</v>
      </c>
      <c r="N1067" s="30" t="s">
        <v>23</v>
      </c>
      <c r="O1067" s="31" t="s">
        <v>24</v>
      </c>
      <c r="P1067" s="32" t="s">
        <v>25</v>
      </c>
      <c r="Q1067" s="30" t="s">
        <v>21</v>
      </c>
      <c r="R1067" s="94" t="s">
        <v>2053</v>
      </c>
    </row>
    <row r="1068" spans="1:18" x14ac:dyDescent="0.25">
      <c r="A1068" t="str">
        <f t="shared" si="32"/>
        <v>Impianto Rete dati_PLC Rio_ALR-SLOT-3-Allarme Slot 3</v>
      </c>
      <c r="B1068" t="str">
        <f t="shared" si="34"/>
        <v>ALR-SLOT-3-Allarme Slot 3</v>
      </c>
      <c r="C1068" t="str">
        <f>VLOOKUP(B1068,'[2]Classi allarmi RMT-STIG_rev4'!$C:$C,1,0)</f>
        <v>ALR-SLOT-3-Allarme Slot 3</v>
      </c>
      <c r="D1068" t="str">
        <f>VLOOKUP(B1068,'EXPORT IRIS PROD 13-11-2024'!A:A,1,0)</f>
        <v>ALR-SLOT-3-Allarme Slot 3</v>
      </c>
      <c r="E1068" t="str">
        <f>VLOOKUP(H1068,'EXPORT IRIS PROD 13-11-2024'!F:F,1,0)</f>
        <v>ALR-SLOT-3</v>
      </c>
      <c r="F1068" t="str">
        <f>VLOOKUP(I1068,'EXPORT IRIS PROD 13-11-2024'!D:D,1,0)</f>
        <v>Allarme Slot 3</v>
      </c>
      <c r="G1068" s="78" t="s">
        <v>16</v>
      </c>
      <c r="H1068" s="26" t="s">
        <v>1905</v>
      </c>
      <c r="I1068" s="26" t="s">
        <v>1906</v>
      </c>
      <c r="J1068" s="27" t="s">
        <v>19</v>
      </c>
      <c r="K1068" s="27" t="s">
        <v>258</v>
      </c>
      <c r="L1068" s="28" t="s">
        <v>21</v>
      </c>
      <c r="M1068" s="29" t="s">
        <v>22</v>
      </c>
      <c r="N1068" s="30" t="s">
        <v>23</v>
      </c>
      <c r="O1068" s="31" t="s">
        <v>24</v>
      </c>
      <c r="P1068" s="32" t="s">
        <v>25</v>
      </c>
      <c r="Q1068" s="30" t="s">
        <v>21</v>
      </c>
      <c r="R1068" s="94" t="s">
        <v>2053</v>
      </c>
    </row>
    <row r="1069" spans="1:18" x14ac:dyDescent="0.25">
      <c r="A1069" t="str">
        <f t="shared" si="32"/>
        <v>Impianto Rete dati_PLC Rio_ALR_COMUNICAZIONE_MODULO-Allarme comunicazione modulo</v>
      </c>
      <c r="B1069" t="str">
        <f t="shared" si="34"/>
        <v>ALR_COMUNICAZIONE_MODULO-Allarme comunicazione modulo</v>
      </c>
      <c r="C1069" t="str">
        <f>VLOOKUP(B1069,'[2]Classi allarmi RMT-STIG_rev4'!$C:$C,1,0)</f>
        <v>ALR_COMUNICAZIONE_MODULO-Allarme comunicazione modulo</v>
      </c>
      <c r="D1069" t="str">
        <f>VLOOKUP(B1069,'EXPORT IRIS PROD 13-11-2024'!A:A,1,0)</f>
        <v>ALR_COMUNICAZIONE_MODULO-Allarme comunicazione modulo</v>
      </c>
      <c r="E1069" t="str">
        <f>VLOOKUP(H1069,'EXPORT IRIS PROD 13-11-2024'!F:F,1,0)</f>
        <v>ALR_COMUNICAZIONE_MODULO</v>
      </c>
      <c r="F1069" t="str">
        <f>VLOOKUP(I1069,'EXPORT IRIS PROD 13-11-2024'!D:D,1,0)</f>
        <v>Allarme comunicazione modulo</v>
      </c>
      <c r="G1069" s="78" t="s">
        <v>16</v>
      </c>
      <c r="H1069" s="26" t="s">
        <v>1907</v>
      </c>
      <c r="I1069" s="26" t="s">
        <v>1908</v>
      </c>
      <c r="J1069" s="27" t="s">
        <v>19</v>
      </c>
      <c r="K1069" s="27" t="s">
        <v>258</v>
      </c>
      <c r="L1069" s="28" t="s">
        <v>21</v>
      </c>
      <c r="M1069" s="29" t="s">
        <v>22</v>
      </c>
      <c r="N1069" s="30" t="s">
        <v>23</v>
      </c>
      <c r="O1069" s="31" t="s">
        <v>24</v>
      </c>
      <c r="P1069" s="32" t="s">
        <v>25</v>
      </c>
      <c r="Q1069" s="30" t="s">
        <v>21</v>
      </c>
      <c r="R1069" s="94" t="s">
        <v>2053</v>
      </c>
    </row>
    <row r="1070" spans="1:18" x14ac:dyDescent="0.25">
      <c r="A1070" t="str">
        <f t="shared" si="32"/>
        <v>Impianto Rilevazione Incendio_Centralina rilevazione incendio/fibrolaser_INCENDIO_IN_GALLERIA_DA_TLC_NORD-Allarme incendio in galleria da TLC Nord</v>
      </c>
      <c r="B1070" t="str">
        <f t="shared" si="34"/>
        <v>INCENDIO_IN_GALLERIA_DA_TLC_NORD-Allarme incendio in galleria da TLC Nord</v>
      </c>
      <c r="C1070" t="str">
        <f>VLOOKUP(B1070,'[2]Classi allarmi RMT-STIG_rev4'!$C:$C,1,0)</f>
        <v>INCENDIO_IN_GALLERIA_DA_TLC_NORD-Allarme incendio in galleria da TLC Nord</v>
      </c>
      <c r="D1070" t="str">
        <f>VLOOKUP(B1070,'EXPORT IRIS PROD 13-11-2024'!A:A,1,0)</f>
        <v>INCENDIO_IN_GALLERIA_DA_TLC_NORD-Allarme incendio in galleria da TLC Nord</v>
      </c>
      <c r="E1070" t="str">
        <f>VLOOKUP(H1070,'EXPORT IRIS PROD 13-11-2024'!F:F,1,0)</f>
        <v>INCENDIO_IN_GALLERIA_DA_TLC_NORD</v>
      </c>
      <c r="F1070" t="str">
        <f>VLOOKUP(I1070,'EXPORT IRIS PROD 13-11-2024'!D:D,1,0)</f>
        <v>Allarme incendio in galleria da TLC Nord</v>
      </c>
      <c r="G1070" s="25" t="s">
        <v>40</v>
      </c>
      <c r="H1070" s="26" t="s">
        <v>1909</v>
      </c>
      <c r="I1070" s="26" t="s">
        <v>1910</v>
      </c>
      <c r="J1070" s="27" t="s">
        <v>43</v>
      </c>
      <c r="K1070" s="27" t="s">
        <v>394</v>
      </c>
      <c r="L1070" s="28" t="s">
        <v>31</v>
      </c>
      <c r="M1070" s="29" t="s">
        <v>32</v>
      </c>
      <c r="N1070" s="30">
        <v>2</v>
      </c>
      <c r="O1070" s="31" t="s">
        <v>45</v>
      </c>
      <c r="P1070" s="32" t="s">
        <v>46</v>
      </c>
      <c r="Q1070" s="30" t="s">
        <v>31</v>
      </c>
      <c r="R1070" s="94" t="s">
        <v>2053</v>
      </c>
    </row>
    <row r="1071" spans="1:18" x14ac:dyDescent="0.25">
      <c r="A1071" t="str">
        <f t="shared" si="32"/>
        <v>Impianto Rilevazione Incendio_Centralina rilevazione incendio/fibrolaser_INCENDIO_IN_GALLERIA_DA_TLC_SUD-Allarme incendio in galleria da TLC Sud</v>
      </c>
      <c r="B1071" t="str">
        <f t="shared" si="34"/>
        <v>INCENDIO_IN_GALLERIA_DA_TLC_SUD-Allarme incendio in galleria da TLC Sud</v>
      </c>
      <c r="C1071" t="str">
        <f>VLOOKUP(B1071,'[2]Classi allarmi RMT-STIG_rev4'!$C:$C,1,0)</f>
        <v>INCENDIO_IN_GALLERIA_DA_TLC_SUD-Allarme incendio in galleria da TLC Sud</v>
      </c>
      <c r="D1071" t="str">
        <f>VLOOKUP(B1071,'EXPORT IRIS PROD 13-11-2024'!A:A,1,0)</f>
        <v>INCENDIO_IN_GALLERIA_DA_TLC_SUD-Allarme incendio in galleria da TLC Sud</v>
      </c>
      <c r="E1071" t="str">
        <f>VLOOKUP(H1071,'EXPORT IRIS PROD 13-11-2024'!F:F,1,0)</f>
        <v>INCENDIO_IN_GALLERIA_DA_TLC_SUD</v>
      </c>
      <c r="F1071" t="str">
        <f>VLOOKUP(I1071,'EXPORT IRIS PROD 13-11-2024'!D:D,1,0)</f>
        <v>Allarme incendio in galleria da TLC Sud</v>
      </c>
      <c r="G1071" s="25" t="s">
        <v>40</v>
      </c>
      <c r="H1071" s="26" t="s">
        <v>1911</v>
      </c>
      <c r="I1071" s="26" t="s">
        <v>1912</v>
      </c>
      <c r="J1071" s="27" t="s">
        <v>43</v>
      </c>
      <c r="K1071" s="27" t="s">
        <v>394</v>
      </c>
      <c r="L1071" s="28" t="s">
        <v>31</v>
      </c>
      <c r="M1071" s="71" t="s">
        <v>32</v>
      </c>
      <c r="N1071" s="30">
        <v>2</v>
      </c>
      <c r="O1071" s="72" t="s">
        <v>45</v>
      </c>
      <c r="P1071" s="30" t="s">
        <v>46</v>
      </c>
      <c r="Q1071" s="30" t="s">
        <v>31</v>
      </c>
      <c r="R1071" s="94" t="s">
        <v>2053</v>
      </c>
    </row>
    <row r="1072" spans="1:18" x14ac:dyDescent="0.25">
      <c r="A1072" t="str">
        <f t="shared" si="32"/>
        <v>Impianto rete dati_PLC primario/di cabina_ALR_COMUNICAZIONE_PORTA_1-Allarme comunicazione porta 1</v>
      </c>
      <c r="B1072" t="str">
        <f t="shared" si="34"/>
        <v>ALR_COMUNICAZIONE_PORTA_1-Allarme comunicazione porta 1</v>
      </c>
      <c r="C1072" t="str">
        <f>VLOOKUP(B1072,'[2]Classi allarmi RMT-STIG_rev4'!$C:$C,1,0)</f>
        <v>ALR_COMUNICAZIONE_PORTA_1-Allarme comunicazione porta 1</v>
      </c>
      <c r="D1072" t="str">
        <f>VLOOKUP(B1072,'EXPORT IRIS PROD 13-11-2024'!A:A,1,0)</f>
        <v>ALR_COMUNICAZIONE_PORTA_1-Allarme comunicazione porta 1</v>
      </c>
      <c r="E1072" t="str">
        <f>VLOOKUP(H1072,'EXPORT IRIS PROD 13-11-2024'!F:F,1,0)</f>
        <v>ALR_COMUNICAZIONE_PORTA_1</v>
      </c>
      <c r="F1072" t="str">
        <f>VLOOKUP(I1072,'EXPORT IRIS PROD 13-11-2024'!D:D,1,0)</f>
        <v>Allarme comunicazione porta 1</v>
      </c>
      <c r="G1072" s="25" t="s">
        <v>16</v>
      </c>
      <c r="H1072" s="26" t="s">
        <v>1916</v>
      </c>
      <c r="I1072" s="26" t="s">
        <v>1917</v>
      </c>
      <c r="J1072" s="27" t="s">
        <v>1156</v>
      </c>
      <c r="K1072" s="27" t="s">
        <v>1157</v>
      </c>
      <c r="L1072" s="28" t="s">
        <v>21</v>
      </c>
      <c r="M1072" s="71" t="s">
        <v>22</v>
      </c>
      <c r="N1072" s="30" t="s">
        <v>23</v>
      </c>
      <c r="O1072" s="72" t="s">
        <v>24</v>
      </c>
      <c r="P1072" s="30" t="str" cm="1">
        <f t="array" ref="P1072">_xlfn.IFS(O1072="Bassa", "Blu", O1072="Media", "Arancione", O1072="Alta", "Rosso", O1072="Altissima", "Viola")</f>
        <v>Blu</v>
      </c>
      <c r="Q1072" s="30" t="s">
        <v>21</v>
      </c>
      <c r="R1072" s="94" t="s">
        <v>2053</v>
      </c>
    </row>
    <row r="1073" spans="1:18" x14ac:dyDescent="0.25">
      <c r="A1073" t="str">
        <f t="shared" si="32"/>
        <v>Impianto rete dati_PLC primario/di cabina_ALR_COMUNICAZIONE_PORTA_2-Allarme comunicazione porta 2</v>
      </c>
      <c r="B1073" t="str">
        <f t="shared" si="34"/>
        <v>ALR_COMUNICAZIONE_PORTA_2-Allarme comunicazione porta 2</v>
      </c>
      <c r="C1073" t="str">
        <f>VLOOKUP(B1073,'[2]Classi allarmi RMT-STIG_rev4'!$C:$C,1,0)</f>
        <v>ALR_COMUNICAZIONE_PORTA_2-Allarme comunicazione porta 2</v>
      </c>
      <c r="D1073" t="str">
        <f>VLOOKUP(B1073,'EXPORT IRIS PROD 13-11-2024'!A:A,1,0)</f>
        <v>ALR_COMUNICAZIONE_PORTA_2-Allarme comunicazione porta 2</v>
      </c>
      <c r="E1073" t="str">
        <f>VLOOKUP(H1073,'EXPORT IRIS PROD 13-11-2024'!F:F,1,0)</f>
        <v>ALR_COMUNICAZIONE_PORTA_2</v>
      </c>
      <c r="F1073" t="str">
        <f>VLOOKUP(I1073,'EXPORT IRIS PROD 13-11-2024'!D:D,1,0)</f>
        <v>Allarme comunicazione porta 2</v>
      </c>
      <c r="G1073" s="25" t="s">
        <v>16</v>
      </c>
      <c r="H1073" s="26" t="s">
        <v>1918</v>
      </c>
      <c r="I1073" s="26" t="s">
        <v>1919</v>
      </c>
      <c r="J1073" s="27" t="s">
        <v>1156</v>
      </c>
      <c r="K1073" s="27" t="s">
        <v>1157</v>
      </c>
      <c r="L1073" s="28" t="s">
        <v>21</v>
      </c>
      <c r="M1073" s="71" t="s">
        <v>22</v>
      </c>
      <c r="N1073" s="30" t="s">
        <v>23</v>
      </c>
      <c r="O1073" s="72" t="s">
        <v>24</v>
      </c>
      <c r="P1073" s="30" t="str" cm="1">
        <f t="array" ref="P1073">_xlfn.IFS(O1073="Bassa", "Blu", O1073="Media", "Arancione", O1073="Alta", "Rosso", O1073="Altissima", "Viola")</f>
        <v>Blu</v>
      </c>
      <c r="Q1073" s="30" t="s">
        <v>21</v>
      </c>
      <c r="R1073" s="94" t="s">
        <v>2053</v>
      </c>
    </row>
    <row r="1074" spans="1:18" x14ac:dyDescent="0.25">
      <c r="A1074" t="str">
        <f t="shared" si="32"/>
        <v>Impianto rete dati_PLC primario/di cabina_ALR_COMUNICAZIONE_PORTA_3-Allarme comunicazione porta 3</v>
      </c>
      <c r="B1074" t="str">
        <f t="shared" si="34"/>
        <v>ALR_COMUNICAZIONE_PORTA_3-Allarme comunicazione porta 3</v>
      </c>
      <c r="C1074" t="str">
        <f>VLOOKUP(B1074,'[2]Classi allarmi RMT-STIG_rev4'!$C:$C,1,0)</f>
        <v>ALR_COMUNICAZIONE_PORTA_3-Allarme comunicazione porta 3</v>
      </c>
      <c r="D1074" t="str">
        <f>VLOOKUP(B1074,'EXPORT IRIS PROD 13-11-2024'!A:A,1,0)</f>
        <v>ALR_COMUNICAZIONE_PORTA_3-Allarme comunicazione porta 3</v>
      </c>
      <c r="E1074" t="str">
        <f>VLOOKUP(H1074,'EXPORT IRIS PROD 13-11-2024'!F:F,1,0)</f>
        <v>ALR_COMUNICAZIONE_PORTA_3</v>
      </c>
      <c r="F1074" t="str">
        <f>VLOOKUP(I1074,'EXPORT IRIS PROD 13-11-2024'!D:D,1,0)</f>
        <v>Allarme comunicazione porta 3</v>
      </c>
      <c r="G1074" s="25" t="s">
        <v>16</v>
      </c>
      <c r="H1074" s="26" t="s">
        <v>1920</v>
      </c>
      <c r="I1074" s="26" t="s">
        <v>1921</v>
      </c>
      <c r="J1074" s="27" t="s">
        <v>1156</v>
      </c>
      <c r="K1074" s="27" t="s">
        <v>1157</v>
      </c>
      <c r="L1074" s="28" t="s">
        <v>21</v>
      </c>
      <c r="M1074" s="71" t="s">
        <v>22</v>
      </c>
      <c r="N1074" s="30" t="s">
        <v>23</v>
      </c>
      <c r="O1074" s="72" t="s">
        <v>24</v>
      </c>
      <c r="P1074" s="30" t="str" cm="1">
        <f t="array" ref="P1074">_xlfn.IFS(O1074="Bassa", "Blu", O1074="Media", "Arancione", O1074="Alta", "Rosso", O1074="Altissima", "Viola")</f>
        <v>Blu</v>
      </c>
      <c r="Q1074" s="30" t="s">
        <v>21</v>
      </c>
      <c r="R1074" s="94" t="s">
        <v>2053</v>
      </c>
    </row>
    <row r="1075" spans="1:18" x14ac:dyDescent="0.25">
      <c r="A1075" t="str">
        <f t="shared" si="32"/>
        <v>Impianto Rilevazione Incendio_Centralina fibrolaser_ALR_ROTTURA_CAVO_2-Allarme rottura cavo termosensibile 2</v>
      </c>
      <c r="B1075" t="str">
        <f t="shared" si="34"/>
        <v>ALR_ROTTURA_CAVO_2-Allarme rottura cavo termosensibile 2</v>
      </c>
      <c r="C1075" t="str">
        <f>VLOOKUP(B1075,'[2]Classi allarmi RMT-STIG_rev4'!$C:$C,1,0)</f>
        <v>ALR_ROTTURA_CAVO_2-Allarme rottura cavo termosensibile 2</v>
      </c>
      <c r="D1075" t="str">
        <f>VLOOKUP(B1075,'EXPORT IRIS PROD 13-11-2024'!A:A,1,0)</f>
        <v>ALR_ROTTURA_CAVO_2-Allarme rottura cavo termosensibile 2</v>
      </c>
      <c r="E1075" t="str">
        <f>VLOOKUP(H1075,'EXPORT IRIS PROD 13-11-2024'!F:F,1,0)</f>
        <v>ALR_ROTTURA_CAVO_2</v>
      </c>
      <c r="F1075" t="str">
        <f>VLOOKUP(I1075,'EXPORT IRIS PROD 13-11-2024'!D:D,1,0)</f>
        <v>Allarme rottura cavo termosensibile 2</v>
      </c>
      <c r="G1075" s="25" t="s">
        <v>105</v>
      </c>
      <c r="H1075" s="26" t="s">
        <v>1925</v>
      </c>
      <c r="I1075" s="26" t="s">
        <v>1926</v>
      </c>
      <c r="J1075" s="27" t="s">
        <v>43</v>
      </c>
      <c r="K1075" s="27" t="s">
        <v>1927</v>
      </c>
      <c r="L1075" s="28" t="s">
        <v>31</v>
      </c>
      <c r="M1075" s="71" t="s">
        <v>32</v>
      </c>
      <c r="N1075" s="30">
        <v>3</v>
      </c>
      <c r="O1075" s="72" t="s">
        <v>33</v>
      </c>
      <c r="P1075" s="30" t="s">
        <v>34</v>
      </c>
      <c r="Q1075" s="30" t="s">
        <v>31</v>
      </c>
      <c r="R1075" s="94" t="s">
        <v>2053</v>
      </c>
    </row>
    <row r="1076" spans="1:18" x14ac:dyDescent="0.25">
      <c r="A1076" t="str">
        <f t="shared" si="32"/>
        <v>Impianto Rilevazione Incendio_Centralina fibrolaser_ALR_GUASTO_FIBRA_2-Allarme guasto fibra 2</v>
      </c>
      <c r="B1076" t="str">
        <f t="shared" si="34"/>
        <v>ALR_GUASTO_FIBRA_2-Allarme guasto fibra 2</v>
      </c>
      <c r="C1076" t="str">
        <f>VLOOKUP(B1076,'[2]Classi allarmi RMT-STIG_rev4'!$C:$C,1,0)</f>
        <v>ALR_GUASTO_FIBRA_2-Allarme guasto fibra 2</v>
      </c>
      <c r="D1076" t="str">
        <f>VLOOKUP(B1076,'EXPORT IRIS PROD 13-11-2024'!A:A,1,0)</f>
        <v>ALR_GUASTO_FIBRA_2-Allarme guasto fibra 2</v>
      </c>
      <c r="E1076" t="str">
        <f>VLOOKUP(H1076,'EXPORT IRIS PROD 13-11-2024'!F:F,1,0)</f>
        <v>ALR_GUASTO_FIBRA_2</v>
      </c>
      <c r="F1076" t="str">
        <f>VLOOKUP(I1076,'EXPORT IRIS PROD 13-11-2024'!D:D,1,0)</f>
        <v>Allarme guasto fibra 2</v>
      </c>
      <c r="G1076" s="25" t="s">
        <v>105</v>
      </c>
      <c r="H1076" s="26" t="s">
        <v>1928</v>
      </c>
      <c r="I1076" s="26" t="s">
        <v>1929</v>
      </c>
      <c r="J1076" s="27" t="s">
        <v>43</v>
      </c>
      <c r="K1076" s="27" t="s">
        <v>1927</v>
      </c>
      <c r="L1076" s="28" t="s">
        <v>31</v>
      </c>
      <c r="M1076" s="71" t="s">
        <v>32</v>
      </c>
      <c r="N1076" s="30">
        <v>3</v>
      </c>
      <c r="O1076" s="72" t="s">
        <v>33</v>
      </c>
      <c r="P1076" s="30" t="s">
        <v>34</v>
      </c>
      <c r="Q1076" s="30" t="s">
        <v>31</v>
      </c>
      <c r="R1076" s="94" t="s">
        <v>2053</v>
      </c>
    </row>
    <row r="1077" spans="1:18" x14ac:dyDescent="0.25">
      <c r="A1077" t="str">
        <f t="shared" si="32"/>
        <v>Impianto Rilevazione Incendio_Splitter_ALLARME_PRESSIONE-Allarme pressione</v>
      </c>
      <c r="B1077" t="str">
        <f t="shared" si="34"/>
        <v>ALLARME_PRESSIONE-Allarme pressione</v>
      </c>
      <c r="C1077" t="str">
        <f>VLOOKUP(B1077,'[2]Classi allarmi RMT-STIG_rev4'!$C:$C,1,0)</f>
        <v>ALLARME_PRESSIONE-Allarme pressione</v>
      </c>
      <c r="D1077" t="str">
        <f>VLOOKUP(B1077,'EXPORT IRIS PROD 13-11-2024'!A:A,1,0)</f>
        <v>ALLARME_PRESSIONE-Allarme pressione</v>
      </c>
      <c r="E1077" t="str">
        <f>VLOOKUP(H1077,'EXPORT IRIS PROD 13-11-2024'!F:F,1,0)</f>
        <v>ALLARME_PRESSIONE</v>
      </c>
      <c r="F1077" t="str">
        <f>VLOOKUP(I1077,'EXPORT IRIS PROD 13-11-2024'!D:D,1,0)</f>
        <v>Allarme pressione</v>
      </c>
      <c r="G1077" s="25" t="s">
        <v>105</v>
      </c>
      <c r="H1077" s="26" t="s">
        <v>1930</v>
      </c>
      <c r="I1077" s="26" t="s">
        <v>1505</v>
      </c>
      <c r="J1077" s="27" t="s">
        <v>43</v>
      </c>
      <c r="K1077" s="27" t="s">
        <v>1931</v>
      </c>
      <c r="L1077" s="28" t="s">
        <v>21</v>
      </c>
      <c r="M1077" s="71" t="s">
        <v>22</v>
      </c>
      <c r="N1077" s="30" t="s">
        <v>23</v>
      </c>
      <c r="O1077" s="72" t="s">
        <v>24</v>
      </c>
      <c r="P1077" s="30" t="str" cm="1">
        <f t="array" ref="P1077">_xlfn.IFS(O1077="Bassa", "Blu", O1077="Media", "Arancione", O1077="Alta", "Rosso", O1077="Altissima", "Viola")</f>
        <v>Blu</v>
      </c>
      <c r="Q1077" s="30" t="s">
        <v>21</v>
      </c>
      <c r="R1077" s="94" t="s">
        <v>2053</v>
      </c>
    </row>
    <row r="1078" spans="1:18" x14ac:dyDescent="0.25">
      <c r="A1078" t="str">
        <f t="shared" si="32"/>
        <v>Impianto Ventilazione_Serranda/Ventilatore_ALR_DISPOSITIVO_BLOCCATO-Allarme dispositivo bloccato/non disponibile</v>
      </c>
      <c r="B1078" t="str">
        <f t="shared" si="34"/>
        <v>ALR_DISPOSITIVO_BLOCCATO-Allarme dispositivo bloccato/non disponibile</v>
      </c>
      <c r="C1078" t="e">
        <f>VLOOKUP(B1078,'[2]Classi allarmi RMT-STIG_rev4'!$C:$C,1,0)</f>
        <v>#N/A</v>
      </c>
      <c r="D1078" t="str">
        <f>VLOOKUP(B1078,'EXPORT IRIS PROD 13-11-2024'!A:A,1,0)</f>
        <v>ALR_DISPOSITIVO_BLOCCATO-Allarme dispositivo bloccato/non disponibile</v>
      </c>
      <c r="E1078" t="str">
        <f>VLOOKUP(H1078,'EXPORT IRIS PROD 13-11-2024'!F:F,1,0)</f>
        <v>ALR_DISPOSITIVO_BLOCCATO</v>
      </c>
      <c r="F1078" t="str">
        <f>VLOOKUP(I1078,'EXPORT IRIS PROD 13-11-2024'!D:D,1,0)</f>
        <v>Allarme dispositivo bloccato/non disponibile</v>
      </c>
      <c r="G1078" s="25" t="s">
        <v>863</v>
      </c>
      <c r="H1078" s="26" t="s">
        <v>1932</v>
      </c>
      <c r="I1078" s="78" t="s">
        <v>1933</v>
      </c>
      <c r="J1078" s="27" t="s">
        <v>50</v>
      </c>
      <c r="K1078" s="27" t="s">
        <v>1934</v>
      </c>
      <c r="L1078" s="28" t="s">
        <v>21</v>
      </c>
      <c r="M1078" s="71" t="s">
        <v>22</v>
      </c>
      <c r="N1078" s="30" t="s">
        <v>23</v>
      </c>
      <c r="O1078" s="72" t="s">
        <v>24</v>
      </c>
      <c r="P1078" s="30" t="s">
        <v>25</v>
      </c>
      <c r="Q1078" s="30" t="s">
        <v>21</v>
      </c>
      <c r="R1078" s="94" t="s">
        <v>2053</v>
      </c>
    </row>
    <row r="1079" spans="1:18" x14ac:dyDescent="0.25">
      <c r="A1079" t="str">
        <f t="shared" si="32"/>
        <v>Impianto Rilevazione Incendio_Serbatoio acqua_ALR_GALLEGGIANTE_VANO_TECNICO-Chiusura Allarme galleggiante vano tecnico</v>
      </c>
      <c r="B1079" t="str">
        <f t="shared" si="34"/>
        <v>ALR_GALLEGGIANTE_VANO_TECNICO-Chiusura Allarme galleggiante vano tecnico</v>
      </c>
      <c r="C1079" t="str">
        <f>VLOOKUP(B1079,'[2]Classi allarmi RMT-STIG_rev4'!$C:$C,1,0)</f>
        <v>ALR_GALLEGGIANTE_VANO_TECNICO-Chiusura Allarme galleggiante vano tecnico</v>
      </c>
      <c r="D1079" t="str">
        <f>VLOOKUP(B1079,'EXPORT IRIS PROD 13-11-2024'!A:A,1,0)</f>
        <v>ALR_GALLEGGIANTE_VANO_TECNICO-Chiusura Allarme galleggiante vano tecnico</v>
      </c>
      <c r="E1079" t="str">
        <f>VLOOKUP(H1079,'EXPORT IRIS PROD 13-11-2024'!F:F,1,0)</f>
        <v>ALR_GALLEGGIANTE_VANO_TECNICO</v>
      </c>
      <c r="F1079" t="str">
        <f>VLOOKUP(I1079,'EXPORT IRIS PROD 13-11-2024'!D:D,1,0)</f>
        <v>Chiusura Allarme galleggiante vano tecnico</v>
      </c>
      <c r="G1079" s="25" t="s">
        <v>105</v>
      </c>
      <c r="H1079" s="26" t="s">
        <v>1937</v>
      </c>
      <c r="I1079" s="26" t="s">
        <v>1938</v>
      </c>
      <c r="J1079" s="27" t="s">
        <v>43</v>
      </c>
      <c r="K1079" s="27" t="s">
        <v>480</v>
      </c>
      <c r="L1079" s="28" t="s">
        <v>21</v>
      </c>
      <c r="M1079" s="71" t="s">
        <v>22</v>
      </c>
      <c r="N1079" s="30" t="s">
        <v>23</v>
      </c>
      <c r="O1079" s="72" t="s">
        <v>24</v>
      </c>
      <c r="P1079" s="30" t="str" cm="1">
        <f t="array" ref="P1079">_xlfn.IFS(O1079="Bassa", "Blu", O1079="Media", "Arancione", O1079="Alta", "Rosso", O1079="Altissima", "Viola")</f>
        <v>Blu</v>
      </c>
      <c r="Q1079" s="30" t="s">
        <v>21</v>
      </c>
      <c r="R1079" s="94" t="s">
        <v>2053</v>
      </c>
    </row>
    <row r="1080" spans="1:18" x14ac:dyDescent="0.25">
      <c r="A1080" t="str">
        <f t="shared" si="32"/>
        <v>Impianto Ventilazione_Centralina sensori qualità aria_ALR_MALFUNZIONAMENTO-Allarme malfunzionamento</v>
      </c>
      <c r="B1080" t="str">
        <f t="shared" si="34"/>
        <v>ALR_MALFUNZIONAMENTO-Allarme malfunzionamento</v>
      </c>
      <c r="C1080" t="str">
        <f>VLOOKUP(B1080,'[2]Classi allarmi RMT-STIG_rev4'!$C:$C,1,0)</f>
        <v>ALR_MALFUNZIONAMENTO-Allarme malfunzionamento</v>
      </c>
      <c r="D1080" t="str">
        <f>VLOOKUP(B1080,'EXPORT IRIS PROD 13-11-2024'!A:A,1,0)</f>
        <v>ALR_MALFUNZIONAMENTO-Allarme malfunzionamento</v>
      </c>
      <c r="E1080" t="str">
        <f>VLOOKUP(H1080,'EXPORT IRIS PROD 13-11-2024'!F:F,1,0)</f>
        <v>ALR_MALFUNZIONAMENTO</v>
      </c>
      <c r="F1080" t="str">
        <f>VLOOKUP(I1080,'EXPORT IRIS PROD 13-11-2024'!D:D,1,0)</f>
        <v>Allarme malfunzionamento</v>
      </c>
      <c r="G1080" s="25" t="s">
        <v>213</v>
      </c>
      <c r="H1080" s="26" t="s">
        <v>1941</v>
      </c>
      <c r="I1080" s="26" t="s">
        <v>1942</v>
      </c>
      <c r="J1080" s="27" t="s">
        <v>50</v>
      </c>
      <c r="K1080" s="27" t="s">
        <v>1943</v>
      </c>
      <c r="L1080" s="28" t="s">
        <v>21</v>
      </c>
      <c r="M1080" s="71" t="s">
        <v>22</v>
      </c>
      <c r="N1080" s="30" t="s">
        <v>23</v>
      </c>
      <c r="O1080" s="72" t="s">
        <v>24</v>
      </c>
      <c r="P1080" s="30" t="str" cm="1">
        <f t="array" ref="P1080">_xlfn.IFS(O1080="Bassa", "Blu", O1080="Media", "Arancione", O1080="Alta", "Rosso", O1080="Altissima", "Viola")</f>
        <v>Blu</v>
      </c>
      <c r="Q1080" s="30" t="s">
        <v>21</v>
      </c>
      <c r="R1080" s="94" t="s">
        <v>2053</v>
      </c>
    </row>
    <row r="1081" spans="1:18" x14ac:dyDescent="0.25">
      <c r="A1081" t="str">
        <f t="shared" si="32"/>
        <v>Impianto Canalizzazione_Semaforo_ALR_TIMEOUT_LUCE_GIALLA_LAMPEGGIANTE-Allarme timeout semaforo luce gialla lampeggiante</v>
      </c>
      <c r="B1081" t="str">
        <f t="shared" si="34"/>
        <v>ALR_TIMEOUT_LUCE_GIALLA_LAMPEGGIANTE-Allarme timeout semaforo luce gialla lampeggiante</v>
      </c>
      <c r="C1081" t="str">
        <f>VLOOKUP(B1081,'[2]Classi allarmi RMT-STIG_rev4'!$C:$C,1,0)</f>
        <v>ALR_TIMEOUT_LUCE_GIALLA_LAMPEGGIANTE-Allarme timeout semaforo luce gialla lampeggiante</v>
      </c>
      <c r="D1081" t="str">
        <f>VLOOKUP(B1081,'EXPORT IRIS PROD 13-11-2024'!A:A,1,0)</f>
        <v>ALR_TIMEOUT_LUCE_GIALLA_LAMPEGGIANTE-Allarme timeout semaforo luce gialla lampeggiante</v>
      </c>
      <c r="E1081" t="str">
        <f>VLOOKUP(H1081,'EXPORT IRIS PROD 13-11-2024'!F:F,1,0)</f>
        <v>ALR_TIMEOUT_LUCE_GIALLA_LAMPEGGIANTE</v>
      </c>
      <c r="F1081" t="str">
        <f>VLOOKUP(I1081,'EXPORT IRIS PROD 13-11-2024'!D:D,1,0)</f>
        <v>Allarme timeout semaforo luce gialla lampeggiante</v>
      </c>
      <c r="G1081" s="25" t="s">
        <v>109</v>
      </c>
      <c r="H1081" s="26" t="s">
        <v>1944</v>
      </c>
      <c r="I1081" s="26" t="s">
        <v>1945</v>
      </c>
      <c r="J1081" s="27" t="s">
        <v>111</v>
      </c>
      <c r="K1081" s="27" t="s">
        <v>376</v>
      </c>
      <c r="L1081" s="28" t="s">
        <v>21</v>
      </c>
      <c r="M1081" s="71" t="s">
        <v>22</v>
      </c>
      <c r="N1081" s="30" t="s">
        <v>23</v>
      </c>
      <c r="O1081" s="72" t="s">
        <v>24</v>
      </c>
      <c r="P1081" s="30" t="str" cm="1">
        <f t="array" ref="P1081">_xlfn.IFS(O1081="Bassa", "Blu", O1081="Media", "Arancione", O1081="Alta", "Rosso", O1081="Altissima", "Viola")</f>
        <v>Blu</v>
      </c>
      <c r="Q1081" s="30" t="s">
        <v>21</v>
      </c>
      <c r="R1081" s="94" t="s">
        <v>2053</v>
      </c>
    </row>
    <row r="1082" spans="1:18" x14ac:dyDescent="0.25">
      <c r="A1082" t="str">
        <f t="shared" si="32"/>
        <v>Impianto Ventilazione_Centralina sensori qualità aria_ALR_MALFUNZIONAMENTO-Allarme malfunzionamento</v>
      </c>
      <c r="B1082" t="str">
        <f t="shared" si="34"/>
        <v>ALR_MALFUNZIONAMENTO-Allarme malfunzionamento</v>
      </c>
      <c r="C1082" t="str">
        <f>VLOOKUP(B1082,'[2]Classi allarmi RMT-STIG_rev4'!$C:$C,1,0)</f>
        <v>ALR_MALFUNZIONAMENTO-Allarme malfunzionamento</v>
      </c>
      <c r="D1082" t="str">
        <f>VLOOKUP(B1082,'EXPORT IRIS PROD 13-11-2024'!A:A,1,0)</f>
        <v>ALR_MALFUNZIONAMENTO-Allarme malfunzionamento</v>
      </c>
      <c r="E1082" t="str">
        <f>VLOOKUP(H1082,'EXPORT IRIS PROD 13-11-2024'!F:F,1,0)</f>
        <v>ALR_MALFUNZIONAMENTO</v>
      </c>
      <c r="F1082" t="str">
        <f>VLOOKUP(I1082,'EXPORT IRIS PROD 13-11-2024'!D:D,1,0)</f>
        <v>Allarme malfunzionamento</v>
      </c>
      <c r="G1082" s="79" t="s">
        <v>213</v>
      </c>
      <c r="H1082" s="26" t="s">
        <v>1941</v>
      </c>
      <c r="I1082" s="26" t="s">
        <v>1942</v>
      </c>
      <c r="J1082" s="27" t="s">
        <v>50</v>
      </c>
      <c r="K1082" s="27" t="s">
        <v>1943</v>
      </c>
      <c r="L1082" s="28" t="s">
        <v>21</v>
      </c>
      <c r="M1082" s="71" t="s">
        <v>22</v>
      </c>
      <c r="N1082" s="30" t="s">
        <v>23</v>
      </c>
      <c r="O1082" s="72" t="s">
        <v>24</v>
      </c>
      <c r="P1082" s="30" t="str" cm="1">
        <f t="array" ref="P1082">_xlfn.IFS(O1082="Bassa", "Blu", O1082="Media", "Arancione", O1082="Alta", "Rosso", O1082="Altissima", "Viola")</f>
        <v>Blu</v>
      </c>
      <c r="Q1082" s="30" t="s">
        <v>21</v>
      </c>
      <c r="R1082" s="104" t="s">
        <v>2054</v>
      </c>
    </row>
    <row r="1083" spans="1:18" x14ac:dyDescent="0.25">
      <c r="A1083" t="str">
        <f t="shared" si="32"/>
        <v>Impianto Canalizzazione_Semaforo_ALR_TIMEOUT_LUCE_GIALLA_LAMPEGGIANTE-Allarme timeout semaforo luce gialla lampeggiante</v>
      </c>
      <c r="B1083" t="str">
        <f t="shared" si="34"/>
        <v>ALR_TIMEOUT_LUCE_GIALLA_LAMPEGGIANTE-Allarme timeout semaforo luce gialla lampeggiante</v>
      </c>
      <c r="C1083" t="str">
        <f>VLOOKUP(B1083,'[2]Classi allarmi RMT-STIG_rev4'!$C:$C,1,0)</f>
        <v>ALR_TIMEOUT_LUCE_GIALLA_LAMPEGGIANTE-Allarme timeout semaforo luce gialla lampeggiante</v>
      </c>
      <c r="D1083" t="str">
        <f>VLOOKUP(B1083,'EXPORT IRIS PROD 13-11-2024'!A:A,1,0)</f>
        <v>ALR_TIMEOUT_LUCE_GIALLA_LAMPEGGIANTE-Allarme timeout semaforo luce gialla lampeggiante</v>
      </c>
      <c r="E1083" t="str">
        <f>VLOOKUP(H1083,'EXPORT IRIS PROD 13-11-2024'!F:F,1,0)</f>
        <v>ALR_TIMEOUT_LUCE_GIALLA_LAMPEGGIANTE</v>
      </c>
      <c r="F1083" t="str">
        <f>VLOOKUP(I1083,'EXPORT IRIS PROD 13-11-2024'!D:D,1,0)</f>
        <v>Allarme timeout semaforo luce gialla lampeggiante</v>
      </c>
      <c r="G1083" s="64" t="s">
        <v>109</v>
      </c>
      <c r="H1083" s="65" t="s">
        <v>1944</v>
      </c>
      <c r="I1083" s="65" t="s">
        <v>1945</v>
      </c>
      <c r="J1083" s="66" t="s">
        <v>111</v>
      </c>
      <c r="K1083" s="66" t="s">
        <v>376</v>
      </c>
      <c r="L1083" s="67" t="s">
        <v>21</v>
      </c>
      <c r="M1083" s="74" t="s">
        <v>22</v>
      </c>
      <c r="N1083" s="62" t="s">
        <v>23</v>
      </c>
      <c r="O1083" s="75" t="s">
        <v>24</v>
      </c>
      <c r="P1083" s="62" t="str" cm="1">
        <f t="array" ref="P1083">_xlfn.IFS(O1083="Bassa", "Blu", O1083="Media", "Arancione", O1083="Alta", "Rosso", O1083="Altissima", "Viola")</f>
        <v>Blu</v>
      </c>
      <c r="Q1083" s="62" t="s">
        <v>21</v>
      </c>
      <c r="R1083" s="104" t="s">
        <v>2055</v>
      </c>
    </row>
    <row r="1084" spans="1:18" x14ac:dyDescent="0.25">
      <c r="A1084" t="str">
        <f t="shared" si="32"/>
        <v>__CONGESTION-Coda da tempi di percorrenza</v>
      </c>
      <c r="B1084" t="str">
        <f t="shared" si="34"/>
        <v>CONGESTION-Coda da tempi di percorrenza</v>
      </c>
      <c r="C1084" t="e">
        <f>VLOOKUP(B1084,'[2]Classi allarmi RMT-STIG_rev4'!$C:$C,1,0)</f>
        <v>#N/A</v>
      </c>
      <c r="D1084" t="str">
        <f>VLOOKUP(B1084,'EXPORT IRIS PROD 13-11-2024'!A:A,1,0)</f>
        <v>CONGESTION-Coda da tempi di percorrenza</v>
      </c>
      <c r="E1084" t="str">
        <f>VLOOKUP(H1084,'EXPORT IRIS PROD 13-11-2024'!F:F,1,0)</f>
        <v>CONGESTION</v>
      </c>
      <c r="F1084" t="str">
        <f>VLOOKUP(I1084,'EXPORT IRIS PROD 13-11-2024'!D:D,1,0)</f>
        <v>Coda da tempi di percorrenza</v>
      </c>
      <c r="G1084" s="25" t="s">
        <v>807</v>
      </c>
      <c r="H1084" s="26" t="s">
        <v>1947</v>
      </c>
      <c r="I1084" s="26" t="s">
        <v>1948</v>
      </c>
      <c r="J1084" s="66"/>
      <c r="K1084" s="66"/>
      <c r="L1084" s="28" t="s">
        <v>31</v>
      </c>
      <c r="M1084" s="77" t="s">
        <v>32</v>
      </c>
      <c r="N1084" s="72">
        <v>1</v>
      </c>
      <c r="O1084" s="72" t="s">
        <v>24</v>
      </c>
      <c r="P1084" s="72" t="s">
        <v>25</v>
      </c>
      <c r="Q1084" s="30" t="s">
        <v>21</v>
      </c>
      <c r="R1084" s="94" t="s">
        <v>2053</v>
      </c>
    </row>
    <row r="1085" spans="1:18" x14ac:dyDescent="0.25">
      <c r="A1085" t="str">
        <f t="shared" si="32"/>
        <v>__SLOWDOWN-RALLENTAMENTO DA TEMPI DI PERCORRENZA</v>
      </c>
      <c r="B1085" t="str">
        <f t="shared" si="34"/>
        <v>SLOWDOWN-RALLENTAMENTO DA TEMPI DI PERCORRENZA</v>
      </c>
      <c r="C1085" t="e">
        <f>VLOOKUP(B1085,'[2]Classi allarmi RMT-STIG_rev4'!$C:$C,1,0)</f>
        <v>#N/A</v>
      </c>
      <c r="D1085" t="str">
        <f>VLOOKUP(B1085,'EXPORT IRIS PROD 13-11-2024'!A:A,1,0)</f>
        <v>SLOWDOWN-RALLENTAMENTO DA TEMPI DI PERCORRENZA</v>
      </c>
      <c r="E1085" t="str">
        <f>VLOOKUP(H1085,'EXPORT IRIS PROD 13-11-2024'!F:F,1,0)</f>
        <v>SLOWDOWN</v>
      </c>
      <c r="F1085" t="str">
        <f>VLOOKUP(I1085,'EXPORT IRIS PROD 13-11-2024'!D:D,1,0)</f>
        <v>RALLENTAMENTO DA TEMPI DI PERCORRENZA</v>
      </c>
      <c r="G1085" s="25" t="s">
        <v>822</v>
      </c>
      <c r="H1085" s="26" t="s">
        <v>1949</v>
      </c>
      <c r="I1085" s="26" t="s">
        <v>1950</v>
      </c>
      <c r="J1085" s="27"/>
      <c r="K1085" s="27"/>
      <c r="L1085" s="28" t="s">
        <v>31</v>
      </c>
      <c r="M1085" s="77" t="s">
        <v>32</v>
      </c>
      <c r="N1085" s="72">
        <v>1</v>
      </c>
      <c r="O1085" s="72" t="s">
        <v>24</v>
      </c>
      <c r="P1085" s="72" t="s">
        <v>25</v>
      </c>
      <c r="Q1085" s="30" t="s">
        <v>21</v>
      </c>
      <c r="R1085" s="94" t="s">
        <v>2053</v>
      </c>
    </row>
    <row r="1086" spans="1:18" x14ac:dyDescent="0.25">
      <c r="A1086" t="str">
        <f t="shared" si="32"/>
        <v>Cabina Elettrica_Centralina intrusione in cabina_ALR_INTRUSIONE_NORD-Allarme intrusione in cabina lato Nord</v>
      </c>
      <c r="B1086" t="str">
        <f t="shared" si="34"/>
        <v>ALR_INTRUSIONE_NORD-Allarme intrusione in cabina lato Nord</v>
      </c>
      <c r="C1086" t="e">
        <f>VLOOKUP(B1086,'[2]Classi allarmi RMT-STIG_rev4'!$C:$C,1,0)</f>
        <v>#N/A</v>
      </c>
      <c r="D1086" t="str">
        <f>VLOOKUP(B1086,'EXPORT IRIS PROD 13-11-2024'!A:A,1,0)</f>
        <v>ALR_INTRUSIONE_NORD-Allarme intrusione in cabina lato Nord</v>
      </c>
      <c r="E1086" t="str">
        <f>VLOOKUP(H1086,'EXPORT IRIS PROD 13-11-2024'!F:F,1,0)</f>
        <v>ALR_INTRUSIONE_NORD</v>
      </c>
      <c r="F1086" t="str">
        <f>VLOOKUP(I1086,'EXPORT IRIS PROD 13-11-2024'!D:D,1,0)</f>
        <v>Allarme intrusione in cabina lato Nord</v>
      </c>
      <c r="G1086" s="25" t="s">
        <v>468</v>
      </c>
      <c r="H1086" s="26" t="s">
        <v>1952</v>
      </c>
      <c r="I1086" s="26" t="s">
        <v>1953</v>
      </c>
      <c r="J1086" s="27" t="s">
        <v>385</v>
      </c>
      <c r="K1086" s="27" t="s">
        <v>386</v>
      </c>
      <c r="L1086" s="28" t="s">
        <v>31</v>
      </c>
      <c r="M1086" s="29" t="s">
        <v>32</v>
      </c>
      <c r="N1086" s="30">
        <v>2</v>
      </c>
      <c r="O1086" s="31" t="s">
        <v>33</v>
      </c>
      <c r="P1086" s="32" t="s">
        <v>34</v>
      </c>
      <c r="Q1086" s="30" t="s">
        <v>31</v>
      </c>
      <c r="R1086" s="94" t="s">
        <v>2053</v>
      </c>
    </row>
    <row r="1087" spans="1:18" x14ac:dyDescent="0.25">
      <c r="A1087" t="str">
        <f t="shared" si="32"/>
        <v>Cabina Elettrica_Centralina intrusione in cabina_ALR_INTRUSIONE_SUD-Allarme intrusione in cabina lato Sud</v>
      </c>
      <c r="B1087" t="str">
        <f t="shared" si="34"/>
        <v>ALR_INTRUSIONE_SUD-Allarme intrusione in cabina lato Sud</v>
      </c>
      <c r="C1087" t="e">
        <f>VLOOKUP(B1087,'[2]Classi allarmi RMT-STIG_rev4'!$C:$C,1,0)</f>
        <v>#N/A</v>
      </c>
      <c r="D1087" t="str">
        <f>VLOOKUP(B1087,'EXPORT IRIS PROD 13-11-2024'!A:A,1,0)</f>
        <v>ALR_INTRUSIONE_SUD-Allarme intrusione in cabina lato Sud</v>
      </c>
      <c r="E1087" t="str">
        <f>VLOOKUP(H1087,'EXPORT IRIS PROD 13-11-2024'!F:F,1,0)</f>
        <v>ALR_INTRUSIONE_SUD</v>
      </c>
      <c r="F1087" t="str">
        <f>VLOOKUP(I1087,'EXPORT IRIS PROD 13-11-2024'!D:D,1,0)</f>
        <v>Allarme intrusione in cabina lato Sud</v>
      </c>
      <c r="G1087" s="25" t="s">
        <v>468</v>
      </c>
      <c r="H1087" s="26" t="s">
        <v>1954</v>
      </c>
      <c r="I1087" s="26" t="s">
        <v>1955</v>
      </c>
      <c r="J1087" s="27" t="s">
        <v>385</v>
      </c>
      <c r="K1087" s="27" t="s">
        <v>386</v>
      </c>
      <c r="L1087" s="28" t="s">
        <v>31</v>
      </c>
      <c r="M1087" s="29" t="s">
        <v>32</v>
      </c>
      <c r="N1087" s="30">
        <v>2</v>
      </c>
      <c r="O1087" s="31" t="s">
        <v>33</v>
      </c>
      <c r="P1087" s="32" t="s">
        <v>34</v>
      </c>
      <c r="Q1087" s="30" t="s">
        <v>31</v>
      </c>
      <c r="R1087" s="94" t="s">
        <v>2053</v>
      </c>
    </row>
    <row r="1088" spans="1:18" x14ac:dyDescent="0.25">
      <c r="A1088" t="str">
        <f t="shared" si="32"/>
        <v>Impianto illuminazione_Regoaltore_ALR_INT_SCATTATO_VALLE-Allarme interruttore a valle scattato</v>
      </c>
      <c r="B1088" t="str">
        <f t="shared" si="34"/>
        <v>ALR_INT_SCATTATO_VALLE-Allarme interruttore a valle scattato</v>
      </c>
      <c r="C1088" t="e">
        <f>VLOOKUP(B1088,'[2]Classi allarmi RMT-STIG_rev4'!$C:$C,1,0)</f>
        <v>#N/A</v>
      </c>
      <c r="D1088" t="str">
        <f>VLOOKUP(B1088,'EXPORT IRIS PROD 13-11-2024'!A:A,1,0)</f>
        <v>ALR_INT_SCATTATO_VALLE-Allarme interruttore a valle scattato</v>
      </c>
      <c r="E1088" t="str">
        <f>VLOOKUP(H1088,'EXPORT IRIS PROD 13-11-2024'!F:F,1,0)</f>
        <v>ALR_INT_SCATTATO_VALLE</v>
      </c>
      <c r="F1088" t="str">
        <f>VLOOKUP(I1088,'EXPORT IRIS PROD 13-11-2024'!D:D,1,0)</f>
        <v>Allarme interruttore a valle scattato</v>
      </c>
      <c r="G1088" s="25" t="s">
        <v>115</v>
      </c>
      <c r="H1088" s="26" t="s">
        <v>1956</v>
      </c>
      <c r="I1088" s="26" t="s">
        <v>1957</v>
      </c>
      <c r="J1088" s="27" t="s">
        <v>1142</v>
      </c>
      <c r="K1088" s="27" t="s">
        <v>1958</v>
      </c>
      <c r="L1088" s="28" t="s">
        <v>21</v>
      </c>
      <c r="M1088" s="68" t="s">
        <v>22</v>
      </c>
      <c r="N1088" s="30" t="s">
        <v>23</v>
      </c>
      <c r="O1088" s="31" t="s">
        <v>24</v>
      </c>
      <c r="P1088" s="32" t="s">
        <v>25</v>
      </c>
      <c r="Q1088" s="30" t="s">
        <v>21</v>
      </c>
      <c r="R1088" s="94" t="s">
        <v>2053</v>
      </c>
    </row>
    <row r="1089" spans="1:18" x14ac:dyDescent="0.25">
      <c r="A1089" t="str">
        <f t="shared" si="32"/>
        <v>Impianto illuminazione_Regoaltore_ALR_INT_SCATTATO_MONTE-Allarme interruttore a monte scattato</v>
      </c>
      <c r="B1089" t="str">
        <f t="shared" si="34"/>
        <v>ALR_INT_SCATTATO_MONTE-Allarme interruttore a monte scattato</v>
      </c>
      <c r="C1089" t="e">
        <f>VLOOKUP(B1089,'[2]Classi allarmi RMT-STIG_rev4'!$C:$C,1,0)</f>
        <v>#N/A</v>
      </c>
      <c r="D1089" t="str">
        <f>VLOOKUP(B1089,'EXPORT IRIS PROD 13-11-2024'!A:A,1,0)</f>
        <v>ALR_INT_SCATTATO_MONTE-Allarme interruttore a monte scattato</v>
      </c>
      <c r="E1089" t="str">
        <f>VLOOKUP(H1089,'EXPORT IRIS PROD 13-11-2024'!F:F,1,0)</f>
        <v>ALR_INT_SCATTATO_MONTE</v>
      </c>
      <c r="F1089" t="str">
        <f>VLOOKUP(I1089,'EXPORT IRIS PROD 13-11-2024'!D:D,1,0)</f>
        <v>Allarme interruttore a monte scattato</v>
      </c>
      <c r="G1089" s="25" t="s">
        <v>115</v>
      </c>
      <c r="H1089" s="26" t="s">
        <v>1959</v>
      </c>
      <c r="I1089" s="26" t="s">
        <v>1960</v>
      </c>
      <c r="J1089" s="27" t="s">
        <v>1142</v>
      </c>
      <c r="K1089" s="27" t="s">
        <v>1958</v>
      </c>
      <c r="L1089" s="28" t="s">
        <v>21</v>
      </c>
      <c r="M1089" s="68" t="s">
        <v>22</v>
      </c>
      <c r="N1089" s="30" t="s">
        <v>23</v>
      </c>
      <c r="O1089" s="31" t="s">
        <v>24</v>
      </c>
      <c r="P1089" s="32" t="s">
        <v>25</v>
      </c>
      <c r="Q1089" s="30" t="s">
        <v>21</v>
      </c>
      <c r="R1089" s="94" t="s">
        <v>2053</v>
      </c>
    </row>
    <row r="1090" spans="1:18" x14ac:dyDescent="0.25">
      <c r="A1090" t="str">
        <f t="shared" ref="A1090:A1117" si="35">CONCATENATE(J1090,"_",K1090,"_",B1090)</f>
        <v>Impianto Rilevazione Incendio_Zona incendio_ALR_GUASTO_CRI-Allarme guasto CRI</v>
      </c>
      <c r="B1090" t="str">
        <f t="shared" si="34"/>
        <v>ALR_GUASTO_CRI-Allarme guasto CRI</v>
      </c>
      <c r="C1090" t="str">
        <f>VLOOKUP(B1090,'[2]Classi allarmi RMT-STIG_rev4'!$C:$C,1,0)</f>
        <v>ALR_GUASTO_CRI-Allarme guasto CRI</v>
      </c>
      <c r="D1090" t="str">
        <f>VLOOKUP(B1090,'EXPORT IRIS PROD 13-11-2024'!A:A,1,0)</f>
        <v>ALR_GUASTO_CRI-Allarme guasto CRI</v>
      </c>
      <c r="E1090" t="str">
        <f>VLOOKUP(H1090,'EXPORT IRIS PROD 13-11-2024'!F:F,1,0)</f>
        <v>ALR_GUASTO_CRI</v>
      </c>
      <c r="F1090" t="str">
        <f>VLOOKUP(I1090,'EXPORT IRIS PROD 13-11-2024'!D:D,1,0)</f>
        <v>Allarme guasto CRI</v>
      </c>
      <c r="G1090" s="25" t="s">
        <v>105</v>
      </c>
      <c r="H1090" s="26" t="s">
        <v>387</v>
      </c>
      <c r="I1090" s="26" t="s">
        <v>389</v>
      </c>
      <c r="J1090" s="27" t="s">
        <v>43</v>
      </c>
      <c r="K1090" s="27" t="s">
        <v>1347</v>
      </c>
      <c r="L1090" s="28" t="s">
        <v>31</v>
      </c>
      <c r="M1090" s="71" t="s">
        <v>32</v>
      </c>
      <c r="N1090" s="30">
        <v>3</v>
      </c>
      <c r="O1090" s="72" t="s">
        <v>33</v>
      </c>
      <c r="P1090" s="30" t="s">
        <v>34</v>
      </c>
      <c r="Q1090" s="30" t="s">
        <v>31</v>
      </c>
      <c r="R1090" s="94" t="s">
        <v>2053</v>
      </c>
    </row>
    <row r="1091" spans="1:18" x14ac:dyDescent="0.25">
      <c r="A1091" t="str">
        <f t="shared" si="35"/>
        <v>Impianto elettrico_UPS_ALR_UPS_ATTIVO-Allarme UPS Attivo</v>
      </c>
      <c r="B1091" t="str">
        <f t="shared" si="34"/>
        <v>ALR_UPS_ATTIVO-Allarme UPS Attivo</v>
      </c>
      <c r="C1091" t="e">
        <f>VLOOKUP(B1091,'[2]Classi allarmi RMT-STIG_rev4'!$C:$C,1,0)</f>
        <v>#N/A</v>
      </c>
      <c r="D1091" t="str">
        <f>VLOOKUP(B1091,'EXPORT IRIS PROD 13-11-2024'!A:A,1,0)</f>
        <v>ALR_UPS_ATTIVO-Allarme UPS Attivo</v>
      </c>
      <c r="E1091" t="str">
        <f>VLOOKUP(H1091,'EXPORT IRIS PROD 13-11-2024'!F:F,1,0)</f>
        <v>ALR_UPS_ATTIVO</v>
      </c>
      <c r="F1091" t="str">
        <f>VLOOKUP(I1091,'EXPORT IRIS PROD 13-11-2024'!D:D,1,0)</f>
        <v>Allarme UPS Attivo</v>
      </c>
      <c r="G1091" s="25" t="s">
        <v>53</v>
      </c>
      <c r="H1091" s="26" t="s">
        <v>1966</v>
      </c>
      <c r="I1091" s="26" t="s">
        <v>1967</v>
      </c>
      <c r="J1091" s="27" t="s">
        <v>1106</v>
      </c>
      <c r="K1091" s="27" t="s">
        <v>104</v>
      </c>
      <c r="L1091" s="28" t="s">
        <v>21</v>
      </c>
      <c r="M1091" s="71" t="s">
        <v>22</v>
      </c>
      <c r="N1091" s="30" t="s">
        <v>23</v>
      </c>
      <c r="O1091" s="72" t="s">
        <v>24</v>
      </c>
      <c r="P1091" s="30" t="s">
        <v>25</v>
      </c>
      <c r="Q1091" s="30" t="s">
        <v>21</v>
      </c>
      <c r="R1091" s="94" t="s">
        <v>2053</v>
      </c>
    </row>
    <row r="1092" spans="1:18" x14ac:dyDescent="0.25">
      <c r="A1092" t="str">
        <f t="shared" si="35"/>
        <v>Impianto Rilevazione Incendio_Centralina antincendio_ALR_AVARIA_CENTRALINA_2_ANTINCENDIO-Allarme avaria centralina 2 incendio</v>
      </c>
      <c r="B1092" t="str">
        <f t="shared" si="34"/>
        <v>ALR_AVARIA_CENTRALINA_2_ANTINCENDIO-Allarme avaria centralina 2 incendio</v>
      </c>
      <c r="C1092" t="e">
        <f>VLOOKUP(B1092,'[2]Classi allarmi RMT-STIG_rev4'!$C:$C,1,0)</f>
        <v>#N/A</v>
      </c>
      <c r="D1092" t="str">
        <f>VLOOKUP(B1092,'EXPORT IRIS PROD 13-11-2024'!A:A,1,0)</f>
        <v>ALR_AVARIA_CENTRALINA_2_ANTINCENDIO-Allarme avaria centralina 2 incendio</v>
      </c>
      <c r="E1092" t="str">
        <f>VLOOKUP(H1092,'EXPORT IRIS PROD 13-11-2024'!F:F,1,0)</f>
        <v>ALR_AVARIA_CENTRALINA_2_ANTINCENDIO</v>
      </c>
      <c r="F1092" t="str">
        <f>VLOOKUP(I1092,'EXPORT IRIS PROD 13-11-2024'!D:D,1,0)</f>
        <v>Allarme avaria centralina 2 incendio</v>
      </c>
      <c r="G1092" s="78" t="s">
        <v>105</v>
      </c>
      <c r="H1092" s="26" t="s">
        <v>1970</v>
      </c>
      <c r="I1092" s="26" t="s">
        <v>1971</v>
      </c>
      <c r="J1092" s="27" t="s">
        <v>43</v>
      </c>
      <c r="K1092" s="27" t="s">
        <v>130</v>
      </c>
      <c r="L1092" s="61" t="s">
        <v>31</v>
      </c>
      <c r="M1092" s="71" t="s">
        <v>32</v>
      </c>
      <c r="N1092" s="30">
        <v>3</v>
      </c>
      <c r="O1092" s="72" t="s">
        <v>33</v>
      </c>
      <c r="P1092" s="30" t="s">
        <v>34</v>
      </c>
      <c r="Q1092" s="30" t="s">
        <v>31</v>
      </c>
      <c r="R1092" s="94" t="s">
        <v>2053</v>
      </c>
    </row>
    <row r="1093" spans="1:18" x14ac:dyDescent="0.25">
      <c r="A1093" t="str">
        <f t="shared" si="35"/>
        <v>Impianto Rilevazione Incendio_Centralina rilevazione incendio_ALR_GUASTO_CRI_MARCIA-Allarme guasto CRI marcia</v>
      </c>
      <c r="B1093" t="str">
        <f t="shared" si="34"/>
        <v>ALR_GUASTO_CRI_MARCIA-Allarme guasto CRI marcia</v>
      </c>
      <c r="C1093" t="e">
        <f>VLOOKUP(B1093,'[2]Classi allarmi RMT-STIG_rev4'!$C:$C,1,0)</f>
        <v>#N/A</v>
      </c>
      <c r="D1093" t="str">
        <f>VLOOKUP(B1093,'EXPORT IRIS PROD 13-11-2024'!A:A,1,0)</f>
        <v>ALR_GUASTO_CRI_MARCIA-Allarme guasto CRI marcia</v>
      </c>
      <c r="E1093" t="str">
        <f>VLOOKUP(H1093,'EXPORT IRIS PROD 13-11-2024'!F:F,1,0)</f>
        <v>ALR_GUASTO_CRI_MARCIA</v>
      </c>
      <c r="F1093" t="str">
        <f>VLOOKUP(I1093,'EXPORT IRIS PROD 13-11-2024'!D:D,1,0)</f>
        <v>Allarme guasto CRI marcia</v>
      </c>
      <c r="G1093" s="78" t="s">
        <v>105</v>
      </c>
      <c r="H1093" s="26" t="s">
        <v>1972</v>
      </c>
      <c r="I1093" s="26" t="s">
        <v>1973</v>
      </c>
      <c r="J1093" s="27" t="s">
        <v>43</v>
      </c>
      <c r="K1093" s="27" t="s">
        <v>108</v>
      </c>
      <c r="L1093" s="61" t="s">
        <v>31</v>
      </c>
      <c r="M1093" s="71" t="s">
        <v>32</v>
      </c>
      <c r="N1093" s="30">
        <v>3</v>
      </c>
      <c r="O1093" s="72" t="s">
        <v>33</v>
      </c>
      <c r="P1093" s="30" t="s">
        <v>34</v>
      </c>
      <c r="Q1093" s="30" t="s">
        <v>31</v>
      </c>
      <c r="R1093" s="94" t="s">
        <v>2053</v>
      </c>
    </row>
    <row r="1094" spans="1:18" x14ac:dyDescent="0.25">
      <c r="A1094" t="str">
        <f t="shared" si="35"/>
        <v>Impianto Rilevazione Incendio_Centralina rilevazione incendio_ALR_GUASTO_CRI_SORPASSO-Allarme guasto CRI sorpasso</v>
      </c>
      <c r="B1094" t="str">
        <f t="shared" si="34"/>
        <v>ALR_GUASTO_CRI_SORPASSO-Allarme guasto CRI sorpasso</v>
      </c>
      <c r="C1094" t="e">
        <f>VLOOKUP(B1094,'[2]Classi allarmi RMT-STIG_rev4'!$C:$C,1,0)</f>
        <v>#N/A</v>
      </c>
      <c r="D1094" t="str">
        <f>VLOOKUP(B1094,'EXPORT IRIS PROD 13-11-2024'!A:A,1,0)</f>
        <v>ALR_GUASTO_CRI_SORPASSO-Allarme guasto CRI sorpasso</v>
      </c>
      <c r="E1094" t="str">
        <f>VLOOKUP(H1094,'EXPORT IRIS PROD 13-11-2024'!F:F,1,0)</f>
        <v>ALR_GUASTO_CRI_SORPASSO</v>
      </c>
      <c r="F1094" t="str">
        <f>VLOOKUP(I1094,'EXPORT IRIS PROD 13-11-2024'!D:D,1,0)</f>
        <v>Allarme guasto CRI sorpasso</v>
      </c>
      <c r="G1094" s="78" t="s">
        <v>105</v>
      </c>
      <c r="H1094" s="26" t="s">
        <v>1974</v>
      </c>
      <c r="I1094" s="26" t="s">
        <v>1975</v>
      </c>
      <c r="J1094" s="27" t="s">
        <v>43</v>
      </c>
      <c r="K1094" s="27" t="s">
        <v>108</v>
      </c>
      <c r="L1094" s="61" t="s">
        <v>31</v>
      </c>
      <c r="M1094" s="71" t="s">
        <v>32</v>
      </c>
      <c r="N1094" s="30">
        <v>3</v>
      </c>
      <c r="O1094" s="72" t="s">
        <v>33</v>
      </c>
      <c r="P1094" s="30" t="s">
        <v>34</v>
      </c>
      <c r="Q1094" s="30" t="s">
        <v>31</v>
      </c>
      <c r="R1094" s="94" t="s">
        <v>2053</v>
      </c>
    </row>
    <row r="1095" spans="1:18" x14ac:dyDescent="0.25">
      <c r="A1095" t="str">
        <f t="shared" si="35"/>
        <v>Impianto elettrico_Multimetro/SEPAM_ALR_TRIP_PROTEZIONE_I1-Allarme trip Protezione I1</v>
      </c>
      <c r="B1095" t="str">
        <f t="shared" si="34"/>
        <v>ALR_TRIP_PROTEZIONE_I1-Allarme trip Protezione I1</v>
      </c>
      <c r="C1095" t="e">
        <f>VLOOKUP(B1095,'[2]Classi allarmi RMT-STIG_rev4'!$C:$C,1,0)</f>
        <v>#N/A</v>
      </c>
      <c r="D1095" t="str">
        <f>VLOOKUP(B1095,'EXPORT IRIS PROD 13-11-2024'!A:A,1,0)</f>
        <v>ALR_TRIP_PROTEZIONE_I1-Allarme trip Protezione I1</v>
      </c>
      <c r="E1095" t="str">
        <f>VLOOKUP(H1095,'EXPORT IRIS PROD 13-11-2024'!F:F,1,0)</f>
        <v>ALR_TRIP_PROTEZIONE_I1</v>
      </c>
      <c r="F1095" t="str">
        <f>VLOOKUP(I1095,'EXPORT IRIS PROD 13-11-2024'!D:D,1,0)</f>
        <v>Allarme trip Protezione I1</v>
      </c>
      <c r="G1095" s="25" t="s">
        <v>53</v>
      </c>
      <c r="H1095" s="26" t="s">
        <v>1979</v>
      </c>
      <c r="I1095" s="26" t="s">
        <v>1980</v>
      </c>
      <c r="J1095" s="27" t="s">
        <v>1106</v>
      </c>
      <c r="K1095" s="27" t="s">
        <v>1981</v>
      </c>
      <c r="L1095" s="28" t="s">
        <v>21</v>
      </c>
      <c r="M1095" s="71" t="s">
        <v>22</v>
      </c>
      <c r="N1095" s="30" t="s">
        <v>23</v>
      </c>
      <c r="O1095" s="72" t="s">
        <v>24</v>
      </c>
      <c r="P1095" s="30" t="s">
        <v>25</v>
      </c>
      <c r="Q1095" s="30" t="s">
        <v>21</v>
      </c>
      <c r="R1095" s="94" t="s">
        <v>2053</v>
      </c>
    </row>
    <row r="1096" spans="1:18" x14ac:dyDescent="0.25">
      <c r="A1096" t="str">
        <f t="shared" si="35"/>
        <v>Impianto elettrico_Multimetro/SEPAM_ALR_TRIP_PROTEZIONE_I2-Allarme trip Protezione I2</v>
      </c>
      <c r="B1096" t="str">
        <f t="shared" si="34"/>
        <v>ALR_TRIP_PROTEZIONE_I2-Allarme trip Protezione I2</v>
      </c>
      <c r="C1096" t="e">
        <f>VLOOKUP(B1096,'[2]Classi allarmi RMT-STIG_rev4'!$C:$C,1,0)</f>
        <v>#N/A</v>
      </c>
      <c r="D1096" t="str">
        <f>VLOOKUP(B1096,'EXPORT IRIS PROD 13-11-2024'!A:A,1,0)</f>
        <v>ALR_TRIP_PROTEZIONE_I2-Allarme trip Protezione I2</v>
      </c>
      <c r="E1096" t="str">
        <f>VLOOKUP(H1096,'EXPORT IRIS PROD 13-11-2024'!F:F,1,0)</f>
        <v>ALR_TRIP_PROTEZIONE_I2</v>
      </c>
      <c r="F1096" t="str">
        <f>VLOOKUP(I1096,'EXPORT IRIS PROD 13-11-2024'!D:D,1,0)</f>
        <v>Allarme trip Protezione I2</v>
      </c>
      <c r="G1096" s="25" t="s">
        <v>53</v>
      </c>
      <c r="H1096" s="26" t="s">
        <v>1982</v>
      </c>
      <c r="I1096" s="26" t="s">
        <v>1983</v>
      </c>
      <c r="J1096" s="27" t="s">
        <v>1106</v>
      </c>
      <c r="K1096" s="27" t="s">
        <v>1981</v>
      </c>
      <c r="L1096" s="28" t="s">
        <v>21</v>
      </c>
      <c r="M1096" s="71" t="s">
        <v>22</v>
      </c>
      <c r="N1096" s="30" t="s">
        <v>23</v>
      </c>
      <c r="O1096" s="72" t="s">
        <v>24</v>
      </c>
      <c r="P1096" s="30" t="s">
        <v>25</v>
      </c>
      <c r="Q1096" s="30" t="s">
        <v>21</v>
      </c>
      <c r="R1096" s="94" t="s">
        <v>2053</v>
      </c>
    </row>
    <row r="1097" spans="1:18" x14ac:dyDescent="0.25">
      <c r="A1097" t="str">
        <f t="shared" si="35"/>
        <v>Impianto elettrico_Multimetro/SEPAM_ALR_TRIP_PROTEZIONE_I3-Allarme trip Protezione I3</v>
      </c>
      <c r="B1097" t="str">
        <f t="shared" si="34"/>
        <v>ALR_TRIP_PROTEZIONE_I3-Allarme trip Protezione I3</v>
      </c>
      <c r="C1097" t="e">
        <f>VLOOKUP(B1097,'[2]Classi allarmi RMT-STIG_rev4'!$C:$C,1,0)</f>
        <v>#N/A</v>
      </c>
      <c r="D1097" t="str">
        <f>VLOOKUP(B1097,'EXPORT IRIS PROD 13-11-2024'!A:A,1,0)</f>
        <v>ALR_TRIP_PROTEZIONE_I3-Allarme trip Protezione I3</v>
      </c>
      <c r="E1097" t="str">
        <f>VLOOKUP(H1097,'EXPORT IRIS PROD 13-11-2024'!F:F,1,0)</f>
        <v>ALR_TRIP_PROTEZIONE_I3</v>
      </c>
      <c r="F1097" t="str">
        <f>VLOOKUP(I1097,'EXPORT IRIS PROD 13-11-2024'!D:D,1,0)</f>
        <v>Allarme trip Protezione I3</v>
      </c>
      <c r="G1097" s="25" t="s">
        <v>53</v>
      </c>
      <c r="H1097" s="26" t="s">
        <v>1984</v>
      </c>
      <c r="I1097" s="26" t="s">
        <v>1985</v>
      </c>
      <c r="J1097" s="27" t="s">
        <v>1106</v>
      </c>
      <c r="K1097" s="27" t="s">
        <v>1981</v>
      </c>
      <c r="L1097" s="28" t="s">
        <v>21</v>
      </c>
      <c r="M1097" s="71" t="s">
        <v>22</v>
      </c>
      <c r="N1097" s="30" t="s">
        <v>23</v>
      </c>
      <c r="O1097" s="72" t="s">
        <v>24</v>
      </c>
      <c r="P1097" s="30" t="s">
        <v>25</v>
      </c>
      <c r="Q1097" s="30" t="s">
        <v>21</v>
      </c>
      <c r="R1097" s="94" t="s">
        <v>2053</v>
      </c>
    </row>
    <row r="1098" spans="1:18" x14ac:dyDescent="0.25">
      <c r="A1098" t="str">
        <f t="shared" si="35"/>
        <v>Impianto Rilevazione Incendio_Centralina ril. Incendio_ALR_GUASTO_LINEA-Allarme guasto linea</v>
      </c>
      <c r="B1098" t="str">
        <f t="shared" si="34"/>
        <v>ALR_GUASTO_LINEA-Allarme guasto linea</v>
      </c>
      <c r="C1098" t="str">
        <f>VLOOKUP(B1098,'[2]Classi allarmi RMT-STIG_rev4'!$C:$C,1,0)</f>
        <v>ALR_GUASTO_LINEA-Allarme guasto linea</v>
      </c>
      <c r="D1098" t="str">
        <f>VLOOKUP(B1098,'EXPORT IRIS PROD 13-11-2024'!A:A,1,0)</f>
        <v>ALR_GUASTO_LINEA-Allarme guasto linea</v>
      </c>
      <c r="E1098" t="str">
        <f>VLOOKUP(H1098,'EXPORT IRIS PROD 13-11-2024'!F:F,1,0)</f>
        <v>ALR_GUASTO_LINEA</v>
      </c>
      <c r="F1098" t="str">
        <f>VLOOKUP(I1098,'EXPORT IRIS PROD 13-11-2024'!D:D,1,0)</f>
        <v>Allarme guasto linea</v>
      </c>
      <c r="G1098" s="25" t="s">
        <v>105</v>
      </c>
      <c r="H1098" s="26" t="s">
        <v>400</v>
      </c>
      <c r="I1098" s="26" t="s">
        <v>401</v>
      </c>
      <c r="J1098" s="27" t="s">
        <v>43</v>
      </c>
      <c r="K1098" s="27" t="s">
        <v>1986</v>
      </c>
      <c r="L1098" s="28" t="s">
        <v>31</v>
      </c>
      <c r="M1098" s="71" t="s">
        <v>32</v>
      </c>
      <c r="N1098" s="30">
        <v>3</v>
      </c>
      <c r="O1098" s="72" t="s">
        <v>33</v>
      </c>
      <c r="P1098" s="30" t="s">
        <v>34</v>
      </c>
      <c r="Q1098" s="30" t="s">
        <v>31</v>
      </c>
      <c r="R1098" s="94" t="s">
        <v>2053</v>
      </c>
    </row>
    <row r="1099" spans="1:18" x14ac:dyDescent="0.25">
      <c r="A1099" t="str">
        <f t="shared" si="35"/>
        <v>Impianto elettrico_Gruppo elettrogeno_ALR_TEMPERATURA_BASSA_DA_QUADRO-Allarme temperatura bassa da Quadro</v>
      </c>
      <c r="B1099" t="str">
        <f t="shared" ref="B1099:B1117" si="36">CONCATENATE(H1099,"-",I1099)</f>
        <v>ALR_TEMPERATURA_BASSA_DA_QUADRO-Allarme temperatura bassa da Quadro</v>
      </c>
      <c r="C1099" t="e">
        <f>VLOOKUP(B1099,'[2]Classi allarmi RMT-STIG_rev4'!$C:$C,1,0)</f>
        <v>#N/A</v>
      </c>
      <c r="D1099" t="str">
        <f>VLOOKUP(B1099,'EXPORT IRIS PROD 13-11-2024'!A:A,1,0)</f>
        <v>ALR_TEMPERATURA_BASSA_DA_QUADRO-Allarme temperatura bassa da Quadro</v>
      </c>
      <c r="E1099" t="str">
        <f>VLOOKUP(H1099,'EXPORT IRIS PROD 13-11-2024'!F:F,1,0)</f>
        <v>ALR_TEMPERATURA_BASSA_DA_QUADRO</v>
      </c>
      <c r="F1099" t="str">
        <f>VLOOKUP(I1099,'EXPORT IRIS PROD 13-11-2024'!D:D,1,0)</f>
        <v>Allarme temperatura bassa da Quadro</v>
      </c>
      <c r="G1099" s="25" t="s">
        <v>53</v>
      </c>
      <c r="H1099" s="26" t="s">
        <v>1987</v>
      </c>
      <c r="I1099" s="26" t="s">
        <v>1988</v>
      </c>
      <c r="J1099" s="27" t="s">
        <v>1106</v>
      </c>
      <c r="K1099" s="27" t="s">
        <v>57</v>
      </c>
      <c r="L1099" s="28" t="s">
        <v>21</v>
      </c>
      <c r="M1099" s="71" t="s">
        <v>22</v>
      </c>
      <c r="N1099" s="30" t="s">
        <v>23</v>
      </c>
      <c r="O1099" s="72" t="s">
        <v>24</v>
      </c>
      <c r="P1099" s="30" t="s">
        <v>25</v>
      </c>
      <c r="Q1099" s="30" t="s">
        <v>21</v>
      </c>
      <c r="R1099" s="94" t="s">
        <v>2053</v>
      </c>
    </row>
    <row r="1100" spans="1:18" x14ac:dyDescent="0.25">
      <c r="A1100" t="str">
        <f t="shared" si="35"/>
        <v>Impianto antincendio _Disoleatore/pompa/motopompa/elettropompa/valvola_ALR_PRESENZA_OLIO-Allarme presenza olio</v>
      </c>
      <c r="B1100" t="str">
        <f t="shared" si="36"/>
        <v>ALR_PRESENZA_OLIO-Allarme presenza olio</v>
      </c>
      <c r="C1100" t="e">
        <f>VLOOKUP(B1100,'[2]Classi allarmi RMT-STIG_rev4'!$C:$C,1,0)</f>
        <v>#N/A</v>
      </c>
      <c r="D1100" t="str">
        <f>VLOOKUP(B1100,'EXPORT IRIS PROD 13-11-2024'!A:A,1,0)</f>
        <v>ALR_PRESENZA_OLIO-Allarme presenza olio</v>
      </c>
      <c r="E1100" t="str">
        <f>VLOOKUP(H1100,'EXPORT IRIS PROD 13-11-2024'!F:F,1,0)</f>
        <v>ALR_PRESENZA_OLIO</v>
      </c>
      <c r="F1100" t="str">
        <f>VLOOKUP(I1100,'EXPORT IRIS PROD 13-11-2024'!D:D,1,0)</f>
        <v>Allarme presenza olio</v>
      </c>
      <c r="G1100" s="25" t="s">
        <v>35</v>
      </c>
      <c r="H1100" s="26" t="s">
        <v>2056</v>
      </c>
      <c r="I1100" s="26" t="s">
        <v>2057</v>
      </c>
      <c r="J1100" s="27" t="s">
        <v>2058</v>
      </c>
      <c r="K1100" s="27" t="s">
        <v>2059</v>
      </c>
      <c r="L1100" s="88" t="s">
        <v>21</v>
      </c>
      <c r="M1100" s="89" t="s">
        <v>22</v>
      </c>
      <c r="N1100" s="90" t="s">
        <v>23</v>
      </c>
      <c r="O1100" s="90" t="s">
        <v>24</v>
      </c>
      <c r="P1100" s="90" t="s">
        <v>25</v>
      </c>
      <c r="Q1100" s="90" t="s">
        <v>21</v>
      </c>
      <c r="R1100" s="94" t="s">
        <v>2060</v>
      </c>
    </row>
    <row r="1101" spans="1:18" x14ac:dyDescent="0.25">
      <c r="A1101" t="str">
        <f t="shared" si="35"/>
        <v>impianto ventilazione_Paramtetri ventilazione generale_MISURA_FUORI_SOGLIA_CO_TRAFFICO_BLOCCATO_SUD-Misura fuori soglia CO traffico bloccato Sud</v>
      </c>
      <c r="B1101" t="str">
        <f t="shared" si="36"/>
        <v>MISURA_FUORI_SOGLIA_CO_TRAFFICO_BLOCCATO_SUD-Misura fuori soglia CO traffico bloccato Sud</v>
      </c>
      <c r="C1101" t="e">
        <f>VLOOKUP(B1101,'[2]Classi allarmi RMT-STIG_rev4'!$C:$C,1,0)</f>
        <v>#N/A</v>
      </c>
      <c r="D1101" t="str">
        <f>VLOOKUP(B1101,'EXPORT IRIS PROD 13-11-2024'!A:A,1,0)</f>
        <v>MISURA_FUORI_SOGLIA_CO_TRAFFICO_BLOCCATO_SUD-Misura fuori soglia CO traffico bloccato Sud</v>
      </c>
      <c r="E1101" t="str">
        <f>VLOOKUP(H1101,'EXPORT IRIS PROD 13-11-2024'!F:F,1,0)</f>
        <v>MISURA_FUORI_SOGLIA_CO_TRAFFICO_BLOCCATO_SUD</v>
      </c>
      <c r="F1101" t="str">
        <f>VLOOKUP(I1101,'EXPORT IRIS PROD 13-11-2024'!D:D,1,0)</f>
        <v>Misura fuori soglia CO traffico bloccato Sud</v>
      </c>
      <c r="G1101" s="25" t="s">
        <v>878</v>
      </c>
      <c r="H1101" s="26" t="s">
        <v>2061</v>
      </c>
      <c r="I1101" s="26" t="s">
        <v>2062</v>
      </c>
      <c r="J1101" s="27" t="s">
        <v>2063</v>
      </c>
      <c r="K1101" s="27" t="s">
        <v>2064</v>
      </c>
      <c r="L1101" s="88" t="s">
        <v>21</v>
      </c>
      <c r="M1101" s="89" t="s">
        <v>22</v>
      </c>
      <c r="N1101" s="90" t="s">
        <v>23</v>
      </c>
      <c r="O1101" s="90" t="s">
        <v>24</v>
      </c>
      <c r="P1101" s="90" t="s">
        <v>25</v>
      </c>
      <c r="Q1101" s="90" t="s">
        <v>21</v>
      </c>
      <c r="R1101" s="94" t="s">
        <v>2060</v>
      </c>
    </row>
    <row r="1102" spans="1:18" x14ac:dyDescent="0.25">
      <c r="A1102" t="str">
        <f t="shared" si="35"/>
        <v>impianto ventilazione_Paramtetri ventilazione generale_MISURA_FUORI_SOGLIA_CO_TRAFFICO_CONGESTIONATO_SUD-Misura fuori soglia CO traffico congestionato Sud</v>
      </c>
      <c r="B1102" t="str">
        <f t="shared" si="36"/>
        <v>MISURA_FUORI_SOGLIA_CO_TRAFFICO_CONGESTIONATO_SUD-Misura fuori soglia CO traffico congestionato Sud</v>
      </c>
      <c r="C1102" t="e">
        <f>VLOOKUP(B1102,'[2]Classi allarmi RMT-STIG_rev4'!$C:$C,1,0)</f>
        <v>#N/A</v>
      </c>
      <c r="D1102" t="str">
        <f>VLOOKUP(B1102,'EXPORT IRIS PROD 13-11-2024'!A:A,1,0)</f>
        <v>MISURA_FUORI_SOGLIA_CO_TRAFFICO_CONGESTIONATO_SUD-Misura fuori soglia CO traffico congestionato Sud</v>
      </c>
      <c r="E1102" t="str">
        <f>VLOOKUP(H1102,'EXPORT IRIS PROD 13-11-2024'!F:F,1,0)</f>
        <v>MISURA_FUORI_SOGLIA_CO_TRAFFICO_CONGESTIONATO_SUD</v>
      </c>
      <c r="F1102" t="str">
        <f>VLOOKUP(I1102,'EXPORT IRIS PROD 13-11-2024'!D:D,1,0)</f>
        <v>Misura fuori soglia CO traffico congestionato Sud</v>
      </c>
      <c r="G1102" s="25" t="s">
        <v>878</v>
      </c>
      <c r="H1102" s="26" t="s">
        <v>2065</v>
      </c>
      <c r="I1102" s="26" t="s">
        <v>2066</v>
      </c>
      <c r="J1102" s="27" t="s">
        <v>2063</v>
      </c>
      <c r="K1102" s="27" t="s">
        <v>2064</v>
      </c>
      <c r="L1102" s="88" t="s">
        <v>21</v>
      </c>
      <c r="M1102" s="89" t="s">
        <v>22</v>
      </c>
      <c r="N1102" s="90" t="s">
        <v>23</v>
      </c>
      <c r="O1102" s="90" t="s">
        <v>24</v>
      </c>
      <c r="P1102" s="90" t="s">
        <v>25</v>
      </c>
      <c r="Q1102" s="90" t="s">
        <v>21</v>
      </c>
      <c r="R1102" s="94" t="s">
        <v>2060</v>
      </c>
    </row>
    <row r="1103" spans="1:18" x14ac:dyDescent="0.25">
      <c r="A1103" t="str">
        <f t="shared" si="35"/>
        <v>impianto ventilazione_Paramtetri ventilazione generale_MISURA_FUORI_SOGLIA_CO_TRAFFICO_FLUIDO_SUD-Misura fuori soglia CO traffico fluido Sud</v>
      </c>
      <c r="B1103" t="str">
        <f t="shared" si="36"/>
        <v>MISURA_FUORI_SOGLIA_CO_TRAFFICO_FLUIDO_SUD-Misura fuori soglia CO traffico fluido Sud</v>
      </c>
      <c r="C1103" t="e">
        <f>VLOOKUP(B1103,'[2]Classi allarmi RMT-STIG_rev4'!$C:$C,1,0)</f>
        <v>#N/A</v>
      </c>
      <c r="D1103" t="str">
        <f>VLOOKUP(B1103,'EXPORT IRIS PROD 13-11-2024'!A:A,1,0)</f>
        <v>MISURA_FUORI_SOGLIA_CO_TRAFFICO_FLUIDO_SUD-Misura fuori soglia CO traffico fluido Sud</v>
      </c>
      <c r="E1103" t="str">
        <f>VLOOKUP(H1103,'EXPORT IRIS PROD 13-11-2024'!F:F,1,0)</f>
        <v>MISURA_FUORI_SOGLIA_CO_TRAFFICO_FLUIDO_SUD</v>
      </c>
      <c r="F1103" t="str">
        <f>VLOOKUP(I1103,'EXPORT IRIS PROD 13-11-2024'!D:D,1,0)</f>
        <v>Misura fuori soglia CO traffico fluido Sud</v>
      </c>
      <c r="G1103" s="25" t="s">
        <v>878</v>
      </c>
      <c r="H1103" s="26" t="s">
        <v>2067</v>
      </c>
      <c r="I1103" s="26" t="s">
        <v>2068</v>
      </c>
      <c r="J1103" s="27" t="s">
        <v>2063</v>
      </c>
      <c r="K1103" s="27" t="s">
        <v>2064</v>
      </c>
      <c r="L1103" s="88" t="s">
        <v>21</v>
      </c>
      <c r="M1103" s="89" t="s">
        <v>22</v>
      </c>
      <c r="N1103" s="90" t="s">
        <v>23</v>
      </c>
      <c r="O1103" s="90" t="s">
        <v>24</v>
      </c>
      <c r="P1103" s="90" t="s">
        <v>25</v>
      </c>
      <c r="Q1103" s="90" t="s">
        <v>21</v>
      </c>
      <c r="R1103" s="94" t="s">
        <v>2060</v>
      </c>
    </row>
    <row r="1104" spans="1:18" x14ac:dyDescent="0.25">
      <c r="A1104" t="str">
        <f t="shared" si="35"/>
        <v>impianto ventilazione_Paramtetri ventilazione generale_MISURA_FUORI_SOGLIA_OP_TRAFFICO_BLOCCATO_SUD-Misura fuori soglia OP traffico bloccato Sud</v>
      </c>
      <c r="B1104" t="str">
        <f t="shared" si="36"/>
        <v>MISURA_FUORI_SOGLIA_OP_TRAFFICO_BLOCCATO_SUD-Misura fuori soglia OP traffico bloccato Sud</v>
      </c>
      <c r="C1104" t="e">
        <f>VLOOKUP(B1104,'[2]Classi allarmi RMT-STIG_rev4'!$C:$C,1,0)</f>
        <v>#N/A</v>
      </c>
      <c r="D1104" t="str">
        <f>VLOOKUP(B1104,'EXPORT IRIS PROD 13-11-2024'!A:A,1,0)</f>
        <v>MISURA_FUORI_SOGLIA_OP_TRAFFICO_BLOCCATO_SUD-Misura fuori soglia OP traffico bloccato Sud</v>
      </c>
      <c r="E1104" t="str">
        <f>VLOOKUP(H1104,'EXPORT IRIS PROD 13-11-2024'!F:F,1,0)</f>
        <v>MISURA_FUORI_SOGLIA_OP_TRAFFICO_BLOCCATO_SUD</v>
      </c>
      <c r="F1104" t="str">
        <f>VLOOKUP(I1104,'EXPORT IRIS PROD 13-11-2024'!D:D,1,0)</f>
        <v>Misura fuori soglia OP traffico bloccato Sud</v>
      </c>
      <c r="G1104" s="25" t="s">
        <v>878</v>
      </c>
      <c r="H1104" s="26" t="s">
        <v>2069</v>
      </c>
      <c r="I1104" s="26" t="s">
        <v>2070</v>
      </c>
      <c r="J1104" s="27" t="s">
        <v>2063</v>
      </c>
      <c r="K1104" s="27" t="s">
        <v>2064</v>
      </c>
      <c r="L1104" s="88" t="s">
        <v>21</v>
      </c>
      <c r="M1104" s="89" t="s">
        <v>22</v>
      </c>
      <c r="N1104" s="90" t="s">
        <v>23</v>
      </c>
      <c r="O1104" s="90" t="s">
        <v>24</v>
      </c>
      <c r="P1104" s="90" t="s">
        <v>25</v>
      </c>
      <c r="Q1104" s="90" t="s">
        <v>21</v>
      </c>
      <c r="R1104" s="94" t="s">
        <v>2060</v>
      </c>
    </row>
    <row r="1105" spans="1:19" x14ac:dyDescent="0.25">
      <c r="A1105" t="str">
        <f t="shared" si="35"/>
        <v>impianto ventilazione_Paramtetri ventilazione generale_MISURA_FUORI_SOGLIA_OP_TRAFFICO_CONGESTIONATO_SUD-Misura fuori soglia OP traffico congestionato Sud</v>
      </c>
      <c r="B1105" t="str">
        <f t="shared" si="36"/>
        <v>MISURA_FUORI_SOGLIA_OP_TRAFFICO_CONGESTIONATO_SUD-Misura fuori soglia OP traffico congestionato Sud</v>
      </c>
      <c r="C1105" t="e">
        <f>VLOOKUP(B1105,'[2]Classi allarmi RMT-STIG_rev4'!$C:$C,1,0)</f>
        <v>#N/A</v>
      </c>
      <c r="D1105" t="str">
        <f>VLOOKUP(B1105,'EXPORT IRIS PROD 13-11-2024'!A:A,1,0)</f>
        <v>MISURA_FUORI_SOGLIA_OP_TRAFFICO_CONGESTIONATO_SUD-Misura fuori soglia OP traffico congestionato Sud</v>
      </c>
      <c r="E1105" t="str">
        <f>VLOOKUP(H1105,'EXPORT IRIS PROD 13-11-2024'!F:F,1,0)</f>
        <v>MISURA_FUORI_SOGLIA_OP_TRAFFICO_CONGESTIONATO_SUD</v>
      </c>
      <c r="F1105" t="str">
        <f>VLOOKUP(I1105,'EXPORT IRIS PROD 13-11-2024'!D:D,1,0)</f>
        <v>Misura fuori soglia OP traffico congestionato Sud</v>
      </c>
      <c r="G1105" s="25" t="s">
        <v>878</v>
      </c>
      <c r="H1105" s="26" t="s">
        <v>2071</v>
      </c>
      <c r="I1105" s="26" t="s">
        <v>2072</v>
      </c>
      <c r="J1105" s="27" t="s">
        <v>2063</v>
      </c>
      <c r="K1105" s="27" t="s">
        <v>2064</v>
      </c>
      <c r="L1105" s="88" t="s">
        <v>21</v>
      </c>
      <c r="M1105" s="89" t="s">
        <v>22</v>
      </c>
      <c r="N1105" s="90" t="s">
        <v>23</v>
      </c>
      <c r="O1105" s="90" t="s">
        <v>24</v>
      </c>
      <c r="P1105" s="90" t="s">
        <v>25</v>
      </c>
      <c r="Q1105" s="90" t="s">
        <v>21</v>
      </c>
      <c r="R1105" s="94" t="s">
        <v>2060</v>
      </c>
    </row>
    <row r="1106" spans="1:19" x14ac:dyDescent="0.25">
      <c r="A1106" t="str">
        <f t="shared" si="35"/>
        <v>impianto ventilazione_Paramtetri ventilazione generale_MISURA_FUORI_SOGLIA_OP_TRAFFICO_FLUIDO_SUD-Misura fuori soglia OP traffico fluido Sud</v>
      </c>
      <c r="B1106" t="str">
        <f t="shared" si="36"/>
        <v>MISURA_FUORI_SOGLIA_OP_TRAFFICO_FLUIDO_SUD-Misura fuori soglia OP traffico fluido Sud</v>
      </c>
      <c r="C1106" t="e">
        <f>VLOOKUP(B1106,'[2]Classi allarmi RMT-STIG_rev4'!$C:$C,1,0)</f>
        <v>#N/A</v>
      </c>
      <c r="D1106" t="str">
        <f>VLOOKUP(B1106,'EXPORT IRIS PROD 13-11-2024'!A:A,1,0)</f>
        <v>MISURA_FUORI_SOGLIA_OP_TRAFFICO_FLUIDO_SUD-Misura fuori soglia OP traffico fluido Sud</v>
      </c>
      <c r="E1106" t="str">
        <f>VLOOKUP(H1106,'EXPORT IRIS PROD 13-11-2024'!F:F,1,0)</f>
        <v>MISURA_FUORI_SOGLIA_OP_TRAFFICO_FLUIDO_SUD</v>
      </c>
      <c r="F1106" t="str">
        <f>VLOOKUP(I1106,'EXPORT IRIS PROD 13-11-2024'!D:D,1,0)</f>
        <v>Misura fuori soglia OP traffico fluido Sud</v>
      </c>
      <c r="G1106" s="25" t="s">
        <v>878</v>
      </c>
      <c r="H1106" s="26" t="s">
        <v>2073</v>
      </c>
      <c r="I1106" s="26" t="s">
        <v>2074</v>
      </c>
      <c r="J1106" s="27" t="s">
        <v>2063</v>
      </c>
      <c r="K1106" s="27" t="s">
        <v>2064</v>
      </c>
      <c r="L1106" s="88" t="s">
        <v>21</v>
      </c>
      <c r="M1106" s="89" t="s">
        <v>22</v>
      </c>
      <c r="N1106" s="90" t="s">
        <v>23</v>
      </c>
      <c r="O1106" s="90" t="s">
        <v>24</v>
      </c>
      <c r="P1106" s="90" t="s">
        <v>25</v>
      </c>
      <c r="Q1106" s="90" t="s">
        <v>21</v>
      </c>
      <c r="R1106" s="94" t="s">
        <v>2060</v>
      </c>
    </row>
    <row r="1107" spans="1:19" x14ac:dyDescent="0.25">
      <c r="A1107" t="str">
        <f t="shared" si="35"/>
        <v>impianto ventilazione_Paramtetri ventilazione generale_MISURA_FUORI_SOGLIA_CO_TRAFFICO_BLOCCATO_NORD-Misura fuori soglia CO traffico bloccato Nord</v>
      </c>
      <c r="B1107" t="str">
        <f t="shared" si="36"/>
        <v>MISURA_FUORI_SOGLIA_CO_TRAFFICO_BLOCCATO_NORD-Misura fuori soglia CO traffico bloccato Nord</v>
      </c>
      <c r="C1107" t="e">
        <f>VLOOKUP(B1107,'[2]Classi allarmi RMT-STIG_rev4'!$C:$C,1,0)</f>
        <v>#N/A</v>
      </c>
      <c r="D1107" t="str">
        <f>VLOOKUP(B1107,'EXPORT IRIS PROD 13-11-2024'!A:A,1,0)</f>
        <v>MISURA_FUORI_SOGLIA_CO_TRAFFICO_BLOCCATO_NORD-Misura fuori soglia CO traffico bloccato Nord</v>
      </c>
      <c r="E1107" t="str">
        <f>VLOOKUP(H1107,'EXPORT IRIS PROD 13-11-2024'!F:F,1,0)</f>
        <v>MISURA_FUORI_SOGLIA_CO_TRAFFICO_BLOCCATO_NORD</v>
      </c>
      <c r="F1107" t="str">
        <f>VLOOKUP(I1107,'EXPORT IRIS PROD 13-11-2024'!D:D,1,0)</f>
        <v>Misura fuori soglia CO traffico bloccato Nord</v>
      </c>
      <c r="G1107" s="25" t="s">
        <v>878</v>
      </c>
      <c r="H1107" s="26" t="s">
        <v>2075</v>
      </c>
      <c r="I1107" s="26" t="s">
        <v>2076</v>
      </c>
      <c r="J1107" s="27" t="s">
        <v>2063</v>
      </c>
      <c r="K1107" s="27" t="s">
        <v>2064</v>
      </c>
      <c r="L1107" s="88" t="s">
        <v>21</v>
      </c>
      <c r="M1107" s="89" t="s">
        <v>22</v>
      </c>
      <c r="N1107" s="90" t="s">
        <v>23</v>
      </c>
      <c r="O1107" s="90" t="s">
        <v>24</v>
      </c>
      <c r="P1107" s="90" t="s">
        <v>25</v>
      </c>
      <c r="Q1107" s="90" t="s">
        <v>21</v>
      </c>
      <c r="R1107" s="94" t="s">
        <v>2060</v>
      </c>
    </row>
    <row r="1108" spans="1:19" x14ac:dyDescent="0.25">
      <c r="A1108" t="str">
        <f t="shared" si="35"/>
        <v>impianto ventilazione_Paramtetri ventilazione generale_MISURA_FUORI_SOGLIA_CO_TRAFFICO_CONGESTIONATO_NORD-Misura fuori soglia CO traffico congestionato Nord</v>
      </c>
      <c r="B1108" t="str">
        <f t="shared" si="36"/>
        <v>MISURA_FUORI_SOGLIA_CO_TRAFFICO_CONGESTIONATO_NORD-Misura fuori soglia CO traffico congestionato Nord</v>
      </c>
      <c r="C1108" t="e">
        <f>VLOOKUP(B1108,'[2]Classi allarmi RMT-STIG_rev4'!$C:$C,1,0)</f>
        <v>#N/A</v>
      </c>
      <c r="D1108" t="str">
        <f>VLOOKUP(B1108,'EXPORT IRIS PROD 13-11-2024'!A:A,1,0)</f>
        <v>MISURA_FUORI_SOGLIA_CO_TRAFFICO_CONGESTIONATO_NORD-Misura fuori soglia CO traffico congestionato Nord</v>
      </c>
      <c r="E1108" t="str">
        <f>VLOOKUP(H1108,'EXPORT IRIS PROD 13-11-2024'!F:F,1,0)</f>
        <v>MISURA_FUORI_SOGLIA_CO_TRAFFICO_CONGESTIONATO_NORD</v>
      </c>
      <c r="F1108" t="str">
        <f>VLOOKUP(I1108,'EXPORT IRIS PROD 13-11-2024'!D:D,1,0)</f>
        <v>Misura fuori soglia CO traffico congestionato Nord</v>
      </c>
      <c r="G1108" s="25" t="s">
        <v>878</v>
      </c>
      <c r="H1108" s="26" t="s">
        <v>2077</v>
      </c>
      <c r="I1108" s="26" t="s">
        <v>2078</v>
      </c>
      <c r="J1108" s="27" t="s">
        <v>2063</v>
      </c>
      <c r="K1108" s="27" t="s">
        <v>2064</v>
      </c>
      <c r="L1108" s="88" t="s">
        <v>21</v>
      </c>
      <c r="M1108" s="89" t="s">
        <v>22</v>
      </c>
      <c r="N1108" s="90" t="s">
        <v>23</v>
      </c>
      <c r="O1108" s="90" t="s">
        <v>24</v>
      </c>
      <c r="P1108" s="90" t="s">
        <v>25</v>
      </c>
      <c r="Q1108" s="90" t="s">
        <v>21</v>
      </c>
      <c r="R1108" s="94" t="s">
        <v>2060</v>
      </c>
    </row>
    <row r="1109" spans="1:19" x14ac:dyDescent="0.25">
      <c r="A1109" t="str">
        <f t="shared" si="35"/>
        <v>impianto ventilazione_Paramtetri ventilazione generale_MISURA_FUORI_SOGLIA_CO_TRAFFICO_FLUIDO_NORD-Misura fuori soglia CO traffico fluido Nord</v>
      </c>
      <c r="B1109" t="str">
        <f t="shared" si="36"/>
        <v>MISURA_FUORI_SOGLIA_CO_TRAFFICO_FLUIDO_NORD-Misura fuori soglia CO traffico fluido Nord</v>
      </c>
      <c r="C1109" t="e">
        <f>VLOOKUP(B1109,'[2]Classi allarmi RMT-STIG_rev4'!$C:$C,1,0)</f>
        <v>#N/A</v>
      </c>
      <c r="D1109" t="str">
        <f>VLOOKUP(B1109,'EXPORT IRIS PROD 13-11-2024'!A:A,1,0)</f>
        <v>MISURA_FUORI_SOGLIA_CO_TRAFFICO_FLUIDO_NORD-Misura fuori soglia CO traffico fluido Nord</v>
      </c>
      <c r="E1109" t="str">
        <f>VLOOKUP(H1109,'EXPORT IRIS PROD 13-11-2024'!F:F,1,0)</f>
        <v>MISURA_FUORI_SOGLIA_CO_TRAFFICO_FLUIDO_NORD</v>
      </c>
      <c r="F1109" t="str">
        <f>VLOOKUP(I1109,'EXPORT IRIS PROD 13-11-2024'!D:D,1,0)</f>
        <v>Misura fuori soglia CO traffico fluido Nord</v>
      </c>
      <c r="G1109" s="25" t="s">
        <v>878</v>
      </c>
      <c r="H1109" s="26" t="s">
        <v>2079</v>
      </c>
      <c r="I1109" s="26" t="s">
        <v>2080</v>
      </c>
      <c r="J1109" s="27" t="s">
        <v>2063</v>
      </c>
      <c r="K1109" s="27" t="s">
        <v>2064</v>
      </c>
      <c r="L1109" s="88" t="s">
        <v>21</v>
      </c>
      <c r="M1109" s="89" t="s">
        <v>22</v>
      </c>
      <c r="N1109" s="90" t="s">
        <v>23</v>
      </c>
      <c r="O1109" s="90" t="s">
        <v>24</v>
      </c>
      <c r="P1109" s="90" t="s">
        <v>25</v>
      </c>
      <c r="Q1109" s="90" t="s">
        <v>21</v>
      </c>
      <c r="R1109" s="94" t="s">
        <v>2060</v>
      </c>
    </row>
    <row r="1110" spans="1:19" x14ac:dyDescent="0.25">
      <c r="A1110" t="str">
        <f t="shared" si="35"/>
        <v>impianto ventilazione_Paramtetri ventilazione generale_MISURA_FUORI_SOGLIA_OP_TRAFFICO_BLOCCATO_NORD-Misura fuori soglia OP traffico bloccato Nord</v>
      </c>
      <c r="B1110" t="str">
        <f t="shared" si="36"/>
        <v>MISURA_FUORI_SOGLIA_OP_TRAFFICO_BLOCCATO_NORD-Misura fuori soglia OP traffico bloccato Nord</v>
      </c>
      <c r="C1110" t="e">
        <f>VLOOKUP(B1110,'[2]Classi allarmi RMT-STIG_rev4'!$C:$C,1,0)</f>
        <v>#N/A</v>
      </c>
      <c r="D1110" t="str">
        <f>VLOOKUP(B1110,'EXPORT IRIS PROD 13-11-2024'!A:A,1,0)</f>
        <v>MISURA_FUORI_SOGLIA_OP_TRAFFICO_BLOCCATO_NORD-Misura fuori soglia OP traffico bloccato Nord</v>
      </c>
      <c r="E1110" t="str">
        <f>VLOOKUP(H1110,'EXPORT IRIS PROD 13-11-2024'!F:F,1,0)</f>
        <v>MISURA_FUORI_SOGLIA_OP_TRAFFICO_BLOCCATO_NORD</v>
      </c>
      <c r="F1110" t="str">
        <f>VLOOKUP(I1110,'EXPORT IRIS PROD 13-11-2024'!D:D,1,0)</f>
        <v>Misura fuori soglia OP traffico bloccato Nord</v>
      </c>
      <c r="G1110" s="25" t="s">
        <v>878</v>
      </c>
      <c r="H1110" s="26" t="s">
        <v>2081</v>
      </c>
      <c r="I1110" s="26" t="s">
        <v>2082</v>
      </c>
      <c r="J1110" s="27" t="s">
        <v>2063</v>
      </c>
      <c r="K1110" s="27" t="s">
        <v>2064</v>
      </c>
      <c r="L1110" s="88" t="s">
        <v>21</v>
      </c>
      <c r="M1110" s="89" t="s">
        <v>22</v>
      </c>
      <c r="N1110" s="90" t="s">
        <v>23</v>
      </c>
      <c r="O1110" s="90" t="s">
        <v>24</v>
      </c>
      <c r="P1110" s="90" t="s">
        <v>25</v>
      </c>
      <c r="Q1110" s="90" t="s">
        <v>21</v>
      </c>
      <c r="R1110" s="94" t="s">
        <v>2060</v>
      </c>
    </row>
    <row r="1111" spans="1:19" x14ac:dyDescent="0.25">
      <c r="A1111" t="str">
        <f t="shared" si="35"/>
        <v>impianto ventilazione_Paramtetri ventilazione generale_MISURA_FUORI_SOGLIA_OP_TRAFFICO_CONGESTIONATO_NORD-Misura fuori soglia OP traffico congestionato Nord</v>
      </c>
      <c r="B1111" t="str">
        <f t="shared" si="36"/>
        <v>MISURA_FUORI_SOGLIA_OP_TRAFFICO_CONGESTIONATO_NORD-Misura fuori soglia OP traffico congestionato Nord</v>
      </c>
      <c r="C1111" t="e">
        <f>VLOOKUP(B1111,'[2]Classi allarmi RMT-STIG_rev4'!$C:$C,1,0)</f>
        <v>#N/A</v>
      </c>
      <c r="D1111" t="str">
        <f>VLOOKUP(B1111,'EXPORT IRIS PROD 13-11-2024'!A:A,1,0)</f>
        <v>MISURA_FUORI_SOGLIA_OP_TRAFFICO_CONGESTIONATO_NORD-Misura fuori soglia OP traffico congestionato Nord</v>
      </c>
      <c r="E1111" t="str">
        <f>VLOOKUP(H1111,'EXPORT IRIS PROD 13-11-2024'!F:F,1,0)</f>
        <v>MISURA_FUORI_SOGLIA_OP_TRAFFICO_CONGESTIONATO_NORD</v>
      </c>
      <c r="F1111" t="str">
        <f>VLOOKUP(I1111,'EXPORT IRIS PROD 13-11-2024'!D:D,1,0)</f>
        <v>Misura fuori soglia OP traffico congestionato Nord</v>
      </c>
      <c r="G1111" s="25" t="s">
        <v>878</v>
      </c>
      <c r="H1111" s="26" t="s">
        <v>2083</v>
      </c>
      <c r="I1111" s="26" t="s">
        <v>2084</v>
      </c>
      <c r="J1111" s="27" t="s">
        <v>2063</v>
      </c>
      <c r="K1111" s="27" t="s">
        <v>2064</v>
      </c>
      <c r="L1111" s="88" t="s">
        <v>21</v>
      </c>
      <c r="M1111" s="89" t="s">
        <v>22</v>
      </c>
      <c r="N1111" s="90" t="s">
        <v>23</v>
      </c>
      <c r="O1111" s="90" t="s">
        <v>24</v>
      </c>
      <c r="P1111" s="90" t="s">
        <v>25</v>
      </c>
      <c r="Q1111" s="90" t="s">
        <v>21</v>
      </c>
      <c r="R1111" s="94" t="s">
        <v>2060</v>
      </c>
    </row>
    <row r="1112" spans="1:19" x14ac:dyDescent="0.25">
      <c r="A1112" t="str">
        <f t="shared" si="35"/>
        <v>impianto ventilazione_Paramtetri ventilazione generale_MISURA_FUORI_SOGLIA_OP_TRAFFICO_FLUIDO_NORD-Misura fuori soglia OP traffico fluido Nord</v>
      </c>
      <c r="B1112" t="str">
        <f t="shared" si="36"/>
        <v>MISURA_FUORI_SOGLIA_OP_TRAFFICO_FLUIDO_NORD-Misura fuori soglia OP traffico fluido Nord</v>
      </c>
      <c r="C1112" t="e">
        <f>VLOOKUP(B1112,'[2]Classi allarmi RMT-STIG_rev4'!$C:$C,1,0)</f>
        <v>#N/A</v>
      </c>
      <c r="D1112" t="str">
        <f>VLOOKUP(B1112,'EXPORT IRIS PROD 13-11-2024'!A:A,1,0)</f>
        <v>MISURA_FUORI_SOGLIA_OP_TRAFFICO_FLUIDO_NORD-Misura fuori soglia OP traffico fluido Nord</v>
      </c>
      <c r="E1112" t="str">
        <f>VLOOKUP(H1112,'EXPORT IRIS PROD 13-11-2024'!F:F,1,0)</f>
        <v>MISURA_FUORI_SOGLIA_OP_TRAFFICO_FLUIDO_NORD</v>
      </c>
      <c r="F1112" t="str">
        <f>VLOOKUP(I1112,'EXPORT IRIS PROD 13-11-2024'!D:D,1,0)</f>
        <v>Misura fuori soglia OP traffico fluido Nord</v>
      </c>
      <c r="G1112" s="25" t="s">
        <v>878</v>
      </c>
      <c r="H1112" s="26" t="s">
        <v>2085</v>
      </c>
      <c r="I1112" s="26" t="s">
        <v>2086</v>
      </c>
      <c r="J1112" s="27" t="s">
        <v>2063</v>
      </c>
      <c r="K1112" s="27" t="s">
        <v>2064</v>
      </c>
      <c r="L1112" s="88" t="s">
        <v>21</v>
      </c>
      <c r="M1112" s="89" t="s">
        <v>22</v>
      </c>
      <c r="N1112" s="90" t="s">
        <v>23</v>
      </c>
      <c r="O1112" s="90" t="s">
        <v>24</v>
      </c>
      <c r="P1112" s="90" t="s">
        <v>25</v>
      </c>
      <c r="Q1112" s="90" t="s">
        <v>21</v>
      </c>
      <c r="R1112" s="94" t="s">
        <v>2060</v>
      </c>
    </row>
    <row r="1113" spans="1:19" x14ac:dyDescent="0.25">
      <c r="A1113" t="str">
        <f t="shared" si="35"/>
        <v>impianto ventilazione_Anemometro generale_ALR_INCONGRUENZA_AN_NORD-Allarme anemometro Nord incongruente</v>
      </c>
      <c r="B1113" t="str">
        <f t="shared" si="36"/>
        <v>ALR_INCONGRUENZA_AN_NORD-Allarme anemometro Nord incongruente</v>
      </c>
      <c r="C1113" t="e">
        <f>VLOOKUP(B1113,'[2]Classi allarmi RMT-STIG_rev4'!$C:$C,1,0)</f>
        <v>#N/A</v>
      </c>
      <c r="D1113" t="str">
        <f>VLOOKUP(B1113,'EXPORT IRIS PROD 13-11-2024'!A:A,1,0)</f>
        <v>ALR_INCONGRUENZA_AN_NORD-Allarme anemometro Nord incongruente</v>
      </c>
      <c r="E1113" t="str">
        <f>VLOOKUP(H1113,'EXPORT IRIS PROD 13-11-2024'!F:F,1,0)</f>
        <v>ALR_INCONGRUENZA_AN_NORD</v>
      </c>
      <c r="F1113" t="str">
        <f>VLOOKUP(I1113,'EXPORT IRIS PROD 13-11-2024'!D:D,1,0)</f>
        <v>Allarme anemometro Nord incongruente</v>
      </c>
      <c r="G1113" s="25" t="s">
        <v>85</v>
      </c>
      <c r="H1113" s="26" t="s">
        <v>2087</v>
      </c>
      <c r="I1113" s="26" t="s">
        <v>2088</v>
      </c>
      <c r="J1113" s="27" t="s">
        <v>2063</v>
      </c>
      <c r="K1113" s="27" t="s">
        <v>2089</v>
      </c>
      <c r="L1113" s="91" t="s">
        <v>21</v>
      </c>
      <c r="M1113" s="92" t="s">
        <v>2090</v>
      </c>
      <c r="N1113" s="90" t="s">
        <v>23</v>
      </c>
      <c r="O1113" s="90" t="s">
        <v>24</v>
      </c>
      <c r="P1113" s="90" t="s">
        <v>25</v>
      </c>
      <c r="Q1113" s="90" t="s">
        <v>21</v>
      </c>
      <c r="R1113" s="94" t="s">
        <v>2060</v>
      </c>
    </row>
    <row r="1114" spans="1:19" x14ac:dyDescent="0.25">
      <c r="A1114" t="str">
        <f t="shared" si="35"/>
        <v>impianto ventilazione_Anemometro generale_ALR_INCONGRUENZA_AN_SUD-Allarme anemometro Sud incongruente</v>
      </c>
      <c r="B1114" t="str">
        <f t="shared" si="36"/>
        <v>ALR_INCONGRUENZA_AN_SUD-Allarme anemometro Sud incongruente</v>
      </c>
      <c r="C1114" t="e">
        <f>VLOOKUP(B1114,'[2]Classi allarmi RMT-STIG_rev4'!$C:$C,1,0)</f>
        <v>#N/A</v>
      </c>
      <c r="D1114" t="str">
        <f>VLOOKUP(B1114,'EXPORT IRIS PROD 13-11-2024'!A:A,1,0)</f>
        <v>ALR_INCONGRUENZA_AN_SUD-Allarme anemometro Sud incongruente</v>
      </c>
      <c r="E1114" t="str">
        <f>VLOOKUP(H1114,'EXPORT IRIS PROD 13-11-2024'!F:F,1,0)</f>
        <v>ALR_INCONGRUENZA_AN_SUD</v>
      </c>
      <c r="F1114" t="str">
        <f>VLOOKUP(I1114,'EXPORT IRIS PROD 13-11-2024'!D:D,1,0)</f>
        <v>Allarme anemometro Sud incongruente</v>
      </c>
      <c r="G1114" s="25" t="s">
        <v>85</v>
      </c>
      <c r="H1114" s="26" t="s">
        <v>2091</v>
      </c>
      <c r="I1114" s="26" t="s">
        <v>2092</v>
      </c>
      <c r="J1114" s="27" t="s">
        <v>2063</v>
      </c>
      <c r="K1114" s="27" t="s">
        <v>2089</v>
      </c>
      <c r="L1114" s="93" t="s">
        <v>21</v>
      </c>
      <c r="M1114" s="92" t="s">
        <v>2090</v>
      </c>
      <c r="N1114" s="90" t="s">
        <v>23</v>
      </c>
      <c r="O1114" s="90" t="s">
        <v>24</v>
      </c>
      <c r="P1114" s="90" t="s">
        <v>25</v>
      </c>
      <c r="Q1114" s="90" t="s">
        <v>21</v>
      </c>
      <c r="R1114" s="94" t="s">
        <v>2060</v>
      </c>
    </row>
    <row r="1115" spans="1:19" x14ac:dyDescent="0.25">
      <c r="A1115" t="str">
        <f t="shared" si="35"/>
        <v>Impianto Rilevazione Incendio_Centralina rilevazione incendio/fibrolaser_ALR_CAVO_TERMOSENSIBILE_NORD-Allarme guasto cavo termosensibile Nord</v>
      </c>
      <c r="B1115" t="str">
        <f t="shared" si="36"/>
        <v>ALR_CAVO_TERMOSENSIBILE_NORD-Allarme guasto cavo termosensibile Nord</v>
      </c>
      <c r="C1115" t="e">
        <f>VLOOKUP(B1115,'[2]Classi allarmi RMT-STIG_rev4'!$C:$C,1,0)</f>
        <v>#N/A</v>
      </c>
      <c r="D1115" t="str">
        <f>VLOOKUP(B1115,'EXPORT IRIS PROD 13-11-2024'!A:A,1,0)</f>
        <v>ALR_CAVO_TERMOSENSIBILE_NORD-Allarme guasto cavo termosensibile Nord</v>
      </c>
      <c r="E1115" t="str">
        <f>VLOOKUP(H1115,'EXPORT IRIS PROD 13-11-2024'!F:F,1,0)</f>
        <v>ALR_CAVO_TERMOSENSIBILE_NORD</v>
      </c>
      <c r="F1115" t="str">
        <f>VLOOKUP(I1115,'EXPORT IRIS PROD 13-11-2024'!D:D,1,0)</f>
        <v>Allarme guasto cavo termosensibile Nord</v>
      </c>
      <c r="G1115" s="96" t="s">
        <v>105</v>
      </c>
      <c r="H1115" s="96" t="s">
        <v>2093</v>
      </c>
      <c r="I1115" s="97" t="s">
        <v>2094</v>
      </c>
      <c r="J1115" s="99" t="s">
        <v>43</v>
      </c>
      <c r="K1115" s="100" t="s">
        <v>394</v>
      </c>
      <c r="L1115" s="101" t="s">
        <v>31</v>
      </c>
      <c r="M1115" s="102" t="s">
        <v>32</v>
      </c>
      <c r="N1115" s="103">
        <v>3</v>
      </c>
      <c r="O1115" s="103" t="s">
        <v>33</v>
      </c>
      <c r="P1115" s="103" t="s">
        <v>34</v>
      </c>
      <c r="Q1115" s="103" t="s">
        <v>31</v>
      </c>
      <c r="R1115" s="87" t="s">
        <v>2095</v>
      </c>
      <c r="S1115" s="6" t="s">
        <v>2096</v>
      </c>
    </row>
    <row r="1116" spans="1:19" x14ac:dyDescent="0.25">
      <c r="A1116" t="str">
        <f t="shared" si="35"/>
        <v>Impianto Rilevazione Incendio_Centralina rilevazione incendio/fibrolaser_ALR_CAVO_TERMOSENSIBILE_SUD-Allarme guasto cavo termosensibile Sud</v>
      </c>
      <c r="B1116" t="str">
        <f t="shared" si="36"/>
        <v>ALR_CAVO_TERMOSENSIBILE_SUD-Allarme guasto cavo termosensibile Sud</v>
      </c>
      <c r="C1116" t="e">
        <f>VLOOKUP(B1116,'[2]Classi allarmi RMT-STIG_rev4'!$C:$C,1,0)</f>
        <v>#N/A</v>
      </c>
      <c r="D1116" t="str">
        <f>VLOOKUP(B1116,'EXPORT IRIS PROD 13-11-2024'!A:A,1,0)</f>
        <v>ALR_CAVO_TERMOSENSIBILE_SUD-Allarme guasto cavo termosensibile Sud</v>
      </c>
      <c r="E1116" t="str">
        <f>VLOOKUP(H1116,'EXPORT IRIS PROD 13-11-2024'!F:F,1,0)</f>
        <v>ALR_CAVO_TERMOSENSIBILE_SUD</v>
      </c>
      <c r="F1116" t="str">
        <f>VLOOKUP(I1116,'EXPORT IRIS PROD 13-11-2024'!D:D,1,0)</f>
        <v>Allarme guasto cavo termosensibile Sud</v>
      </c>
      <c r="G1116" s="96" t="s">
        <v>105</v>
      </c>
      <c r="H1116" s="96" t="s">
        <v>2097</v>
      </c>
      <c r="I1116" s="97" t="s">
        <v>2098</v>
      </c>
      <c r="J1116" s="99" t="s">
        <v>43</v>
      </c>
      <c r="K1116" s="100" t="s">
        <v>394</v>
      </c>
      <c r="L1116" s="101" t="s">
        <v>31</v>
      </c>
      <c r="M1116" s="102" t="s">
        <v>32</v>
      </c>
      <c r="N1116" s="103">
        <v>3</v>
      </c>
      <c r="O1116" s="103" t="s">
        <v>33</v>
      </c>
      <c r="P1116" s="103" t="s">
        <v>34</v>
      </c>
      <c r="Q1116" s="103" t="s">
        <v>31</v>
      </c>
      <c r="R1116" s="87" t="s">
        <v>2095</v>
      </c>
      <c r="S1116" s="6" t="s">
        <v>2096</v>
      </c>
    </row>
    <row r="1117" spans="1:19" x14ac:dyDescent="0.25">
      <c r="A1117" t="str">
        <f t="shared" si="35"/>
        <v>Impianto Elettrico_Centrale antintrusione_ALR_FURTO_CAVI-Allarme furto cavi</v>
      </c>
      <c r="B1117" t="str">
        <f t="shared" si="36"/>
        <v>ALR_FURTO_CAVI-Allarme furto cavi</v>
      </c>
      <c r="C1117" t="e">
        <f>VLOOKUP(B1117,'[2]Classi allarmi RMT-STIG_rev4'!$C:$C,1,0)</f>
        <v>#N/A</v>
      </c>
      <c r="D1117" t="str">
        <f>VLOOKUP(B1117,'EXPORT IRIS PROD 13-11-2024'!A:A,1,0)</f>
        <v>ALR_FURTO_CAVI-Allarme furto cavi</v>
      </c>
      <c r="E1117" t="str">
        <f>VLOOKUP(H1117,'EXPORT IRIS PROD 13-11-2024'!F:F,1,0)</f>
        <v>ALR_FURTO_CAVI</v>
      </c>
      <c r="F1117" t="str">
        <f>VLOOKUP(I1117,'EXPORT IRIS PROD 13-11-2024'!D:D,1,0)</f>
        <v>Allarme furto cavi</v>
      </c>
      <c r="G1117" s="96" t="s">
        <v>53</v>
      </c>
      <c r="H1117" s="96" t="s">
        <v>2099</v>
      </c>
      <c r="I1117" s="97" t="s">
        <v>2100</v>
      </c>
      <c r="J1117" s="99" t="s">
        <v>56</v>
      </c>
      <c r="K1117" s="100" t="s">
        <v>1545</v>
      </c>
      <c r="L1117" s="101" t="s">
        <v>21</v>
      </c>
      <c r="M1117" s="102" t="s">
        <v>22</v>
      </c>
      <c r="N1117" s="103" t="s">
        <v>23</v>
      </c>
      <c r="O1117" s="103" t="s">
        <v>24</v>
      </c>
      <c r="P1117" s="103" t="s">
        <v>25</v>
      </c>
      <c r="Q1117" s="103" t="s">
        <v>21</v>
      </c>
      <c r="R1117" s="87" t="s">
        <v>2095</v>
      </c>
      <c r="S1117" s="6" t="s">
        <v>2096</v>
      </c>
    </row>
    <row r="1118" spans="1:19" x14ac:dyDescent="0.25">
      <c r="B1118" t="str">
        <f t="shared" ref="B1118:B1135" si="37">CONCATENATE(H1118,"-",I1118)</f>
        <v>ALR_GAS-Allarme GAS</v>
      </c>
      <c r="C1118" t="str">
        <f>VLOOKUP(B1118,'[2]Classi allarmi RMT-STIG_rev4'!$C:$C,1,0)</f>
        <v>ALR_GAS-Allarme GAS</v>
      </c>
      <c r="D1118" t="str">
        <f>VLOOKUP(B1118,'EXPORT IRIS PROD 13-11-2024'!A:A,1,0)</f>
        <v>ALR_GAS-Allarme GAS</v>
      </c>
      <c r="G1118" s="96" t="s">
        <v>105</v>
      </c>
      <c r="H1118" s="96" t="s">
        <v>2101</v>
      </c>
      <c r="I1118" s="97" t="s">
        <v>2102</v>
      </c>
      <c r="J1118" s="98" t="s">
        <v>43</v>
      </c>
      <c r="K1118" s="98" t="s">
        <v>2103</v>
      </c>
      <c r="L1118" s="47" t="s">
        <v>21</v>
      </c>
      <c r="M1118" s="48" t="s">
        <v>22</v>
      </c>
      <c r="N1118" s="43" t="s">
        <v>23</v>
      </c>
      <c r="O1118" s="43" t="s">
        <v>24</v>
      </c>
      <c r="P1118" s="43" t="s">
        <v>25</v>
      </c>
      <c r="Q1118" s="42" t="s">
        <v>21</v>
      </c>
      <c r="R1118" s="87" t="s">
        <v>2095</v>
      </c>
      <c r="S1118" t="s">
        <v>2104</v>
      </c>
    </row>
    <row r="1119" spans="1:19" x14ac:dyDescent="0.25">
      <c r="B1119" t="str">
        <f t="shared" si="37"/>
        <v>ALR-SLOT-4-Allarme Slot 4</v>
      </c>
      <c r="C1119" t="str">
        <f>VLOOKUP(B1119,'[2]Classi allarmi RMT-STIG_rev4'!$C:$C,1,0)</f>
        <v>ALR-SLOT-4-Allarme Slot 4</v>
      </c>
      <c r="D1119" t="str">
        <f>VLOOKUP(B1119,'EXPORT IRIS PROD 13-11-2024'!A:A,1,0)</f>
        <v>ALR-SLOT-4-Allarme Slot 4</v>
      </c>
      <c r="G1119" s="96" t="s">
        <v>16</v>
      </c>
      <c r="H1119" s="96" t="s">
        <v>2105</v>
      </c>
      <c r="I1119" s="97" t="s">
        <v>2106</v>
      </c>
      <c r="J1119" s="98" t="s">
        <v>19</v>
      </c>
      <c r="K1119" s="98" t="s">
        <v>258</v>
      </c>
      <c r="L1119" s="47" t="s">
        <v>21</v>
      </c>
      <c r="M1119" s="48" t="s">
        <v>22</v>
      </c>
      <c r="N1119" s="43" t="s">
        <v>23</v>
      </c>
      <c r="O1119" s="43" t="s">
        <v>24</v>
      </c>
      <c r="P1119" s="43" t="s">
        <v>25</v>
      </c>
      <c r="Q1119" s="42" t="s">
        <v>21</v>
      </c>
      <c r="R1119" s="87" t="s">
        <v>2095</v>
      </c>
      <c r="S1119" t="s">
        <v>2107</v>
      </c>
    </row>
    <row r="1120" spans="1:19" x14ac:dyDescent="0.25">
      <c r="B1120" t="str">
        <f t="shared" si="37"/>
        <v>ALR-SLOT-5-Allarme Slot 5</v>
      </c>
      <c r="C1120" t="str">
        <f>VLOOKUP(B1120,'[2]Classi allarmi RMT-STIG_rev4'!$C:$C,1,0)</f>
        <v>ALR-SLOT-5-Allarme Slot 5</v>
      </c>
      <c r="D1120" t="str">
        <f>VLOOKUP(B1120,'EXPORT IRIS PROD 13-11-2024'!A:A,1,0)</f>
        <v>ALR-SLOT-5-Allarme Slot 5</v>
      </c>
      <c r="G1120" s="96" t="s">
        <v>16</v>
      </c>
      <c r="H1120" s="96" t="s">
        <v>2108</v>
      </c>
      <c r="I1120" s="97" t="s">
        <v>2109</v>
      </c>
      <c r="J1120" s="98" t="s">
        <v>19</v>
      </c>
      <c r="K1120" s="98" t="s">
        <v>258</v>
      </c>
      <c r="L1120" s="47" t="s">
        <v>21</v>
      </c>
      <c r="M1120" s="48" t="s">
        <v>22</v>
      </c>
      <c r="N1120" s="43" t="s">
        <v>23</v>
      </c>
      <c r="O1120" s="43" t="s">
        <v>24</v>
      </c>
      <c r="P1120" s="43" t="s">
        <v>25</v>
      </c>
      <c r="Q1120" s="42" t="s">
        <v>21</v>
      </c>
      <c r="R1120" s="87" t="s">
        <v>2095</v>
      </c>
      <c r="S1120" t="s">
        <v>2107</v>
      </c>
    </row>
    <row r="1121" spans="2:19" x14ac:dyDescent="0.25">
      <c r="B1121" t="str">
        <f t="shared" si="37"/>
        <v>ALR-SLOT-6-Allarme Slot 6</v>
      </c>
      <c r="C1121" t="str">
        <f>VLOOKUP(B1121,'[2]Classi allarmi RMT-STIG_rev4'!$C:$C,1,0)</f>
        <v>ALR-SLOT-6-Allarme Slot 6</v>
      </c>
      <c r="D1121" t="str">
        <f>VLOOKUP(B1121,'EXPORT IRIS PROD 13-11-2024'!A:A,1,0)</f>
        <v>ALR-SLOT-6-Allarme Slot 6</v>
      </c>
      <c r="G1121" s="96" t="s">
        <v>16</v>
      </c>
      <c r="H1121" s="96" t="s">
        <v>2110</v>
      </c>
      <c r="I1121" s="97" t="s">
        <v>2111</v>
      </c>
      <c r="J1121" s="98" t="s">
        <v>19</v>
      </c>
      <c r="K1121" s="98" t="s">
        <v>258</v>
      </c>
      <c r="L1121" s="47" t="s">
        <v>21</v>
      </c>
      <c r="M1121" s="48" t="s">
        <v>22</v>
      </c>
      <c r="N1121" s="43" t="s">
        <v>23</v>
      </c>
      <c r="O1121" s="43" t="s">
        <v>24</v>
      </c>
      <c r="P1121" s="43" t="s">
        <v>25</v>
      </c>
      <c r="Q1121" s="42" t="s">
        <v>21</v>
      </c>
      <c r="R1121" s="87" t="s">
        <v>2095</v>
      </c>
      <c r="S1121" t="s">
        <v>2107</v>
      </c>
    </row>
    <row r="1122" spans="2:19" x14ac:dyDescent="0.25">
      <c r="B1122" t="str">
        <f t="shared" si="37"/>
        <v>ALR-SLOT-7-Allarme Slot 7</v>
      </c>
      <c r="C1122" t="str">
        <f>VLOOKUP(B1122,'[2]Classi allarmi RMT-STIG_rev4'!$C:$C,1,0)</f>
        <v>ALR-SLOT-7-Allarme Slot 7</v>
      </c>
      <c r="D1122" t="str">
        <f>VLOOKUP(B1122,'EXPORT IRIS PROD 13-11-2024'!A:A,1,0)</f>
        <v>ALR-SLOT-7-Allarme Slot 7</v>
      </c>
      <c r="G1122" s="96" t="s">
        <v>16</v>
      </c>
      <c r="H1122" s="96" t="s">
        <v>2112</v>
      </c>
      <c r="I1122" s="97" t="s">
        <v>2113</v>
      </c>
      <c r="J1122" s="98" t="s">
        <v>19</v>
      </c>
      <c r="K1122" s="98" t="s">
        <v>258</v>
      </c>
      <c r="L1122" s="47" t="s">
        <v>21</v>
      </c>
      <c r="M1122" s="48" t="s">
        <v>22</v>
      </c>
      <c r="N1122" s="43" t="s">
        <v>23</v>
      </c>
      <c r="O1122" s="43" t="s">
        <v>24</v>
      </c>
      <c r="P1122" s="43" t="s">
        <v>25</v>
      </c>
      <c r="Q1122" s="42" t="s">
        <v>21</v>
      </c>
      <c r="R1122" s="87" t="s">
        <v>2095</v>
      </c>
      <c r="S1122" t="s">
        <v>2107</v>
      </c>
    </row>
    <row r="1123" spans="2:19" x14ac:dyDescent="0.25">
      <c r="B1123" t="str">
        <f t="shared" si="37"/>
        <v>ALR-SLOT-8-Allarme Slot 8</v>
      </c>
      <c r="C1123" t="str">
        <f>VLOOKUP(B1123,'[2]Classi allarmi RMT-STIG_rev4'!$C:$C,1,0)</f>
        <v>ALR-SLOT-8-Allarme Slot 8</v>
      </c>
      <c r="D1123" t="str">
        <f>VLOOKUP(B1123,'EXPORT IRIS PROD 13-11-2024'!A:A,1,0)</f>
        <v>ALR-SLOT-8-Allarme Slot 8</v>
      </c>
      <c r="G1123" s="96" t="s">
        <v>16</v>
      </c>
      <c r="H1123" s="96" t="s">
        <v>2114</v>
      </c>
      <c r="I1123" s="97" t="s">
        <v>2115</v>
      </c>
      <c r="J1123" s="98" t="s">
        <v>19</v>
      </c>
      <c r="K1123" s="98" t="s">
        <v>258</v>
      </c>
      <c r="L1123" s="47" t="s">
        <v>21</v>
      </c>
      <c r="M1123" s="48" t="s">
        <v>22</v>
      </c>
      <c r="N1123" s="43" t="s">
        <v>23</v>
      </c>
      <c r="O1123" s="43" t="s">
        <v>24</v>
      </c>
      <c r="P1123" s="43" t="s">
        <v>25</v>
      </c>
      <c r="Q1123" s="42" t="s">
        <v>21</v>
      </c>
      <c r="R1123" s="87" t="s">
        <v>2095</v>
      </c>
      <c r="S1123" t="s">
        <v>2107</v>
      </c>
    </row>
    <row r="1124" spans="2:19" x14ac:dyDescent="0.25">
      <c r="B1124" t="str">
        <f t="shared" si="37"/>
        <v>ALR-SLOT-9-Allarme Slot 9</v>
      </c>
      <c r="C1124" t="str">
        <f>VLOOKUP(B1124,'[2]Classi allarmi RMT-STIG_rev4'!$C:$C,1,0)</f>
        <v>ALR-SLOT-9-Allarme Slot 9</v>
      </c>
      <c r="D1124" t="str">
        <f>VLOOKUP(B1124,'EXPORT IRIS PROD 13-11-2024'!A:A,1,0)</f>
        <v>ALR-SLOT-9-Allarme Slot 9</v>
      </c>
      <c r="G1124" s="96" t="s">
        <v>16</v>
      </c>
      <c r="H1124" s="96" t="s">
        <v>2116</v>
      </c>
      <c r="I1124" s="97" t="s">
        <v>2117</v>
      </c>
      <c r="J1124" s="98" t="s">
        <v>19</v>
      </c>
      <c r="K1124" s="98" t="s">
        <v>258</v>
      </c>
      <c r="L1124" s="47" t="s">
        <v>21</v>
      </c>
      <c r="M1124" s="48" t="s">
        <v>22</v>
      </c>
      <c r="N1124" s="43" t="s">
        <v>23</v>
      </c>
      <c r="O1124" s="43" t="s">
        <v>24</v>
      </c>
      <c r="P1124" s="43" t="s">
        <v>25</v>
      </c>
      <c r="Q1124" s="42" t="s">
        <v>21</v>
      </c>
      <c r="R1124" s="87" t="s">
        <v>2095</v>
      </c>
      <c r="S1124" t="s">
        <v>2107</v>
      </c>
    </row>
    <row r="1125" spans="2:19" x14ac:dyDescent="0.25">
      <c r="B1125" t="str">
        <f t="shared" si="37"/>
        <v>ALR-SLOT-10-Allarme Slot 10</v>
      </c>
      <c r="C1125" t="str">
        <f>VLOOKUP(B1125,'[2]Classi allarmi RMT-STIG_rev4'!$C:$C,1,0)</f>
        <v>ALR-SLOT-10-Allarme Slot 10</v>
      </c>
      <c r="D1125" t="str">
        <f>VLOOKUP(B1125,'EXPORT IRIS PROD 13-11-2024'!A:A,1,0)</f>
        <v>ALR-SLOT-10-Allarme Slot 10</v>
      </c>
      <c r="G1125" s="96" t="s">
        <v>16</v>
      </c>
      <c r="H1125" s="96" t="s">
        <v>2118</v>
      </c>
      <c r="I1125" s="97" t="s">
        <v>2119</v>
      </c>
      <c r="J1125" s="98" t="s">
        <v>19</v>
      </c>
      <c r="K1125" s="98" t="s">
        <v>258</v>
      </c>
      <c r="L1125" s="47" t="s">
        <v>21</v>
      </c>
      <c r="M1125" s="48" t="s">
        <v>22</v>
      </c>
      <c r="N1125" s="43" t="s">
        <v>23</v>
      </c>
      <c r="O1125" s="43" t="s">
        <v>24</v>
      </c>
      <c r="P1125" s="43" t="s">
        <v>25</v>
      </c>
      <c r="Q1125" s="42" t="s">
        <v>21</v>
      </c>
      <c r="R1125" s="87" t="s">
        <v>2095</v>
      </c>
      <c r="S1125" t="s">
        <v>2107</v>
      </c>
    </row>
    <row r="1126" spans="2:19" x14ac:dyDescent="0.25">
      <c r="B1126" t="str">
        <f t="shared" si="37"/>
        <v>ALR-SLOT-11-Allarme Slot 11</v>
      </c>
      <c r="C1126" t="str">
        <f>VLOOKUP(B1126,'[2]Classi allarmi RMT-STIG_rev4'!$C:$C,1,0)</f>
        <v>ALR-SLOT-11-Allarme Slot 11</v>
      </c>
      <c r="D1126" t="str">
        <f>VLOOKUP(B1126,'EXPORT IRIS PROD 13-11-2024'!A:A,1,0)</f>
        <v>ALR-SLOT-11-Allarme Slot 11</v>
      </c>
      <c r="G1126" s="96" t="s">
        <v>16</v>
      </c>
      <c r="H1126" s="96" t="s">
        <v>2120</v>
      </c>
      <c r="I1126" s="97" t="s">
        <v>2121</v>
      </c>
      <c r="J1126" s="98" t="s">
        <v>19</v>
      </c>
      <c r="K1126" s="98" t="s">
        <v>258</v>
      </c>
      <c r="L1126" s="47" t="s">
        <v>21</v>
      </c>
      <c r="M1126" s="48" t="s">
        <v>22</v>
      </c>
      <c r="N1126" s="43" t="s">
        <v>23</v>
      </c>
      <c r="O1126" s="43" t="s">
        <v>24</v>
      </c>
      <c r="P1126" s="43" t="s">
        <v>25</v>
      </c>
      <c r="Q1126" s="42" t="s">
        <v>21</v>
      </c>
      <c r="R1126" s="87" t="s">
        <v>2095</v>
      </c>
      <c r="S1126" t="s">
        <v>2107</v>
      </c>
    </row>
    <row r="1127" spans="2:19" x14ac:dyDescent="0.25">
      <c r="B1127" t="str">
        <f t="shared" si="37"/>
        <v>ALR-SLOT-12-Allarme Slot 12</v>
      </c>
      <c r="C1127" t="str">
        <f>VLOOKUP(B1127,'[2]Classi allarmi RMT-STIG_rev4'!$C:$C,1,0)</f>
        <v>ALR-SLOT-12-Allarme Slot 12</v>
      </c>
      <c r="D1127" t="str">
        <f>VLOOKUP(B1127,'EXPORT IRIS PROD 13-11-2024'!A:A,1,0)</f>
        <v>ALR-SLOT-12-Allarme Slot 12</v>
      </c>
      <c r="G1127" s="96" t="s">
        <v>16</v>
      </c>
      <c r="H1127" s="96" t="s">
        <v>2122</v>
      </c>
      <c r="I1127" s="97" t="s">
        <v>2123</v>
      </c>
      <c r="J1127" s="98" t="s">
        <v>19</v>
      </c>
      <c r="K1127" s="98" t="s">
        <v>258</v>
      </c>
      <c r="L1127" s="47" t="s">
        <v>21</v>
      </c>
      <c r="M1127" s="48" t="s">
        <v>22</v>
      </c>
      <c r="N1127" s="43" t="s">
        <v>23</v>
      </c>
      <c r="O1127" s="43" t="s">
        <v>24</v>
      </c>
      <c r="P1127" s="43" t="s">
        <v>25</v>
      </c>
      <c r="Q1127" s="42" t="s">
        <v>21</v>
      </c>
      <c r="R1127" s="87" t="s">
        <v>2095</v>
      </c>
      <c r="S1127" t="s">
        <v>2107</v>
      </c>
    </row>
    <row r="1128" spans="2:19" x14ac:dyDescent="0.25">
      <c r="B1128" t="str">
        <f t="shared" si="37"/>
        <v>ALR-SLOT-0-Allarme Slot 0</v>
      </c>
      <c r="C1128" t="str">
        <f>VLOOKUP(B1128,'[2]Classi allarmi RMT-STIG_rev4'!$C:$C,1,0)</f>
        <v>ALR-SLOT-0-Allarme Slot 0</v>
      </c>
      <c r="D1128" t="str">
        <f>VLOOKUP(B1128,'EXPORT IRIS PROD 13-11-2024'!A:A,1,0)</f>
        <v>ALR-SLOT-0-Allarme Slot 0</v>
      </c>
      <c r="G1128" s="96" t="s">
        <v>16</v>
      </c>
      <c r="H1128" s="96" t="s">
        <v>2124</v>
      </c>
      <c r="I1128" s="97" t="s">
        <v>2125</v>
      </c>
      <c r="J1128" s="98" t="s">
        <v>19</v>
      </c>
      <c r="K1128" s="98" t="s">
        <v>258</v>
      </c>
      <c r="L1128" s="47" t="s">
        <v>21</v>
      </c>
      <c r="M1128" s="48" t="s">
        <v>22</v>
      </c>
      <c r="N1128" s="43" t="s">
        <v>23</v>
      </c>
      <c r="O1128" s="43" t="s">
        <v>24</v>
      </c>
      <c r="P1128" s="43" t="s">
        <v>25</v>
      </c>
      <c r="Q1128" s="42" t="s">
        <v>21</v>
      </c>
      <c r="R1128" s="87" t="s">
        <v>2095</v>
      </c>
      <c r="S1128" t="s">
        <v>2107</v>
      </c>
    </row>
    <row r="1129" spans="2:19" x14ac:dyDescent="0.25">
      <c r="B1129" t="str">
        <f t="shared" si="37"/>
        <v>ALR_MANCATA_ACCENSIONE_LUCE_GIALLA-Allarme mancata accensione luce gialla</v>
      </c>
      <c r="C1129" t="str">
        <f>VLOOKUP(B1129,'[2]Classi allarmi RMT-STIG_rev4'!$C:$C,1,0)</f>
        <v>ALR_MANCATA_ACCENSIONE_LUCE_GIALLA-Allarme mancata accensione luce gialla</v>
      </c>
      <c r="D1129" t="str">
        <f>VLOOKUP(B1129,'EXPORT IRIS PROD 13-11-2024'!A:A,1,0)</f>
        <v>ALR_MANCATA_ACCENSIONE_LUCE_GIALLA-Allarme mancata accensione luce gialla</v>
      </c>
      <c r="G1129" s="96" t="s">
        <v>109</v>
      </c>
      <c r="H1129" s="96" t="s">
        <v>2126</v>
      </c>
      <c r="I1129" s="97" t="s">
        <v>2127</v>
      </c>
      <c r="J1129" s="98" t="s">
        <v>111</v>
      </c>
      <c r="K1129" s="98" t="s">
        <v>376</v>
      </c>
      <c r="L1129" s="47" t="s">
        <v>21</v>
      </c>
      <c r="M1129" s="48" t="s">
        <v>22</v>
      </c>
      <c r="N1129" s="43" t="s">
        <v>23</v>
      </c>
      <c r="O1129" s="43" t="s">
        <v>24</v>
      </c>
      <c r="P1129" s="43" t="s">
        <v>25</v>
      </c>
      <c r="Q1129" s="42" t="s">
        <v>21</v>
      </c>
      <c r="R1129" s="87" t="s">
        <v>2095</v>
      </c>
      <c r="S1129" t="s">
        <v>2107</v>
      </c>
    </row>
    <row r="1130" spans="2:19" x14ac:dyDescent="0.25">
      <c r="B1130" t="str">
        <f t="shared" si="37"/>
        <v>ALR_MANCATA_ACCENSIONE_LUCE_ROSSA-Allarme mancata accensione luce rossa</v>
      </c>
      <c r="C1130" t="str">
        <f>VLOOKUP(B1130,'[2]Classi allarmi RMT-STIG_rev4'!$C:$C,1,0)</f>
        <v>ALR_MANCATA_ACCENSIONE_LUCE_ROSSA-Allarme mancata accensione luce rossa</v>
      </c>
      <c r="D1130" t="str">
        <f>VLOOKUP(B1130,'EXPORT IRIS PROD 13-11-2024'!A:A,1,0)</f>
        <v>ALR_MANCATA_ACCENSIONE_LUCE_ROSSA-Allarme mancata accensione luce rossa</v>
      </c>
      <c r="G1130" s="96" t="s">
        <v>109</v>
      </c>
      <c r="H1130" s="96" t="s">
        <v>2128</v>
      </c>
      <c r="I1130" s="97" t="s">
        <v>2129</v>
      </c>
      <c r="J1130" s="98" t="s">
        <v>111</v>
      </c>
      <c r="K1130" s="98" t="s">
        <v>376</v>
      </c>
      <c r="L1130" s="47" t="s">
        <v>21</v>
      </c>
      <c r="M1130" s="48" t="s">
        <v>22</v>
      </c>
      <c r="N1130" s="43" t="s">
        <v>23</v>
      </c>
      <c r="O1130" s="43" t="s">
        <v>24</v>
      </c>
      <c r="P1130" s="43" t="s">
        <v>25</v>
      </c>
      <c r="Q1130" s="42" t="s">
        <v>21</v>
      </c>
      <c r="R1130" s="87" t="s">
        <v>2095</v>
      </c>
      <c r="S1130" t="s">
        <v>2107</v>
      </c>
    </row>
    <row r="1131" spans="2:19" x14ac:dyDescent="0.25">
      <c r="B1131" t="str">
        <f t="shared" si="37"/>
        <v>ALR_MANCATA_ACCENSIONE_LUCE_VERDE-Allarme mancata accensione luce verde</v>
      </c>
      <c r="C1131" t="str">
        <f>VLOOKUP(B1131,'[2]Classi allarmi RMT-STIG_rev4'!$C:$C,1,0)</f>
        <v>ALR_MANCATA_ACCENSIONE_LUCE_VERDE-Allarme mancata accensione luce verde</v>
      </c>
      <c r="D1131" t="str">
        <f>VLOOKUP(B1131,'EXPORT IRIS PROD 13-11-2024'!A:A,1,0)</f>
        <v>ALR_MANCATA_ACCENSIONE_LUCE_VERDE-Allarme mancata accensione luce verde</v>
      </c>
      <c r="G1131" s="96" t="s">
        <v>109</v>
      </c>
      <c r="H1131" s="96" t="s">
        <v>2130</v>
      </c>
      <c r="I1131" s="97" t="s">
        <v>2131</v>
      </c>
      <c r="J1131" s="98" t="s">
        <v>111</v>
      </c>
      <c r="K1131" s="98" t="s">
        <v>376</v>
      </c>
      <c r="L1131" s="47" t="s">
        <v>21</v>
      </c>
      <c r="M1131" s="48" t="s">
        <v>22</v>
      </c>
      <c r="N1131" s="43" t="s">
        <v>23</v>
      </c>
      <c r="O1131" s="43" t="s">
        <v>24</v>
      </c>
      <c r="P1131" s="43" t="s">
        <v>25</v>
      </c>
      <c r="Q1131" s="42" t="s">
        <v>21</v>
      </c>
      <c r="R1131" s="87" t="s">
        <v>2095</v>
      </c>
      <c r="S1131" t="s">
        <v>2107</v>
      </c>
    </row>
    <row r="1132" spans="2:19" x14ac:dyDescent="0.25">
      <c r="B1132" t="str">
        <f t="shared" si="37"/>
        <v>ALR_RIFASAMENTO_QUADRO_2-Allarme rifasamento quadro_2</v>
      </c>
      <c r="C1132" t="str">
        <f>VLOOKUP(B1132,'[2]Classi allarmi RMT-STIG_rev4'!$C:$C,1,0)</f>
        <v>ALR_RIFASAMENTO_QUADRO_2-Allarme rifasamento quadro_2</v>
      </c>
      <c r="D1132" t="str">
        <f>VLOOKUP(B1132,'EXPORT IRIS PROD 13-11-2024'!A:A,1,0)</f>
        <v>ALR_RIFASAMENTO_QUADRO_2-Allarme rifasamento quadro_2</v>
      </c>
      <c r="G1132" s="96" t="s">
        <v>53</v>
      </c>
      <c r="H1132" s="96" t="s">
        <v>2132</v>
      </c>
      <c r="I1132" s="97" t="s">
        <v>2133</v>
      </c>
      <c r="J1132" s="98" t="s">
        <v>1106</v>
      </c>
      <c r="K1132" s="98" t="s">
        <v>114</v>
      </c>
      <c r="L1132" s="47" t="s">
        <v>21</v>
      </c>
      <c r="M1132" s="48" t="s">
        <v>22</v>
      </c>
      <c r="N1132" s="43" t="s">
        <v>23</v>
      </c>
      <c r="O1132" s="43" t="s">
        <v>24</v>
      </c>
      <c r="P1132" s="43" t="s">
        <v>25</v>
      </c>
      <c r="Q1132" s="42" t="s">
        <v>21</v>
      </c>
      <c r="R1132" s="87" t="s">
        <v>2134</v>
      </c>
      <c r="S1132" t="s">
        <v>2107</v>
      </c>
    </row>
    <row r="1133" spans="2:19" x14ac:dyDescent="0.25">
      <c r="B1133" t="str">
        <f t="shared" si="37"/>
        <v>ALR_GUASTO_TIPO1_2_IMP-Allarme guasto tipo 1 dispositivo</v>
      </c>
      <c r="C1133" t="e">
        <f>VLOOKUP(B1133,'[2]Classi allarmi RMT-STIG_rev4'!$C:$C,1,0)</f>
        <v>#N/A</v>
      </c>
      <c r="D1133" t="str">
        <f>VLOOKUP(B1133,'EXPORT IRIS PROD 13-11-2024'!A:A,1,0)</f>
        <v>ALR_GUASTO_TIPO1_2_IMP-Allarme guasto tipo 1 dispositivo</v>
      </c>
      <c r="G1133" s="96" t="s">
        <v>115</v>
      </c>
      <c r="H1133" s="96" t="s">
        <v>2135</v>
      </c>
      <c r="I1133" s="97" t="s">
        <v>2136</v>
      </c>
      <c r="J1133" s="98" t="s">
        <v>116</v>
      </c>
      <c r="K1133" s="98" t="s">
        <v>257</v>
      </c>
      <c r="L1133" s="47" t="s">
        <v>21</v>
      </c>
      <c r="M1133" s="48" t="s">
        <v>22</v>
      </c>
      <c r="N1133" s="43" t="s">
        <v>23</v>
      </c>
      <c r="O1133" s="43" t="s">
        <v>24</v>
      </c>
      <c r="P1133" s="43" t="s">
        <v>25</v>
      </c>
      <c r="Q1133" s="42" t="s">
        <v>21</v>
      </c>
      <c r="R1133" s="87" t="s">
        <v>2095</v>
      </c>
      <c r="S1133" t="s">
        <v>2137</v>
      </c>
    </row>
    <row r="1134" spans="2:19" x14ac:dyDescent="0.25">
      <c r="B1134" t="str">
        <f t="shared" si="37"/>
        <v>ALR_GUASTO_TIPO2_2_IMP-Allarme guasto tipo 2 dispositivo</v>
      </c>
      <c r="C1134" t="e">
        <f>VLOOKUP(B1134,'[2]Classi allarmi RMT-STIG_rev4'!$C:$C,1,0)</f>
        <v>#N/A</v>
      </c>
      <c r="D1134" t="str">
        <f>VLOOKUP(B1134,'EXPORT IRIS PROD 13-11-2024'!A:A,1,0)</f>
        <v>ALR_GUASTO_TIPO2_2_IMP-Allarme guasto tipo 2 dispositivo</v>
      </c>
      <c r="G1134" s="96" t="s">
        <v>115</v>
      </c>
      <c r="H1134" s="96" t="s">
        <v>2138</v>
      </c>
      <c r="I1134" s="97" t="s">
        <v>2139</v>
      </c>
      <c r="J1134" s="98" t="s">
        <v>116</v>
      </c>
      <c r="K1134" s="98" t="s">
        <v>257</v>
      </c>
      <c r="L1134" s="47" t="s">
        <v>21</v>
      </c>
      <c r="M1134" s="48" t="s">
        <v>22</v>
      </c>
      <c r="N1134" s="43" t="s">
        <v>23</v>
      </c>
      <c r="O1134" s="43" t="s">
        <v>24</v>
      </c>
      <c r="P1134" s="43" t="s">
        <v>25</v>
      </c>
      <c r="Q1134" s="42" t="s">
        <v>21</v>
      </c>
      <c r="R1134" s="87" t="s">
        <v>2095</v>
      </c>
      <c r="S1134" t="s">
        <v>2137</v>
      </c>
    </row>
    <row r="1135" spans="2:19" x14ac:dyDescent="0.25">
      <c r="B1135" t="str">
        <f t="shared" si="37"/>
        <v>ALR_GUASTO_TIPO3_2_IMP-Allarme guasto tipo 3 dispositivo</v>
      </c>
      <c r="C1135" t="e">
        <f>VLOOKUP(B1135,'[2]Classi allarmi RMT-STIG_rev4'!$C:$C,1,0)</f>
        <v>#N/A</v>
      </c>
      <c r="D1135" t="str">
        <f>VLOOKUP(B1135,'EXPORT IRIS PROD 13-11-2024'!A:A,1,0)</f>
        <v>ALR_GUASTO_TIPO3_2_IMP-Allarme guasto tipo 3 dispositivo</v>
      </c>
      <c r="G1135" s="96" t="s">
        <v>115</v>
      </c>
      <c r="H1135" s="96" t="s">
        <v>2140</v>
      </c>
      <c r="I1135" s="97" t="s">
        <v>2141</v>
      </c>
      <c r="J1135" s="98" t="s">
        <v>116</v>
      </c>
      <c r="K1135" s="98" t="s">
        <v>257</v>
      </c>
      <c r="L1135" s="47" t="s">
        <v>21</v>
      </c>
      <c r="M1135" s="48" t="s">
        <v>22</v>
      </c>
      <c r="N1135" s="43" t="s">
        <v>23</v>
      </c>
      <c r="O1135" s="43" t="s">
        <v>24</v>
      </c>
      <c r="P1135" s="43" t="s">
        <v>25</v>
      </c>
      <c r="Q1135" s="42" t="s">
        <v>21</v>
      </c>
      <c r="R1135" s="87" t="s">
        <v>2095</v>
      </c>
      <c r="S1135" t="s">
        <v>2137</v>
      </c>
    </row>
  </sheetData>
  <autoFilter ref="A1:R1135" xr:uid="{774F110D-443A-491F-9DD6-94C275412C1E}"/>
  <conditionalFormatting sqref="A1:A1048576">
    <cfRule type="duplicateValues" dxfId="0" priority="1"/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ED8C6DA-A44A-4249-A619-291A5AB7E10B}">
          <x14:formula1>
            <xm:f>Tendine!$F$3:$F$6</xm:f>
          </x14:formula1>
          <xm:sqref>P1035:P1074 O1075:O1079 P1080:P1085 P1088:P1089</xm:sqref>
        </x14:dataValidation>
        <x14:dataValidation type="list" allowBlank="1" showInputMessage="1" showErrorMessage="1" xr:uid="{D2FB94E3-C8B1-487D-86A5-50DCC42367FA}">
          <x14:formula1>
            <xm:f>Tendine!$G$3:$G$4</xm:f>
          </x14:formula1>
          <xm:sqref>Q1035:Q1074 P1075:P1079 Q1080:Q1085 Q1088:Q1089</xm:sqref>
        </x14:dataValidation>
        <x14:dataValidation type="list" allowBlank="1" showInputMessage="1" showErrorMessage="1" xr:uid="{83C41B3C-CB16-468B-890E-582FC3DE65FC}">
          <x14:formula1>
            <xm:f>Tendine!$A$3:$A$48</xm:f>
          </x14:formula1>
          <xm:sqref>G1035:G1074 G1080:G1085 G1088:G1089</xm:sqref>
        </x14:dataValidation>
        <x14:dataValidation type="list" allowBlank="1" showInputMessage="1" showErrorMessage="1" xr:uid="{12F23646-DFBC-4864-8680-3FEAAB30F8FE}">
          <x14:formula1>
            <xm:f>Tendine!$E$3:$E$6</xm:f>
          </x14:formula1>
          <xm:sqref>O1035:O1074 N1078 N1075:N1076 O1080:O1085 O1088:O1089</xm:sqref>
        </x14:dataValidation>
        <x14:dataValidation type="list" allowBlank="1" showInputMessage="1" showErrorMessage="1" xr:uid="{9DB7B563-AA84-4145-A07B-2597F3FF2431}">
          <x14:formula1>
            <xm:f>Tendine!$D$3:$D$8</xm:f>
          </x14:formula1>
          <xm:sqref>M1078 N1077 M1075:M1076 N1035:N1074 N1079:N1085 N1088:N1089</xm:sqref>
        </x14:dataValidation>
        <x14:dataValidation type="list" allowBlank="1" showInputMessage="1" showErrorMessage="1" xr:uid="{79B30C53-6964-4CC9-9709-CCA0A51D76E1}">
          <x14:formula1>
            <xm:f>Tendine!$C$3:$C$4</xm:f>
          </x14:formula1>
          <xm:sqref>M1077 L1075:L1079 M1035:M1074 M1079:M1085 M1088:M1089</xm:sqref>
        </x14:dataValidation>
        <x14:dataValidation type="list" allowBlank="1" showInputMessage="1" showErrorMessage="1" xr:uid="{40C50A85-EF53-45EF-A9A2-B8B467A0348D}">
          <x14:formula1>
            <xm:f>Tendine!$B$3:$B$4</xm:f>
          </x14:formula1>
          <xm:sqref>L1035:L1074 K1075:K1079 L1080:L1085 L1088:L1090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B3603-5312-4653-AB16-0449072B3888}">
  <dimension ref="A1:B4"/>
  <sheetViews>
    <sheetView workbookViewId="0">
      <selection activeCell="I15" sqref="I15"/>
    </sheetView>
  </sheetViews>
  <sheetFormatPr defaultRowHeight="15" x14ac:dyDescent="0.25"/>
  <sheetData>
    <row r="1" spans="1:2" x14ac:dyDescent="0.25">
      <c r="A1" s="87"/>
      <c r="B1" t="s">
        <v>2142</v>
      </c>
    </row>
    <row r="2" spans="1:2" x14ac:dyDescent="0.25">
      <c r="A2" s="70" t="s">
        <v>34</v>
      </c>
      <c r="B2" t="s">
        <v>2143</v>
      </c>
    </row>
    <row r="3" spans="1:2" x14ac:dyDescent="0.25">
      <c r="A3" s="86" t="s">
        <v>2144</v>
      </c>
      <c r="B3" t="s">
        <v>2145</v>
      </c>
    </row>
    <row r="4" spans="1:2" x14ac:dyDescent="0.25">
      <c r="A4" s="105"/>
      <c r="B4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C4D1-16FE-4FFD-B025-DB136A363AFB}">
  <sheetPr filterMode="1"/>
  <dimension ref="A1:O1285"/>
  <sheetViews>
    <sheetView topLeftCell="B1" zoomScale="70" zoomScaleNormal="70" workbookViewId="0">
      <selection activeCell="F792" sqref="F792"/>
    </sheetView>
  </sheetViews>
  <sheetFormatPr defaultRowHeight="15" x14ac:dyDescent="0.25"/>
  <cols>
    <col min="1" max="1" width="91.28515625" customWidth="1"/>
    <col min="2" max="2" width="8.85546875" customWidth="1"/>
    <col min="3" max="3" width="9" customWidth="1"/>
    <col min="4" max="4" width="72.5703125" bestFit="1" customWidth="1"/>
    <col min="5" max="5" width="19" customWidth="1"/>
    <col min="6" max="6" width="55.42578125" customWidth="1"/>
    <col min="7" max="7" width="25" customWidth="1"/>
    <col min="8" max="8" width="24.5703125" customWidth="1"/>
    <col min="9" max="12" width="25" customWidth="1"/>
    <col min="13" max="13" width="58.5703125" customWidth="1"/>
    <col min="14" max="15" width="25" customWidth="1"/>
  </cols>
  <sheetData>
    <row r="1" spans="1:15" ht="14.45" customHeight="1" x14ac:dyDescent="0.25">
      <c r="A1" s="80" t="s">
        <v>2147</v>
      </c>
      <c r="B1" s="80" t="s">
        <v>2148</v>
      </c>
      <c r="C1" s="81" t="s">
        <v>2149</v>
      </c>
      <c r="D1" s="81" t="s">
        <v>2150</v>
      </c>
      <c r="E1" s="81" t="s">
        <v>2151</v>
      </c>
      <c r="F1" s="81" t="s">
        <v>2152</v>
      </c>
      <c r="G1" s="81" t="s">
        <v>2153</v>
      </c>
      <c r="H1" s="81" t="s">
        <v>2154</v>
      </c>
      <c r="I1" s="81" t="s">
        <v>2155</v>
      </c>
      <c r="J1" s="81" t="s">
        <v>2156</v>
      </c>
      <c r="K1" s="81" t="s">
        <v>2157</v>
      </c>
      <c r="L1" s="81" t="s">
        <v>2158</v>
      </c>
      <c r="M1" s="81" t="s">
        <v>2159</v>
      </c>
      <c r="N1" s="81" t="s">
        <v>2160</v>
      </c>
      <c r="O1" s="81" t="s">
        <v>2161</v>
      </c>
    </row>
    <row r="2" spans="1:15" ht="15.75" hidden="1" x14ac:dyDescent="0.25">
      <c r="A2" t="str">
        <f>CONCATENATE(F2,"-",D2)</f>
        <v>/-Root</v>
      </c>
      <c r="C2" s="82" t="e">
        <f>#REF!</f>
        <v>#REF!</v>
      </c>
      <c r="D2" s="82" t="s">
        <v>2162</v>
      </c>
      <c r="E2" s="82" t="s">
        <v>2163</v>
      </c>
      <c r="F2" s="82" t="s">
        <v>2164</v>
      </c>
      <c r="G2" s="82" t="s">
        <v>1946</v>
      </c>
      <c r="H2" s="82" t="s">
        <v>2165</v>
      </c>
      <c r="I2" s="82" t="s">
        <v>24</v>
      </c>
      <c r="J2" s="82" t="s">
        <v>2166</v>
      </c>
      <c r="K2" s="82" t="s">
        <v>2167</v>
      </c>
      <c r="L2" s="82" t="s">
        <v>1946</v>
      </c>
      <c r="M2" s="82" t="s">
        <v>2168</v>
      </c>
      <c r="N2" s="82" t="s">
        <v>1946</v>
      </c>
      <c r="O2" s="82" t="s">
        <v>2167</v>
      </c>
    </row>
    <row r="3" spans="1:15" ht="15.75" hidden="1" x14ac:dyDescent="0.25">
      <c r="A3" t="str">
        <f t="shared" ref="A3:A66" si="0">CONCATENATE(F3,"-",D3)</f>
        <v>AERATORE-Allarme aeratore</v>
      </c>
      <c r="C3" s="82" t="s">
        <v>2169</v>
      </c>
      <c r="D3" s="82" t="s">
        <v>2170</v>
      </c>
      <c r="E3" s="82" t="s">
        <v>2163</v>
      </c>
      <c r="F3" s="82" t="s">
        <v>2169</v>
      </c>
      <c r="G3" s="82" t="s">
        <v>70</v>
      </c>
      <c r="H3" s="82" t="s">
        <v>2165</v>
      </c>
      <c r="I3" s="82" t="s">
        <v>24</v>
      </c>
      <c r="J3" s="82" t="s">
        <v>2171</v>
      </c>
      <c r="K3" s="82" t="s">
        <v>2167</v>
      </c>
      <c r="L3" s="82" t="s">
        <v>1946</v>
      </c>
      <c r="M3" s="82" t="s">
        <v>2172</v>
      </c>
      <c r="N3" s="82" t="s">
        <v>1946</v>
      </c>
      <c r="O3" s="82" t="s">
        <v>2173</v>
      </c>
    </row>
    <row r="4" spans="1:15" ht="15.75" hidden="1" x14ac:dyDescent="0.25">
      <c r="A4" t="str">
        <f t="shared" si="0"/>
        <v>ALLARME_DA_SOS-Allarme SOS premuto</v>
      </c>
      <c r="C4" s="82" t="s">
        <v>27</v>
      </c>
      <c r="D4" s="82" t="s">
        <v>28</v>
      </c>
      <c r="E4" s="82" t="s">
        <v>2163</v>
      </c>
      <c r="F4" s="82" t="s">
        <v>27</v>
      </c>
      <c r="G4" s="82" t="s">
        <v>70</v>
      </c>
      <c r="H4" s="82" t="s">
        <v>2165</v>
      </c>
      <c r="I4" s="82" t="s">
        <v>33</v>
      </c>
      <c r="J4" s="82" t="s">
        <v>2174</v>
      </c>
      <c r="K4" s="82" t="s">
        <v>2173</v>
      </c>
      <c r="L4" s="82" t="s">
        <v>2175</v>
      </c>
      <c r="M4" s="82" t="s">
        <v>2176</v>
      </c>
      <c r="N4" s="82" t="s">
        <v>2177</v>
      </c>
      <c r="O4" s="82" t="s">
        <v>2173</v>
      </c>
    </row>
    <row r="5" spans="1:15" ht="15.75" hidden="1" x14ac:dyDescent="0.25">
      <c r="A5" t="str">
        <f t="shared" si="0"/>
        <v>ALLARME_DA_SOS_DIR_NORD-Allarme SOS premuto dir. nord</v>
      </c>
      <c r="C5" s="82" t="s">
        <v>1065</v>
      </c>
      <c r="D5" s="82" t="s">
        <v>1066</v>
      </c>
      <c r="E5" s="82" t="s">
        <v>2163</v>
      </c>
      <c r="F5" s="82" t="s">
        <v>1065</v>
      </c>
      <c r="G5" s="82" t="s">
        <v>1946</v>
      </c>
      <c r="H5" s="82" t="s">
        <v>2165</v>
      </c>
      <c r="I5" s="82" t="s">
        <v>33</v>
      </c>
      <c r="J5" s="82" t="s">
        <v>2174</v>
      </c>
      <c r="K5" s="82" t="s">
        <v>2173</v>
      </c>
      <c r="L5" s="82" t="s">
        <v>2175</v>
      </c>
      <c r="M5" s="82" t="s">
        <v>2176</v>
      </c>
      <c r="N5" s="82" t="s">
        <v>2177</v>
      </c>
      <c r="O5" s="82" t="s">
        <v>2173</v>
      </c>
    </row>
    <row r="6" spans="1:15" ht="15.75" hidden="1" x14ac:dyDescent="0.25">
      <c r="A6" t="str">
        <f t="shared" si="0"/>
        <v>ALLARME_DA_SOS_DIR_SUD-Allarme SOS premuto dir. sud</v>
      </c>
      <c r="C6" s="82" t="s">
        <v>1068</v>
      </c>
      <c r="D6" s="82" t="s">
        <v>1069</v>
      </c>
      <c r="E6" s="82" t="s">
        <v>2163</v>
      </c>
      <c r="F6" s="82" t="s">
        <v>1068</v>
      </c>
      <c r="G6" s="82" t="s">
        <v>1946</v>
      </c>
      <c r="H6" s="82" t="s">
        <v>2165</v>
      </c>
      <c r="I6" s="82" t="s">
        <v>33</v>
      </c>
      <c r="J6" s="82" t="s">
        <v>2174</v>
      </c>
      <c r="K6" s="82" t="s">
        <v>2173</v>
      </c>
      <c r="L6" s="82" t="s">
        <v>2175</v>
      </c>
      <c r="M6" s="82" t="s">
        <v>2176</v>
      </c>
      <c r="N6" s="82" t="s">
        <v>2177</v>
      </c>
      <c r="O6" s="82" t="s">
        <v>2173</v>
      </c>
    </row>
    <row r="7" spans="1:15" ht="15.75" hidden="1" x14ac:dyDescent="0.25">
      <c r="A7" t="str">
        <f t="shared" si="0"/>
        <v>ALLARME_GENERICO-allarme generico</v>
      </c>
      <c r="C7" s="82" t="s">
        <v>36</v>
      </c>
      <c r="D7" s="82" t="s">
        <v>37</v>
      </c>
      <c r="E7" s="82" t="s">
        <v>2163</v>
      </c>
      <c r="F7" s="82" t="s">
        <v>36</v>
      </c>
      <c r="G7" s="82" t="s">
        <v>1946</v>
      </c>
      <c r="H7" s="82" t="s">
        <v>2165</v>
      </c>
      <c r="I7" s="82" t="s">
        <v>24</v>
      </c>
      <c r="J7" s="82" t="s">
        <v>2171</v>
      </c>
      <c r="K7" s="82" t="s">
        <v>2167</v>
      </c>
      <c r="L7" s="82" t="s">
        <v>1946</v>
      </c>
      <c r="M7" s="82" t="s">
        <v>2090</v>
      </c>
      <c r="N7" s="82" t="s">
        <v>1946</v>
      </c>
      <c r="O7" s="82" t="s">
        <v>2173</v>
      </c>
    </row>
    <row r="8" spans="1:15" ht="15.75" hidden="1" x14ac:dyDescent="0.25">
      <c r="A8" t="str">
        <f t="shared" si="0"/>
        <v>ALLARME_INCENDIO_CABINA-Allarme incendio in cabina</v>
      </c>
      <c r="C8" s="82" t="s">
        <v>41</v>
      </c>
      <c r="D8" s="82" t="s">
        <v>42</v>
      </c>
      <c r="E8" s="82" t="s">
        <v>2163</v>
      </c>
      <c r="F8" s="82" t="s">
        <v>41</v>
      </c>
      <c r="G8" s="82" t="s">
        <v>1946</v>
      </c>
      <c r="H8" s="82" t="s">
        <v>2165</v>
      </c>
      <c r="I8" s="82" t="s">
        <v>45</v>
      </c>
      <c r="J8" s="82" t="s">
        <v>2178</v>
      </c>
      <c r="K8" s="82" t="s">
        <v>2173</v>
      </c>
      <c r="L8" s="82" t="s">
        <v>2179</v>
      </c>
      <c r="M8" s="82" t="s">
        <v>2176</v>
      </c>
      <c r="N8" s="82" t="s">
        <v>2180</v>
      </c>
      <c r="O8" s="82" t="s">
        <v>2173</v>
      </c>
    </row>
    <row r="9" spans="1:15" ht="15.75" hidden="1" x14ac:dyDescent="0.25">
      <c r="A9" t="str">
        <f t="shared" si="0"/>
        <v>ALLARME_INCENDIO_DA_SENSORE-Allarme incendio da sensori</v>
      </c>
      <c r="C9" s="82" t="s">
        <v>48</v>
      </c>
      <c r="D9" s="82" t="s">
        <v>49</v>
      </c>
      <c r="E9" s="82" t="s">
        <v>2163</v>
      </c>
      <c r="F9" s="82" t="s">
        <v>48</v>
      </c>
      <c r="G9" s="82" t="s">
        <v>1946</v>
      </c>
      <c r="H9" s="82" t="s">
        <v>2165</v>
      </c>
      <c r="I9" s="82" t="s">
        <v>45</v>
      </c>
      <c r="J9" s="82" t="s">
        <v>2178</v>
      </c>
      <c r="K9" s="82" t="s">
        <v>2173</v>
      </c>
      <c r="L9" s="82" t="s">
        <v>2175</v>
      </c>
      <c r="M9" s="82" t="s">
        <v>2176</v>
      </c>
      <c r="N9" s="82" t="s">
        <v>2180</v>
      </c>
      <c r="O9" s="82" t="s">
        <v>2173</v>
      </c>
    </row>
    <row r="10" spans="1:15" ht="15.75" hidden="1" x14ac:dyDescent="0.25">
      <c r="A10" t="str">
        <f t="shared" si="0"/>
        <v>ALLARME_PRESSIONE-Allarme pressione</v>
      </c>
      <c r="C10" s="82" t="s">
        <v>1930</v>
      </c>
      <c r="D10" s="82" t="s">
        <v>1505</v>
      </c>
      <c r="E10" s="82" t="s">
        <v>2163</v>
      </c>
      <c r="F10" s="82" t="s">
        <v>1930</v>
      </c>
      <c r="G10" s="82" t="s">
        <v>1946</v>
      </c>
      <c r="H10" s="82" t="s">
        <v>2165</v>
      </c>
      <c r="I10" s="82" t="s">
        <v>24</v>
      </c>
      <c r="J10" s="82" t="s">
        <v>2171</v>
      </c>
      <c r="K10" s="82" t="s">
        <v>2167</v>
      </c>
      <c r="L10" s="82" t="s">
        <v>1946</v>
      </c>
      <c r="M10" s="82" t="s">
        <v>2090</v>
      </c>
      <c r="N10" s="82" t="s">
        <v>1946</v>
      </c>
      <c r="O10" s="82" t="s">
        <v>2173</v>
      </c>
    </row>
    <row r="11" spans="1:15" ht="15.75" hidden="1" x14ac:dyDescent="0.25">
      <c r="A11" t="str">
        <f t="shared" si="0"/>
        <v>ALLARME_PRESSIONE_POMPA-Allarme pressione pompa</v>
      </c>
      <c r="C11" s="82" t="s">
        <v>1070</v>
      </c>
      <c r="D11" s="82" t="s">
        <v>1071</v>
      </c>
      <c r="E11" s="82" t="s">
        <v>2163</v>
      </c>
      <c r="F11" s="82" t="s">
        <v>1070</v>
      </c>
      <c r="G11" s="82" t="s">
        <v>1946</v>
      </c>
      <c r="H11" s="82" t="s">
        <v>2165</v>
      </c>
      <c r="I11" s="82" t="s">
        <v>157</v>
      </c>
      <c r="J11" s="82" t="s">
        <v>2181</v>
      </c>
      <c r="K11" s="82" t="s">
        <v>2167</v>
      </c>
      <c r="L11" s="82" t="s">
        <v>1946</v>
      </c>
      <c r="M11" s="82" t="s">
        <v>2090</v>
      </c>
      <c r="N11" s="82" t="s">
        <v>1946</v>
      </c>
      <c r="O11" s="82" t="s">
        <v>2173</v>
      </c>
    </row>
    <row r="12" spans="1:15" ht="15.75" hidden="1" x14ac:dyDescent="0.25">
      <c r="A12" t="str">
        <f t="shared" si="0"/>
        <v>ALL_PLC_RACK-Allarme plc rack</v>
      </c>
      <c r="C12" s="82" t="s">
        <v>17</v>
      </c>
      <c r="D12" s="82" t="s">
        <v>18</v>
      </c>
      <c r="E12" s="82" t="s">
        <v>2163</v>
      </c>
      <c r="F12" s="82" t="s">
        <v>17</v>
      </c>
      <c r="G12" s="82" t="s">
        <v>1946</v>
      </c>
      <c r="H12" s="82" t="s">
        <v>2165</v>
      </c>
      <c r="I12" s="82" t="s">
        <v>24</v>
      </c>
      <c r="J12" s="82" t="s">
        <v>2171</v>
      </c>
      <c r="K12" s="82" t="s">
        <v>2167</v>
      </c>
      <c r="L12" s="82" t="s">
        <v>1946</v>
      </c>
      <c r="M12" s="82" t="s">
        <v>2090</v>
      </c>
      <c r="N12" s="82" t="s">
        <v>1946</v>
      </c>
      <c r="O12" s="82" t="s">
        <v>2173</v>
      </c>
    </row>
    <row r="13" spans="1:15" ht="15.75" hidden="1" x14ac:dyDescent="0.25">
      <c r="A13" t="str">
        <f t="shared" si="0"/>
        <v>ALR-CUM-VENT-NORD-Allarme cumulativo ventilatore Nord</v>
      </c>
      <c r="C13" s="82" t="s">
        <v>1678</v>
      </c>
      <c r="D13" s="82" t="s">
        <v>1679</v>
      </c>
      <c r="E13" s="82" t="s">
        <v>2163</v>
      </c>
      <c r="F13" s="82" t="s">
        <v>1678</v>
      </c>
      <c r="G13" s="82" t="s">
        <v>1946</v>
      </c>
      <c r="H13" s="82" t="s">
        <v>2165</v>
      </c>
      <c r="I13" s="82" t="s">
        <v>24</v>
      </c>
      <c r="J13" s="82" t="s">
        <v>2171</v>
      </c>
      <c r="K13" s="82" t="s">
        <v>2167</v>
      </c>
      <c r="L13" s="82" t="s">
        <v>1946</v>
      </c>
      <c r="M13" s="82" t="s">
        <v>2090</v>
      </c>
      <c r="N13" s="82" t="s">
        <v>1946</v>
      </c>
      <c r="O13" s="82" t="s">
        <v>2173</v>
      </c>
    </row>
    <row r="14" spans="1:15" ht="15.75" hidden="1" x14ac:dyDescent="0.25">
      <c r="A14" t="str">
        <f t="shared" si="0"/>
        <v>ALR-CUM-VENT-SUD-Allarme cumulativo ventilatore Sud</v>
      </c>
      <c r="C14" s="82" t="s">
        <v>1680</v>
      </c>
      <c r="D14" s="82" t="s">
        <v>1681</v>
      </c>
      <c r="E14" s="82" t="s">
        <v>2163</v>
      </c>
      <c r="F14" s="82" t="s">
        <v>1680</v>
      </c>
      <c r="G14" s="82" t="s">
        <v>1946</v>
      </c>
      <c r="H14" s="82" t="s">
        <v>2165</v>
      </c>
      <c r="I14" s="82" t="s">
        <v>24</v>
      </c>
      <c r="J14" s="82" t="s">
        <v>2171</v>
      </c>
      <c r="K14" s="82" t="s">
        <v>2167</v>
      </c>
      <c r="L14" s="82" t="s">
        <v>1946</v>
      </c>
      <c r="M14" s="82" t="s">
        <v>2090</v>
      </c>
      <c r="N14" s="82" t="s">
        <v>1946</v>
      </c>
      <c r="O14" s="82" t="s">
        <v>2173</v>
      </c>
    </row>
    <row r="15" spans="1:15" ht="15.75" hidden="1" x14ac:dyDescent="0.25">
      <c r="A15" t="str">
        <f t="shared" si="0"/>
        <v>ALR-MULTI-FAULT-Allarme multimetro fault</v>
      </c>
      <c r="C15" s="82" t="s">
        <v>1878</v>
      </c>
      <c r="D15" s="82" t="s">
        <v>1879</v>
      </c>
      <c r="E15" s="82" t="s">
        <v>2163</v>
      </c>
      <c r="F15" s="82" t="s">
        <v>1878</v>
      </c>
      <c r="G15" s="82" t="s">
        <v>2182</v>
      </c>
      <c r="H15" s="82" t="s">
        <v>2165</v>
      </c>
      <c r="I15" s="82" t="s">
        <v>24</v>
      </c>
      <c r="J15" s="82" t="s">
        <v>2171</v>
      </c>
      <c r="K15" s="82" t="s">
        <v>2167</v>
      </c>
      <c r="L15" s="82" t="s">
        <v>2182</v>
      </c>
      <c r="M15" s="82" t="s">
        <v>2183</v>
      </c>
      <c r="N15" s="82" t="s">
        <v>1946</v>
      </c>
      <c r="O15" s="82" t="s">
        <v>2173</v>
      </c>
    </row>
    <row r="16" spans="1:15" ht="15.75" hidden="1" x14ac:dyDescent="0.25">
      <c r="A16" t="str">
        <f t="shared" si="0"/>
        <v>ALR-SLOT-0-Allarme Slot 0</v>
      </c>
      <c r="C16" s="82" t="s">
        <v>2124</v>
      </c>
      <c r="D16" s="82" t="s">
        <v>2125</v>
      </c>
      <c r="E16" s="82" t="s">
        <v>2163</v>
      </c>
      <c r="F16" s="82" t="s">
        <v>2124</v>
      </c>
      <c r="G16" s="82" t="s">
        <v>2182</v>
      </c>
      <c r="H16" s="82" t="s">
        <v>2165</v>
      </c>
      <c r="I16" s="82" t="s">
        <v>24</v>
      </c>
      <c r="J16" s="82" t="s">
        <v>2171</v>
      </c>
      <c r="K16" s="82" t="s">
        <v>2167</v>
      </c>
      <c r="L16" s="82" t="s">
        <v>2182</v>
      </c>
      <c r="M16" s="82" t="s">
        <v>2184</v>
      </c>
      <c r="N16" s="82" t="s">
        <v>1946</v>
      </c>
      <c r="O16" s="82" t="s">
        <v>2173</v>
      </c>
    </row>
    <row r="17" spans="1:15" ht="15.75" hidden="1" x14ac:dyDescent="0.25">
      <c r="A17" t="str">
        <f t="shared" si="0"/>
        <v>ALR-SLOT-1-Allarme Slot 1</v>
      </c>
      <c r="C17" s="82" t="s">
        <v>1901</v>
      </c>
      <c r="D17" s="82" t="s">
        <v>1902</v>
      </c>
      <c r="E17" s="82" t="s">
        <v>2163</v>
      </c>
      <c r="F17" s="82" t="s">
        <v>1901</v>
      </c>
      <c r="G17" s="82" t="s">
        <v>2182</v>
      </c>
      <c r="H17" s="82" t="s">
        <v>2165</v>
      </c>
      <c r="I17" s="82" t="s">
        <v>24</v>
      </c>
      <c r="J17" s="82" t="s">
        <v>2171</v>
      </c>
      <c r="K17" s="82" t="s">
        <v>2167</v>
      </c>
      <c r="L17" s="82" t="s">
        <v>2182</v>
      </c>
      <c r="M17" s="82" t="s">
        <v>2184</v>
      </c>
      <c r="N17" s="82" t="s">
        <v>1946</v>
      </c>
      <c r="O17" s="82" t="s">
        <v>2173</v>
      </c>
    </row>
    <row r="18" spans="1:15" ht="15.75" hidden="1" x14ac:dyDescent="0.25">
      <c r="A18" t="str">
        <f t="shared" si="0"/>
        <v>ALR-SLOT-10-Allarme Slot 10</v>
      </c>
      <c r="C18" s="82" t="s">
        <v>2118</v>
      </c>
      <c r="D18" s="82" t="s">
        <v>2119</v>
      </c>
      <c r="E18" s="82" t="s">
        <v>2163</v>
      </c>
      <c r="F18" s="82" t="s">
        <v>2118</v>
      </c>
      <c r="G18" s="82" t="s">
        <v>2182</v>
      </c>
      <c r="H18" s="82" t="s">
        <v>2165</v>
      </c>
      <c r="I18" s="82" t="s">
        <v>24</v>
      </c>
      <c r="J18" s="82" t="s">
        <v>2171</v>
      </c>
      <c r="K18" s="82" t="s">
        <v>2167</v>
      </c>
      <c r="L18" s="82" t="s">
        <v>2182</v>
      </c>
      <c r="M18" s="82" t="s">
        <v>2184</v>
      </c>
      <c r="N18" s="82" t="s">
        <v>1946</v>
      </c>
      <c r="O18" s="82" t="s">
        <v>2173</v>
      </c>
    </row>
    <row r="19" spans="1:15" ht="15.75" hidden="1" x14ac:dyDescent="0.25">
      <c r="A19" t="str">
        <f t="shared" si="0"/>
        <v>ALR-SLOT-11-Allarme Slot 11</v>
      </c>
      <c r="C19" s="82" t="s">
        <v>2120</v>
      </c>
      <c r="D19" s="82" t="s">
        <v>2121</v>
      </c>
      <c r="E19" s="82" t="s">
        <v>2163</v>
      </c>
      <c r="F19" s="82" t="s">
        <v>2120</v>
      </c>
      <c r="G19" s="82" t="s">
        <v>2182</v>
      </c>
      <c r="H19" s="82" t="s">
        <v>2165</v>
      </c>
      <c r="I19" s="82" t="s">
        <v>24</v>
      </c>
      <c r="J19" s="82" t="s">
        <v>2171</v>
      </c>
      <c r="K19" s="82" t="s">
        <v>2167</v>
      </c>
      <c r="L19" s="82" t="s">
        <v>2182</v>
      </c>
      <c r="M19" s="82" t="s">
        <v>2184</v>
      </c>
      <c r="N19" s="82" t="s">
        <v>1946</v>
      </c>
      <c r="O19" s="82" t="s">
        <v>2173</v>
      </c>
    </row>
    <row r="20" spans="1:15" ht="15.75" hidden="1" x14ac:dyDescent="0.25">
      <c r="A20" t="str">
        <f t="shared" si="0"/>
        <v>ALR-SLOT-12-Allarme Slot 12</v>
      </c>
      <c r="C20" s="82" t="s">
        <v>2122</v>
      </c>
      <c r="D20" s="82" t="s">
        <v>2123</v>
      </c>
      <c r="E20" s="82" t="s">
        <v>2163</v>
      </c>
      <c r="F20" s="82" t="s">
        <v>2122</v>
      </c>
      <c r="G20" s="82" t="s">
        <v>2182</v>
      </c>
      <c r="H20" s="82" t="s">
        <v>2165</v>
      </c>
      <c r="I20" s="82" t="s">
        <v>24</v>
      </c>
      <c r="J20" s="82" t="s">
        <v>2171</v>
      </c>
      <c r="K20" s="82" t="s">
        <v>2167</v>
      </c>
      <c r="L20" s="82" t="s">
        <v>2182</v>
      </c>
      <c r="M20" s="82" t="s">
        <v>2184</v>
      </c>
      <c r="N20" s="82" t="s">
        <v>1946</v>
      </c>
      <c r="O20" s="82" t="s">
        <v>2173</v>
      </c>
    </row>
    <row r="21" spans="1:15" ht="15.75" hidden="1" x14ac:dyDescent="0.25">
      <c r="A21" t="str">
        <f t="shared" si="0"/>
        <v>ALR-SLOT-2-Allarme Slot 2</v>
      </c>
      <c r="C21" s="82" t="s">
        <v>1903</v>
      </c>
      <c r="D21" s="82" t="s">
        <v>1904</v>
      </c>
      <c r="E21" s="82" t="s">
        <v>2163</v>
      </c>
      <c r="F21" s="82" t="s">
        <v>1903</v>
      </c>
      <c r="G21" s="82" t="s">
        <v>2182</v>
      </c>
      <c r="H21" s="82" t="s">
        <v>2165</v>
      </c>
      <c r="I21" s="82" t="s">
        <v>24</v>
      </c>
      <c r="J21" s="82" t="s">
        <v>2171</v>
      </c>
      <c r="K21" s="82" t="s">
        <v>2167</v>
      </c>
      <c r="L21" s="82" t="s">
        <v>2182</v>
      </c>
      <c r="M21" s="82" t="s">
        <v>2184</v>
      </c>
      <c r="N21" s="82" t="s">
        <v>1946</v>
      </c>
      <c r="O21" s="82" t="s">
        <v>2173</v>
      </c>
    </row>
    <row r="22" spans="1:15" ht="15.75" hidden="1" x14ac:dyDescent="0.25">
      <c r="A22" t="str">
        <f t="shared" si="0"/>
        <v>ALR-SLOT-3-Allarme Slot 3</v>
      </c>
      <c r="C22" s="82" t="s">
        <v>1905</v>
      </c>
      <c r="D22" s="82" t="s">
        <v>1906</v>
      </c>
      <c r="E22" s="82" t="s">
        <v>2163</v>
      </c>
      <c r="F22" s="82" t="s">
        <v>1905</v>
      </c>
      <c r="G22" s="82" t="s">
        <v>2182</v>
      </c>
      <c r="H22" s="82" t="s">
        <v>2165</v>
      </c>
      <c r="I22" s="82" t="s">
        <v>24</v>
      </c>
      <c r="J22" s="82" t="s">
        <v>2171</v>
      </c>
      <c r="K22" s="82" t="s">
        <v>2167</v>
      </c>
      <c r="L22" s="82" t="s">
        <v>2182</v>
      </c>
      <c r="M22" s="82" t="s">
        <v>2184</v>
      </c>
      <c r="N22" s="82" t="s">
        <v>1946</v>
      </c>
      <c r="O22" s="82" t="s">
        <v>2173</v>
      </c>
    </row>
    <row r="23" spans="1:15" ht="15.75" hidden="1" x14ac:dyDescent="0.25">
      <c r="A23" t="str">
        <f t="shared" si="0"/>
        <v>ALR-SLOT-4-Allarme Slot 4</v>
      </c>
      <c r="C23" s="82" t="s">
        <v>2105</v>
      </c>
      <c r="D23" s="82" t="s">
        <v>2106</v>
      </c>
      <c r="E23" s="82" t="s">
        <v>2163</v>
      </c>
      <c r="F23" s="82" t="s">
        <v>2105</v>
      </c>
      <c r="G23" s="82" t="s">
        <v>2182</v>
      </c>
      <c r="H23" s="82" t="s">
        <v>2165</v>
      </c>
      <c r="I23" s="82" t="s">
        <v>24</v>
      </c>
      <c r="J23" s="82" t="s">
        <v>2171</v>
      </c>
      <c r="K23" s="82" t="s">
        <v>2167</v>
      </c>
      <c r="L23" s="82" t="s">
        <v>2182</v>
      </c>
      <c r="M23" s="82" t="s">
        <v>2184</v>
      </c>
      <c r="N23" s="82" t="s">
        <v>1946</v>
      </c>
      <c r="O23" s="82" t="s">
        <v>2173</v>
      </c>
    </row>
    <row r="24" spans="1:15" ht="15.75" hidden="1" x14ac:dyDescent="0.25">
      <c r="A24" t="str">
        <f t="shared" si="0"/>
        <v>ALR-SLOT-5-Allarme Slot 5</v>
      </c>
      <c r="C24" s="82" t="s">
        <v>2108</v>
      </c>
      <c r="D24" s="82" t="s">
        <v>2109</v>
      </c>
      <c r="E24" s="82" t="s">
        <v>2163</v>
      </c>
      <c r="F24" s="82" t="s">
        <v>2108</v>
      </c>
      <c r="G24" s="82" t="s">
        <v>2182</v>
      </c>
      <c r="H24" s="82" t="s">
        <v>2165</v>
      </c>
      <c r="I24" s="82" t="s">
        <v>24</v>
      </c>
      <c r="J24" s="82" t="s">
        <v>2171</v>
      </c>
      <c r="K24" s="82" t="s">
        <v>2167</v>
      </c>
      <c r="L24" s="82" t="s">
        <v>2182</v>
      </c>
      <c r="M24" s="82" t="s">
        <v>2184</v>
      </c>
      <c r="N24" s="82" t="s">
        <v>1946</v>
      </c>
      <c r="O24" s="82" t="s">
        <v>2173</v>
      </c>
    </row>
    <row r="25" spans="1:15" ht="15.75" hidden="1" x14ac:dyDescent="0.25">
      <c r="A25" t="str">
        <f t="shared" si="0"/>
        <v>ALR-SLOT-6-Allarme Slot 6</v>
      </c>
      <c r="C25" s="82" t="s">
        <v>2110</v>
      </c>
      <c r="D25" s="82" t="s">
        <v>2111</v>
      </c>
      <c r="E25" s="82" t="s">
        <v>2163</v>
      </c>
      <c r="F25" s="82" t="s">
        <v>2110</v>
      </c>
      <c r="G25" s="82" t="s">
        <v>2182</v>
      </c>
      <c r="H25" s="82" t="s">
        <v>2165</v>
      </c>
      <c r="I25" s="82" t="s">
        <v>24</v>
      </c>
      <c r="J25" s="82" t="s">
        <v>2171</v>
      </c>
      <c r="K25" s="82" t="s">
        <v>2167</v>
      </c>
      <c r="L25" s="82" t="s">
        <v>2182</v>
      </c>
      <c r="M25" s="82" t="s">
        <v>2184</v>
      </c>
      <c r="N25" s="82" t="s">
        <v>1946</v>
      </c>
      <c r="O25" s="82" t="s">
        <v>2173</v>
      </c>
    </row>
    <row r="26" spans="1:15" ht="15.75" hidden="1" x14ac:dyDescent="0.25">
      <c r="A26" t="str">
        <f t="shared" si="0"/>
        <v>ALR-SLOT-7-Allarme Slot 7</v>
      </c>
      <c r="C26" s="82" t="s">
        <v>2112</v>
      </c>
      <c r="D26" s="82" t="s">
        <v>2113</v>
      </c>
      <c r="E26" s="82" t="s">
        <v>2163</v>
      </c>
      <c r="F26" s="82" t="s">
        <v>2112</v>
      </c>
      <c r="G26" s="82" t="s">
        <v>2182</v>
      </c>
      <c r="H26" s="82" t="s">
        <v>2165</v>
      </c>
      <c r="I26" s="82" t="s">
        <v>24</v>
      </c>
      <c r="J26" s="82" t="s">
        <v>2171</v>
      </c>
      <c r="K26" s="82" t="s">
        <v>2167</v>
      </c>
      <c r="L26" s="82" t="s">
        <v>2182</v>
      </c>
      <c r="M26" s="82" t="s">
        <v>2184</v>
      </c>
      <c r="N26" s="82" t="s">
        <v>1946</v>
      </c>
      <c r="O26" s="82" t="s">
        <v>2173</v>
      </c>
    </row>
    <row r="27" spans="1:15" ht="15.75" hidden="1" x14ac:dyDescent="0.25">
      <c r="A27" t="str">
        <f t="shared" si="0"/>
        <v>ALR-SLOT-8-Allarme Slot 8</v>
      </c>
      <c r="C27" s="82" t="s">
        <v>2114</v>
      </c>
      <c r="D27" s="82" t="s">
        <v>2115</v>
      </c>
      <c r="E27" s="82" t="s">
        <v>2163</v>
      </c>
      <c r="F27" s="82" t="s">
        <v>2114</v>
      </c>
      <c r="G27" s="82" t="s">
        <v>2182</v>
      </c>
      <c r="H27" s="82" t="s">
        <v>2165</v>
      </c>
      <c r="I27" s="82" t="s">
        <v>24</v>
      </c>
      <c r="J27" s="82" t="s">
        <v>2171</v>
      </c>
      <c r="K27" s="82" t="s">
        <v>2167</v>
      </c>
      <c r="L27" s="82" t="s">
        <v>2182</v>
      </c>
      <c r="M27" s="82" t="s">
        <v>2184</v>
      </c>
      <c r="N27" s="82" t="s">
        <v>1946</v>
      </c>
      <c r="O27" s="82" t="s">
        <v>2173</v>
      </c>
    </row>
    <row r="28" spans="1:15" ht="15.75" hidden="1" x14ac:dyDescent="0.25">
      <c r="A28" t="str">
        <f t="shared" si="0"/>
        <v>ALR-SLOT-9-Allarme Slot 9</v>
      </c>
      <c r="C28" s="82" t="s">
        <v>2116</v>
      </c>
      <c r="D28" s="82" t="s">
        <v>2117</v>
      </c>
      <c r="E28" s="82" t="s">
        <v>2163</v>
      </c>
      <c r="F28" s="82" t="s">
        <v>2116</v>
      </c>
      <c r="G28" s="82" t="s">
        <v>2182</v>
      </c>
      <c r="H28" s="82" t="s">
        <v>2165</v>
      </c>
      <c r="I28" s="82" t="s">
        <v>24</v>
      </c>
      <c r="J28" s="82" t="s">
        <v>2171</v>
      </c>
      <c r="K28" s="82" t="s">
        <v>2167</v>
      </c>
      <c r="L28" s="82" t="s">
        <v>2182</v>
      </c>
      <c r="M28" s="82" t="s">
        <v>2184</v>
      </c>
      <c r="N28" s="82" t="s">
        <v>1946</v>
      </c>
      <c r="O28" s="82" t="s">
        <v>2173</v>
      </c>
    </row>
    <row r="29" spans="1:15" ht="15.75" hidden="1" x14ac:dyDescent="0.25">
      <c r="A29" t="str">
        <f t="shared" si="0"/>
        <v>ALR_113-Allarme SOS pulsante 113</v>
      </c>
      <c r="C29" s="82" t="s">
        <v>58</v>
      </c>
      <c r="D29" s="82" t="s">
        <v>59</v>
      </c>
      <c r="E29" s="82" t="s">
        <v>2163</v>
      </c>
      <c r="F29" s="82" t="s">
        <v>58</v>
      </c>
      <c r="G29" s="82" t="s">
        <v>1946</v>
      </c>
      <c r="H29" s="82" t="s">
        <v>2165</v>
      </c>
      <c r="I29" s="82" t="s">
        <v>33</v>
      </c>
      <c r="J29" s="82" t="s">
        <v>2174</v>
      </c>
      <c r="K29" s="82" t="s">
        <v>2173</v>
      </c>
      <c r="L29" s="82" t="s">
        <v>2175</v>
      </c>
      <c r="M29" s="82" t="s">
        <v>2176</v>
      </c>
      <c r="N29" s="82" t="s">
        <v>2177</v>
      </c>
      <c r="O29" s="82" t="s">
        <v>2173</v>
      </c>
    </row>
    <row r="30" spans="1:15" ht="15.75" hidden="1" x14ac:dyDescent="0.25">
      <c r="A30" t="str">
        <f t="shared" si="0"/>
        <v>ALR_113_DIR_NORD-Allarme SOS pulsante 113 dir. nord</v>
      </c>
      <c r="C30" s="82" t="s">
        <v>1072</v>
      </c>
      <c r="D30" s="82" t="s">
        <v>1073</v>
      </c>
      <c r="E30" s="82" t="s">
        <v>2163</v>
      </c>
      <c r="F30" s="82" t="s">
        <v>1072</v>
      </c>
      <c r="G30" s="82" t="s">
        <v>1946</v>
      </c>
      <c r="H30" s="82" t="s">
        <v>2165</v>
      </c>
      <c r="I30" s="82" t="s">
        <v>33</v>
      </c>
      <c r="J30" s="82" t="s">
        <v>2174</v>
      </c>
      <c r="K30" s="82" t="s">
        <v>2173</v>
      </c>
      <c r="L30" s="82" t="s">
        <v>2175</v>
      </c>
      <c r="M30" s="82" t="s">
        <v>2176</v>
      </c>
      <c r="N30" s="82" t="s">
        <v>2177</v>
      </c>
      <c r="O30" s="82" t="s">
        <v>2173</v>
      </c>
    </row>
    <row r="31" spans="1:15" ht="15.75" hidden="1" x14ac:dyDescent="0.25">
      <c r="A31" t="str">
        <f t="shared" si="0"/>
        <v>ALR_113_DIR_SUD-Allarme SOS pulsante 113 dir. sud</v>
      </c>
      <c r="C31" s="82" t="s">
        <v>1074</v>
      </c>
      <c r="D31" s="82" t="s">
        <v>1075</v>
      </c>
      <c r="E31" s="82" t="s">
        <v>2163</v>
      </c>
      <c r="F31" s="82" t="s">
        <v>1074</v>
      </c>
      <c r="G31" s="82" t="s">
        <v>1946</v>
      </c>
      <c r="H31" s="82" t="s">
        <v>2165</v>
      </c>
      <c r="I31" s="82" t="s">
        <v>33</v>
      </c>
      <c r="J31" s="82" t="s">
        <v>2174</v>
      </c>
      <c r="K31" s="82" t="s">
        <v>2173</v>
      </c>
      <c r="L31" s="82" t="s">
        <v>2175</v>
      </c>
      <c r="M31" s="82" t="s">
        <v>2176</v>
      </c>
      <c r="N31" s="82" t="s">
        <v>2177</v>
      </c>
      <c r="O31" s="82" t="s">
        <v>2173</v>
      </c>
    </row>
    <row r="32" spans="1:15" ht="15.75" hidden="1" x14ac:dyDescent="0.25">
      <c r="A32" t="str">
        <f t="shared" si="0"/>
        <v>ALR_115-Allarme SOS pulsante 115</v>
      </c>
      <c r="C32" s="82" t="s">
        <v>60</v>
      </c>
      <c r="D32" s="82" t="s">
        <v>61</v>
      </c>
      <c r="E32" s="82" t="s">
        <v>2163</v>
      </c>
      <c r="F32" s="82" t="s">
        <v>60</v>
      </c>
      <c r="G32" s="82" t="s">
        <v>1946</v>
      </c>
      <c r="H32" s="82" t="s">
        <v>2165</v>
      </c>
      <c r="I32" s="82" t="s">
        <v>33</v>
      </c>
      <c r="J32" s="82" t="s">
        <v>2174</v>
      </c>
      <c r="K32" s="82" t="s">
        <v>2173</v>
      </c>
      <c r="L32" s="82" t="s">
        <v>2175</v>
      </c>
      <c r="M32" s="82" t="s">
        <v>2176</v>
      </c>
      <c r="N32" s="82" t="s">
        <v>2177</v>
      </c>
      <c r="O32" s="82" t="s">
        <v>2173</v>
      </c>
    </row>
    <row r="33" spans="1:15" ht="15.75" hidden="1" x14ac:dyDescent="0.25">
      <c r="A33" t="str">
        <f t="shared" si="0"/>
        <v>ALR_115_DIR_NORD-Allarme SOS pulsante 115 dir. nord</v>
      </c>
      <c r="C33" s="82" t="s">
        <v>1076</v>
      </c>
      <c r="D33" s="82" t="s">
        <v>1077</v>
      </c>
      <c r="E33" s="82" t="s">
        <v>2163</v>
      </c>
      <c r="F33" s="82" t="s">
        <v>1076</v>
      </c>
      <c r="G33" s="82" t="s">
        <v>1946</v>
      </c>
      <c r="H33" s="82" t="s">
        <v>2165</v>
      </c>
      <c r="I33" s="82" t="s">
        <v>33</v>
      </c>
      <c r="J33" s="82" t="s">
        <v>2174</v>
      </c>
      <c r="K33" s="82" t="s">
        <v>2173</v>
      </c>
      <c r="L33" s="82" t="s">
        <v>2175</v>
      </c>
      <c r="M33" s="82" t="s">
        <v>2176</v>
      </c>
      <c r="N33" s="82" t="s">
        <v>2177</v>
      </c>
      <c r="O33" s="82" t="s">
        <v>2173</v>
      </c>
    </row>
    <row r="34" spans="1:15" ht="15.75" hidden="1" x14ac:dyDescent="0.25">
      <c r="A34" t="str">
        <f t="shared" si="0"/>
        <v>ALR_115_DIR_SUD-Allarme SOS pulsante 115 dir. sud</v>
      </c>
      <c r="C34" s="82" t="s">
        <v>1078</v>
      </c>
      <c r="D34" s="82" t="s">
        <v>1079</v>
      </c>
      <c r="E34" s="82" t="s">
        <v>2163</v>
      </c>
      <c r="F34" s="82" t="s">
        <v>1078</v>
      </c>
      <c r="G34" s="82" t="s">
        <v>1946</v>
      </c>
      <c r="H34" s="82" t="s">
        <v>2165</v>
      </c>
      <c r="I34" s="82" t="s">
        <v>33</v>
      </c>
      <c r="J34" s="82" t="s">
        <v>2174</v>
      </c>
      <c r="K34" s="82" t="s">
        <v>2173</v>
      </c>
      <c r="L34" s="82" t="s">
        <v>2175</v>
      </c>
      <c r="M34" s="82" t="s">
        <v>2176</v>
      </c>
      <c r="N34" s="82" t="s">
        <v>2177</v>
      </c>
      <c r="O34" s="82" t="s">
        <v>2173</v>
      </c>
    </row>
    <row r="35" spans="1:15" ht="15.75" hidden="1" x14ac:dyDescent="0.25">
      <c r="A35" t="str">
        <f t="shared" si="0"/>
        <v>ALR_118-Allarme SOS pulsante 118</v>
      </c>
      <c r="C35" s="82" t="s">
        <v>62</v>
      </c>
      <c r="D35" s="82" t="s">
        <v>63</v>
      </c>
      <c r="E35" s="82" t="s">
        <v>2163</v>
      </c>
      <c r="F35" s="82" t="s">
        <v>62</v>
      </c>
      <c r="G35" s="82" t="s">
        <v>1946</v>
      </c>
      <c r="H35" s="82" t="s">
        <v>2165</v>
      </c>
      <c r="I35" s="82" t="s">
        <v>33</v>
      </c>
      <c r="J35" s="82" t="s">
        <v>2174</v>
      </c>
      <c r="K35" s="82" t="s">
        <v>2173</v>
      </c>
      <c r="L35" s="82" t="s">
        <v>2175</v>
      </c>
      <c r="M35" s="82" t="s">
        <v>2176</v>
      </c>
      <c r="N35" s="82" t="s">
        <v>2177</v>
      </c>
      <c r="O35" s="82" t="s">
        <v>2173</v>
      </c>
    </row>
    <row r="36" spans="1:15" ht="15.75" hidden="1" x14ac:dyDescent="0.25">
      <c r="A36" t="str">
        <f t="shared" si="0"/>
        <v>ALR_118_DIR_NORD-Allarme SOS pulsante 118 dir. nord</v>
      </c>
      <c r="C36" s="82" t="s">
        <v>1080</v>
      </c>
      <c r="D36" s="82" t="s">
        <v>1081</v>
      </c>
      <c r="E36" s="82" t="s">
        <v>2163</v>
      </c>
      <c r="F36" s="82" t="s">
        <v>1080</v>
      </c>
      <c r="G36" s="82" t="s">
        <v>1946</v>
      </c>
      <c r="H36" s="82" t="s">
        <v>2165</v>
      </c>
      <c r="I36" s="82" t="s">
        <v>33</v>
      </c>
      <c r="J36" s="82" t="s">
        <v>2174</v>
      </c>
      <c r="K36" s="82" t="s">
        <v>2173</v>
      </c>
      <c r="L36" s="82" t="s">
        <v>2175</v>
      </c>
      <c r="M36" s="82" t="s">
        <v>2176</v>
      </c>
      <c r="N36" s="82" t="s">
        <v>2177</v>
      </c>
      <c r="O36" s="82" t="s">
        <v>2173</v>
      </c>
    </row>
    <row r="37" spans="1:15" ht="15.75" hidden="1" x14ac:dyDescent="0.25">
      <c r="A37" t="str">
        <f t="shared" si="0"/>
        <v>ALR_118_DIR_SUD-Allarme SOS pulsante 118 dir. sud</v>
      </c>
      <c r="C37" s="82" t="s">
        <v>1082</v>
      </c>
      <c r="D37" s="82" t="s">
        <v>1083</v>
      </c>
      <c r="E37" s="82" t="s">
        <v>2163</v>
      </c>
      <c r="F37" s="82" t="s">
        <v>1082</v>
      </c>
      <c r="G37" s="82" t="s">
        <v>1946</v>
      </c>
      <c r="H37" s="82" t="s">
        <v>2165</v>
      </c>
      <c r="I37" s="82" t="s">
        <v>33</v>
      </c>
      <c r="J37" s="82" t="s">
        <v>2174</v>
      </c>
      <c r="K37" s="82" t="s">
        <v>2173</v>
      </c>
      <c r="L37" s="82" t="s">
        <v>2175</v>
      </c>
      <c r="M37" s="82" t="s">
        <v>2176</v>
      </c>
      <c r="N37" s="82" t="s">
        <v>2177</v>
      </c>
      <c r="O37" s="82" t="s">
        <v>2173</v>
      </c>
    </row>
    <row r="38" spans="1:15" ht="15.75" hidden="1" x14ac:dyDescent="0.25">
      <c r="A38" t="str">
        <f t="shared" si="0"/>
        <v>ALR_1_GRUPPO_ELETTROGENO-Allarme centralina gestione elettronica GE - alarm1</v>
      </c>
      <c r="C38" s="82" t="s">
        <v>54</v>
      </c>
      <c r="D38" s="82" t="s">
        <v>55</v>
      </c>
      <c r="E38" s="82" t="s">
        <v>2163</v>
      </c>
      <c r="F38" s="82" t="s">
        <v>54</v>
      </c>
      <c r="G38" s="82" t="s">
        <v>1946</v>
      </c>
      <c r="H38" s="82" t="s">
        <v>2165</v>
      </c>
      <c r="I38" s="82" t="s">
        <v>24</v>
      </c>
      <c r="J38" s="82" t="s">
        <v>2171</v>
      </c>
      <c r="K38" s="82" t="s">
        <v>2167</v>
      </c>
      <c r="L38" s="82" t="s">
        <v>1946</v>
      </c>
      <c r="M38" s="82" t="s">
        <v>2090</v>
      </c>
      <c r="N38" s="82" t="s">
        <v>1946</v>
      </c>
      <c r="O38" s="82" t="s">
        <v>2173</v>
      </c>
    </row>
    <row r="39" spans="1:15" ht="15.75" hidden="1" x14ac:dyDescent="0.25">
      <c r="A39" t="str">
        <f t="shared" si="0"/>
        <v>ALR_2_GRUPPO_ELETTROGENO-Allarme centralina gestione elettronica GE - alarm2</v>
      </c>
      <c r="C39" s="82" t="s">
        <v>64</v>
      </c>
      <c r="D39" s="82" t="s">
        <v>65</v>
      </c>
      <c r="E39" s="82" t="s">
        <v>2163</v>
      </c>
      <c r="F39" s="82" t="s">
        <v>64</v>
      </c>
      <c r="G39" s="82" t="s">
        <v>1946</v>
      </c>
      <c r="H39" s="82" t="s">
        <v>2165</v>
      </c>
      <c r="I39" s="82" t="s">
        <v>24</v>
      </c>
      <c r="J39" s="82" t="s">
        <v>2171</v>
      </c>
      <c r="K39" s="82" t="s">
        <v>2167</v>
      </c>
      <c r="L39" s="82" t="s">
        <v>1946</v>
      </c>
      <c r="M39" s="82" t="s">
        <v>2090</v>
      </c>
      <c r="N39" s="82" t="s">
        <v>1946</v>
      </c>
      <c r="O39" s="82" t="s">
        <v>2173</v>
      </c>
    </row>
    <row r="40" spans="1:15" ht="15.75" hidden="1" x14ac:dyDescent="0.25">
      <c r="A40" t="str">
        <f t="shared" si="0"/>
        <v>ALR_800116-Allarme SOS soccorso meccanico_800116</v>
      </c>
      <c r="C40" s="82" t="s">
        <v>66</v>
      </c>
      <c r="D40" s="82" t="s">
        <v>67</v>
      </c>
      <c r="E40" s="82" t="s">
        <v>2163</v>
      </c>
      <c r="F40" s="82" t="s">
        <v>66</v>
      </c>
      <c r="G40" s="82" t="s">
        <v>1946</v>
      </c>
      <c r="H40" s="82" t="s">
        <v>2165</v>
      </c>
      <c r="I40" s="82" t="s">
        <v>33</v>
      </c>
      <c r="J40" s="82" t="s">
        <v>2174</v>
      </c>
      <c r="K40" s="82" t="s">
        <v>2173</v>
      </c>
      <c r="L40" s="82" t="s">
        <v>2175</v>
      </c>
      <c r="M40" s="82" t="s">
        <v>2176</v>
      </c>
      <c r="N40" s="82" t="s">
        <v>2177</v>
      </c>
      <c r="O40" s="82" t="s">
        <v>2173</v>
      </c>
    </row>
    <row r="41" spans="1:15" ht="15.75" hidden="1" x14ac:dyDescent="0.25">
      <c r="A41" t="str">
        <f t="shared" si="0"/>
        <v>ALR_803116-Allarme SOS soccorso meccanico_803116</v>
      </c>
      <c r="C41" s="82" t="s">
        <v>68</v>
      </c>
      <c r="D41" s="82" t="s">
        <v>69</v>
      </c>
      <c r="E41" s="82" t="s">
        <v>2163</v>
      </c>
      <c r="F41" s="82" t="s">
        <v>68</v>
      </c>
      <c r="G41" s="82" t="s">
        <v>1946</v>
      </c>
      <c r="H41" s="82" t="s">
        <v>2165</v>
      </c>
      <c r="I41" s="82" t="s">
        <v>33</v>
      </c>
      <c r="J41" s="82" t="s">
        <v>2174</v>
      </c>
      <c r="K41" s="82" t="s">
        <v>2173</v>
      </c>
      <c r="L41" s="82" t="s">
        <v>2175</v>
      </c>
      <c r="M41" s="82" t="s">
        <v>2176</v>
      </c>
      <c r="N41" s="82" t="s">
        <v>2177</v>
      </c>
      <c r="O41" s="82" t="s">
        <v>2173</v>
      </c>
    </row>
    <row r="42" spans="1:15" ht="15.75" hidden="1" x14ac:dyDescent="0.25">
      <c r="A42" t="str">
        <f t="shared" si="0"/>
        <v>ALR_803116_DIR_NORD-Allarme SOS soccorso meccanico dir. Nord</v>
      </c>
      <c r="C42" s="82" t="s">
        <v>1084</v>
      </c>
      <c r="D42" s="82" t="s">
        <v>1085</v>
      </c>
      <c r="E42" s="82" t="s">
        <v>2163</v>
      </c>
      <c r="F42" s="82" t="s">
        <v>1084</v>
      </c>
      <c r="G42" s="82" t="s">
        <v>1946</v>
      </c>
      <c r="H42" s="82" t="s">
        <v>2165</v>
      </c>
      <c r="I42" s="82" t="s">
        <v>33</v>
      </c>
      <c r="J42" s="82" t="s">
        <v>2174</v>
      </c>
      <c r="K42" s="82" t="s">
        <v>2173</v>
      </c>
      <c r="L42" s="82" t="s">
        <v>2175</v>
      </c>
      <c r="M42" s="82" t="s">
        <v>2176</v>
      </c>
      <c r="N42" s="82" t="s">
        <v>2177</v>
      </c>
      <c r="O42" s="82" t="s">
        <v>2173</v>
      </c>
    </row>
    <row r="43" spans="1:15" ht="15.75" hidden="1" x14ac:dyDescent="0.25">
      <c r="A43" t="str">
        <f t="shared" si="0"/>
        <v>ALR_803116_DIR_SUD-Allarme SOS soccorso meccanico dir. Sud</v>
      </c>
      <c r="C43" s="82" t="s">
        <v>1086</v>
      </c>
      <c r="D43" s="82" t="s">
        <v>1087</v>
      </c>
      <c r="E43" s="82" t="s">
        <v>2163</v>
      </c>
      <c r="F43" s="82" t="s">
        <v>1086</v>
      </c>
      <c r="G43" s="82" t="s">
        <v>1946</v>
      </c>
      <c r="H43" s="82" t="s">
        <v>2165</v>
      </c>
      <c r="I43" s="82" t="s">
        <v>33</v>
      </c>
      <c r="J43" s="82" t="s">
        <v>2174</v>
      </c>
      <c r="K43" s="82" t="s">
        <v>2173</v>
      </c>
      <c r="L43" s="82" t="s">
        <v>2175</v>
      </c>
      <c r="M43" s="82" t="s">
        <v>2176</v>
      </c>
      <c r="N43" s="82" t="s">
        <v>2177</v>
      </c>
      <c r="O43" s="82" t="s">
        <v>2173</v>
      </c>
    </row>
    <row r="44" spans="1:15" ht="15.75" hidden="1" x14ac:dyDescent="0.25">
      <c r="A44" t="str">
        <f t="shared" si="0"/>
        <v>ALR_ACK-Allarme ACK</v>
      </c>
      <c r="C44" s="82" t="s">
        <v>2185</v>
      </c>
      <c r="D44" s="82" t="s">
        <v>2186</v>
      </c>
      <c r="E44" s="82" t="s">
        <v>2163</v>
      </c>
      <c r="F44" s="82" t="s">
        <v>2185</v>
      </c>
      <c r="G44" s="82" t="s">
        <v>1946</v>
      </c>
      <c r="H44" s="82" t="s">
        <v>2165</v>
      </c>
      <c r="I44" s="82" t="s">
        <v>24</v>
      </c>
      <c r="J44" s="82" t="s">
        <v>2171</v>
      </c>
      <c r="K44" s="82" t="s">
        <v>2173</v>
      </c>
      <c r="L44" s="82" t="s">
        <v>1946</v>
      </c>
      <c r="M44" s="82" t="s">
        <v>2090</v>
      </c>
      <c r="N44" s="82" t="s">
        <v>1946</v>
      </c>
      <c r="O44" s="82" t="s">
        <v>2173</v>
      </c>
    </row>
    <row r="45" spans="1:15" ht="15.75" hidden="1" x14ac:dyDescent="0.25">
      <c r="A45" t="str">
        <f t="shared" si="0"/>
        <v>ALR_ALIMENTAZIONE_DA_BATTERIA-Allarme alimentazione da batteria</v>
      </c>
      <c r="C45" s="82" t="s">
        <v>1089</v>
      </c>
      <c r="D45" s="82" t="s">
        <v>1090</v>
      </c>
      <c r="E45" s="82" t="s">
        <v>2163</v>
      </c>
      <c r="F45" s="82" t="s">
        <v>1089</v>
      </c>
      <c r="G45" s="82" t="s">
        <v>1946</v>
      </c>
      <c r="H45" s="82" t="s">
        <v>2165</v>
      </c>
      <c r="I45" s="82" t="s">
        <v>24</v>
      </c>
      <c r="J45" s="82" t="s">
        <v>2171</v>
      </c>
      <c r="K45" s="82" t="s">
        <v>2167</v>
      </c>
      <c r="L45" s="82" t="s">
        <v>1946</v>
      </c>
      <c r="M45" s="82" t="s">
        <v>2090</v>
      </c>
      <c r="N45" s="82" t="s">
        <v>1946</v>
      </c>
      <c r="O45" s="82" t="s">
        <v>2173</v>
      </c>
    </row>
    <row r="46" spans="1:15" ht="15.75" hidden="1" x14ac:dyDescent="0.25">
      <c r="A46" t="str">
        <f t="shared" si="0"/>
        <v>ALR_ALLAGAMENTO-Allarme Allagamento</v>
      </c>
      <c r="C46" s="82" t="s">
        <v>71</v>
      </c>
      <c r="D46" s="82" t="s">
        <v>72</v>
      </c>
      <c r="E46" s="82" t="s">
        <v>2163</v>
      </c>
      <c r="F46" s="82" t="s">
        <v>71</v>
      </c>
      <c r="G46" s="82" t="s">
        <v>1946</v>
      </c>
      <c r="H46" s="82" t="s">
        <v>2165</v>
      </c>
      <c r="I46" s="82" t="s">
        <v>33</v>
      </c>
      <c r="J46" s="82" t="s">
        <v>2174</v>
      </c>
      <c r="K46" s="82" t="s">
        <v>2173</v>
      </c>
      <c r="L46" s="82" t="s">
        <v>2175</v>
      </c>
      <c r="M46" s="82" t="s">
        <v>2176</v>
      </c>
      <c r="N46" s="82" t="s">
        <v>2180</v>
      </c>
      <c r="O46" s="82" t="s">
        <v>2173</v>
      </c>
    </row>
    <row r="47" spans="1:15" ht="15.75" hidden="1" x14ac:dyDescent="0.25">
      <c r="A47" t="str">
        <f t="shared" si="0"/>
        <v>ALR_ALLAGAMENTO_1_IMP-Allarme Allagamento</v>
      </c>
      <c r="C47" s="82" t="s">
        <v>2187</v>
      </c>
      <c r="D47" s="82" t="s">
        <v>72</v>
      </c>
      <c r="E47" s="82" t="s">
        <v>2163</v>
      </c>
      <c r="F47" s="82" t="s">
        <v>2187</v>
      </c>
      <c r="G47" s="82" t="s">
        <v>1946</v>
      </c>
      <c r="H47" s="82" t="s">
        <v>2165</v>
      </c>
      <c r="I47" s="82" t="s">
        <v>33</v>
      </c>
      <c r="J47" s="82" t="s">
        <v>2174</v>
      </c>
      <c r="K47" s="82" t="s">
        <v>2173</v>
      </c>
      <c r="L47" s="82" t="s">
        <v>1946</v>
      </c>
      <c r="M47" s="82" t="s">
        <v>2183</v>
      </c>
      <c r="N47" s="82" t="s">
        <v>1946</v>
      </c>
      <c r="O47" s="82" t="s">
        <v>2173</v>
      </c>
    </row>
    <row r="48" spans="1:15" ht="15.75" hidden="1" x14ac:dyDescent="0.25">
      <c r="A48" t="str">
        <f t="shared" si="0"/>
        <v>ALR_ALLINEAMENTO-Allarme allineamento ventilatore</v>
      </c>
      <c r="C48" s="82" t="s">
        <v>1092</v>
      </c>
      <c r="D48" s="82" t="s">
        <v>1093</v>
      </c>
      <c r="E48" s="82" t="s">
        <v>2163</v>
      </c>
      <c r="F48" s="82" t="s">
        <v>1092</v>
      </c>
      <c r="G48" s="82" t="s">
        <v>1946</v>
      </c>
      <c r="H48" s="82" t="s">
        <v>2165</v>
      </c>
      <c r="I48" s="82" t="s">
        <v>24</v>
      </c>
      <c r="J48" s="82" t="s">
        <v>2171</v>
      </c>
      <c r="K48" s="82" t="s">
        <v>2167</v>
      </c>
      <c r="L48" s="82" t="s">
        <v>1946</v>
      </c>
      <c r="M48" s="82" t="s">
        <v>2176</v>
      </c>
      <c r="N48" s="82" t="s">
        <v>2188</v>
      </c>
      <c r="O48" s="82" t="s">
        <v>2173</v>
      </c>
    </row>
    <row r="49" spans="1:15" ht="15.75" hidden="1" x14ac:dyDescent="0.25">
      <c r="A49" t="str">
        <f t="shared" si="0"/>
        <v>ALR_ALPHA-Allarme alfanumerico PMV</v>
      </c>
      <c r="C49" s="82" t="s">
        <v>2189</v>
      </c>
      <c r="D49" s="82" t="s">
        <v>2190</v>
      </c>
      <c r="E49" s="82" t="s">
        <v>2163</v>
      </c>
      <c r="F49" s="82" t="s">
        <v>2189</v>
      </c>
      <c r="G49" s="82" t="s">
        <v>1946</v>
      </c>
      <c r="H49" s="82" t="s">
        <v>2165</v>
      </c>
      <c r="I49" s="82" t="s">
        <v>24</v>
      </c>
      <c r="J49" s="82" t="s">
        <v>2171</v>
      </c>
      <c r="K49" s="82" t="s">
        <v>2167</v>
      </c>
      <c r="L49" s="82" t="s">
        <v>1946</v>
      </c>
      <c r="M49" s="82" t="s">
        <v>2183</v>
      </c>
      <c r="N49" s="82" t="s">
        <v>1946</v>
      </c>
      <c r="O49" s="82" t="s">
        <v>2173</v>
      </c>
    </row>
    <row r="50" spans="1:15" ht="15.75" hidden="1" x14ac:dyDescent="0.25">
      <c r="A50" t="str">
        <f t="shared" si="0"/>
        <v>ALR_ALTA_PRESSIONE_NORD_DX-Allarme alta pressione Nord DX</v>
      </c>
      <c r="C50" s="82" t="s">
        <v>2191</v>
      </c>
      <c r="D50" s="82" t="s">
        <v>2192</v>
      </c>
      <c r="E50" s="82" t="s">
        <v>2163</v>
      </c>
      <c r="F50" s="82" t="s">
        <v>2191</v>
      </c>
      <c r="G50" s="82" t="s">
        <v>1946</v>
      </c>
      <c r="H50" s="82" t="s">
        <v>2165</v>
      </c>
      <c r="I50" s="82" t="s">
        <v>24</v>
      </c>
      <c r="J50" s="82" t="s">
        <v>2171</v>
      </c>
      <c r="K50" s="82" t="s">
        <v>2173</v>
      </c>
      <c r="L50" s="82" t="s">
        <v>1946</v>
      </c>
      <c r="M50" s="82" t="s">
        <v>2183</v>
      </c>
      <c r="N50" s="82" t="s">
        <v>1946</v>
      </c>
      <c r="O50" s="82" t="s">
        <v>2173</v>
      </c>
    </row>
    <row r="51" spans="1:15" ht="15.75" hidden="1" x14ac:dyDescent="0.25">
      <c r="A51" t="str">
        <f t="shared" si="0"/>
        <v>ALR_ALTA_PRESSIONE_NORD_SX-Allarme alta pressione Nord SX</v>
      </c>
      <c r="C51" s="82" t="s">
        <v>2193</v>
      </c>
      <c r="D51" s="82" t="s">
        <v>2194</v>
      </c>
      <c r="E51" s="82" t="s">
        <v>2163</v>
      </c>
      <c r="F51" s="82" t="s">
        <v>2193</v>
      </c>
      <c r="G51" s="82" t="s">
        <v>1946</v>
      </c>
      <c r="H51" s="82" t="s">
        <v>2165</v>
      </c>
      <c r="I51" s="82" t="s">
        <v>24</v>
      </c>
      <c r="J51" s="82" t="s">
        <v>2171</v>
      </c>
      <c r="K51" s="82" t="s">
        <v>2173</v>
      </c>
      <c r="L51" s="82" t="s">
        <v>1946</v>
      </c>
      <c r="M51" s="82" t="s">
        <v>2183</v>
      </c>
      <c r="N51" s="82" t="s">
        <v>1946</v>
      </c>
      <c r="O51" s="82" t="s">
        <v>2173</v>
      </c>
    </row>
    <row r="52" spans="1:15" ht="15.75" hidden="1" x14ac:dyDescent="0.25">
      <c r="A52" t="str">
        <f t="shared" si="0"/>
        <v>ALR_ALTA_PRESSIONE_SUD_DX-Allarme alta pressione Sud DX</v>
      </c>
      <c r="C52" s="82" t="s">
        <v>2195</v>
      </c>
      <c r="D52" s="82" t="s">
        <v>2196</v>
      </c>
      <c r="E52" s="82" t="s">
        <v>2163</v>
      </c>
      <c r="F52" s="82" t="s">
        <v>2195</v>
      </c>
      <c r="G52" s="82" t="s">
        <v>1946</v>
      </c>
      <c r="H52" s="82" t="s">
        <v>2165</v>
      </c>
      <c r="I52" s="82" t="s">
        <v>24</v>
      </c>
      <c r="J52" s="82" t="s">
        <v>2171</v>
      </c>
      <c r="K52" s="82" t="s">
        <v>2173</v>
      </c>
      <c r="L52" s="82" t="s">
        <v>1946</v>
      </c>
      <c r="M52" s="82" t="s">
        <v>2183</v>
      </c>
      <c r="N52" s="82" t="s">
        <v>1946</v>
      </c>
      <c r="O52" s="82" t="s">
        <v>2173</v>
      </c>
    </row>
    <row r="53" spans="1:15" ht="15.75" hidden="1" x14ac:dyDescent="0.25">
      <c r="A53" t="str">
        <f t="shared" si="0"/>
        <v>ALR_ALTA_PRESSIONE_SUD_SX-Allarme alta pressione Sud SX</v>
      </c>
      <c r="C53" s="82" t="s">
        <v>2197</v>
      </c>
      <c r="D53" s="82" t="s">
        <v>2198</v>
      </c>
      <c r="E53" s="82" t="s">
        <v>2163</v>
      </c>
      <c r="F53" s="82" t="s">
        <v>2197</v>
      </c>
      <c r="G53" s="82" t="s">
        <v>1946</v>
      </c>
      <c r="H53" s="82" t="s">
        <v>2165</v>
      </c>
      <c r="I53" s="82" t="s">
        <v>24</v>
      </c>
      <c r="J53" s="82" t="s">
        <v>2171</v>
      </c>
      <c r="K53" s="82" t="s">
        <v>2173</v>
      </c>
      <c r="L53" s="82" t="s">
        <v>1946</v>
      </c>
      <c r="M53" s="82" t="s">
        <v>2183</v>
      </c>
      <c r="N53" s="82" t="s">
        <v>1946</v>
      </c>
      <c r="O53" s="82" t="s">
        <v>2173</v>
      </c>
    </row>
    <row r="54" spans="1:15" ht="15.75" hidden="1" x14ac:dyDescent="0.25">
      <c r="A54" t="str">
        <f t="shared" si="0"/>
        <v>ALR_ALTA_VELOCITA_NON_RAGGIUNTA-Allarme alta velocità non raggiunta</v>
      </c>
      <c r="C54" s="82" t="s">
        <v>2199</v>
      </c>
      <c r="D54" s="82" t="s">
        <v>2200</v>
      </c>
      <c r="E54" s="82" t="s">
        <v>2163</v>
      </c>
      <c r="F54" s="82" t="s">
        <v>2199</v>
      </c>
      <c r="G54" s="82" t="s">
        <v>1946</v>
      </c>
      <c r="H54" s="82" t="s">
        <v>2165</v>
      </c>
      <c r="I54" s="82" t="s">
        <v>24</v>
      </c>
      <c r="J54" s="82" t="s">
        <v>2171</v>
      </c>
      <c r="K54" s="82" t="s">
        <v>2167</v>
      </c>
      <c r="L54" s="82" t="s">
        <v>1946</v>
      </c>
      <c r="M54" s="82" t="s">
        <v>2090</v>
      </c>
      <c r="N54" s="82" t="s">
        <v>1946</v>
      </c>
      <c r="O54" s="82" t="s">
        <v>2173</v>
      </c>
    </row>
    <row r="55" spans="1:15" ht="15.75" hidden="1" x14ac:dyDescent="0.25">
      <c r="A55" t="str">
        <f t="shared" si="0"/>
        <v>ALR_ALTERNATORE_IN_SOVRACCARICO_C-Allarme alternatore in sovraccarico C</v>
      </c>
      <c r="C55" s="82" t="s">
        <v>75</v>
      </c>
      <c r="D55" s="82" t="s">
        <v>76</v>
      </c>
      <c r="E55" s="82" t="s">
        <v>2163</v>
      </c>
      <c r="F55" s="82" t="s">
        <v>75</v>
      </c>
      <c r="G55" s="82" t="s">
        <v>1946</v>
      </c>
      <c r="H55" s="82" t="s">
        <v>2165</v>
      </c>
      <c r="I55" s="82" t="s">
        <v>24</v>
      </c>
      <c r="J55" s="82" t="s">
        <v>2171</v>
      </c>
      <c r="K55" s="82" t="s">
        <v>2167</v>
      </c>
      <c r="L55" s="82" t="s">
        <v>1946</v>
      </c>
      <c r="M55" s="82" t="s">
        <v>2090</v>
      </c>
      <c r="N55" s="82" t="s">
        <v>1946</v>
      </c>
      <c r="O55" s="82" t="s">
        <v>2173</v>
      </c>
    </row>
    <row r="56" spans="1:15" ht="15.75" hidden="1" x14ac:dyDescent="0.25">
      <c r="A56" t="str">
        <f t="shared" si="0"/>
        <v>ALR_ALTERNATORE_IN_SOVRACCARICO_L-Allarme alternatore in sovraccarico L</v>
      </c>
      <c r="C56" s="82" t="s">
        <v>77</v>
      </c>
      <c r="D56" s="82" t="s">
        <v>78</v>
      </c>
      <c r="E56" s="82" t="s">
        <v>2163</v>
      </c>
      <c r="F56" s="82" t="s">
        <v>77</v>
      </c>
      <c r="G56" s="82" t="s">
        <v>1946</v>
      </c>
      <c r="H56" s="82" t="s">
        <v>2165</v>
      </c>
      <c r="I56" s="82" t="s">
        <v>24</v>
      </c>
      <c r="J56" s="82" t="s">
        <v>2171</v>
      </c>
      <c r="K56" s="82" t="s">
        <v>2167</v>
      </c>
      <c r="L56" s="82" t="s">
        <v>1946</v>
      </c>
      <c r="M56" s="82" t="s">
        <v>2090</v>
      </c>
      <c r="N56" s="82" t="s">
        <v>1946</v>
      </c>
      <c r="O56" s="82" t="s">
        <v>2173</v>
      </c>
    </row>
    <row r="57" spans="1:15" ht="15.75" hidden="1" x14ac:dyDescent="0.25">
      <c r="A57" t="str">
        <f t="shared" si="0"/>
        <v>ALR_ALTERNATORE_NON_ECCITATO-Allarme alternatore non eccitato</v>
      </c>
      <c r="C57" s="82" t="s">
        <v>79</v>
      </c>
      <c r="D57" s="82" t="s">
        <v>80</v>
      </c>
      <c r="E57" s="82" t="s">
        <v>2163</v>
      </c>
      <c r="F57" s="82" t="s">
        <v>79</v>
      </c>
      <c r="G57" s="82" t="s">
        <v>1946</v>
      </c>
      <c r="H57" s="82" t="s">
        <v>2165</v>
      </c>
      <c r="I57" s="82" t="s">
        <v>24</v>
      </c>
      <c r="J57" s="82" t="s">
        <v>2171</v>
      </c>
      <c r="K57" s="82" t="s">
        <v>2167</v>
      </c>
      <c r="L57" s="82" t="s">
        <v>1946</v>
      </c>
      <c r="M57" s="82" t="s">
        <v>2090</v>
      </c>
      <c r="N57" s="82" t="s">
        <v>1946</v>
      </c>
      <c r="O57" s="82" t="s">
        <v>2173</v>
      </c>
    </row>
    <row r="58" spans="1:15" ht="15.75" hidden="1" x14ac:dyDescent="0.25">
      <c r="A58" t="str">
        <f t="shared" si="0"/>
        <v>ALR_ALTO_LIVELLO_POMPA-Allarme alto livello pompa</v>
      </c>
      <c r="C58" s="82" t="s">
        <v>83</v>
      </c>
      <c r="D58" s="82" t="s">
        <v>84</v>
      </c>
      <c r="E58" s="82" t="s">
        <v>2163</v>
      </c>
      <c r="F58" s="82" t="s">
        <v>83</v>
      </c>
      <c r="G58" s="82" t="s">
        <v>1946</v>
      </c>
      <c r="H58" s="82" t="s">
        <v>2165</v>
      </c>
      <c r="I58" s="82" t="s">
        <v>24</v>
      </c>
      <c r="J58" s="82" t="s">
        <v>2171</v>
      </c>
      <c r="K58" s="82" t="s">
        <v>2167</v>
      </c>
      <c r="L58" s="82" t="s">
        <v>1946</v>
      </c>
      <c r="M58" s="82" t="s">
        <v>2090</v>
      </c>
      <c r="N58" s="82" t="s">
        <v>1946</v>
      </c>
      <c r="O58" s="82" t="s">
        <v>2173</v>
      </c>
    </row>
    <row r="59" spans="1:15" ht="15.75" hidden="1" x14ac:dyDescent="0.25">
      <c r="A59" t="str">
        <f t="shared" si="0"/>
        <v>ALR_ALTO_LIV_GASOLIO_SERB-Allarme livello gasolio alto</v>
      </c>
      <c r="C59" s="82" t="s">
        <v>81</v>
      </c>
      <c r="D59" s="82" t="s">
        <v>82</v>
      </c>
      <c r="E59" s="82" t="s">
        <v>2163</v>
      </c>
      <c r="F59" s="82" t="s">
        <v>81</v>
      </c>
      <c r="G59" s="82" t="s">
        <v>1946</v>
      </c>
      <c r="H59" s="82" t="s">
        <v>2165</v>
      </c>
      <c r="I59" s="82" t="s">
        <v>24</v>
      </c>
      <c r="J59" s="82" t="s">
        <v>2171</v>
      </c>
      <c r="K59" s="82" t="s">
        <v>2167</v>
      </c>
      <c r="L59" s="82" t="s">
        <v>1946</v>
      </c>
      <c r="M59" s="82" t="s">
        <v>2090</v>
      </c>
      <c r="N59" s="82" t="s">
        <v>1946</v>
      </c>
      <c r="O59" s="82" t="s">
        <v>2173</v>
      </c>
    </row>
    <row r="60" spans="1:15" ht="15.75" hidden="1" x14ac:dyDescent="0.25">
      <c r="A60" t="str">
        <f t="shared" si="0"/>
        <v>ALR_ANEMOMETRO-Allarme guasto anemometro</v>
      </c>
      <c r="C60" s="82" t="s">
        <v>86</v>
      </c>
      <c r="D60" s="82" t="s">
        <v>87</v>
      </c>
      <c r="E60" s="82" t="s">
        <v>2163</v>
      </c>
      <c r="F60" s="82" t="s">
        <v>86</v>
      </c>
      <c r="G60" s="82" t="s">
        <v>1946</v>
      </c>
      <c r="H60" s="82" t="s">
        <v>2165</v>
      </c>
      <c r="I60" s="82" t="s">
        <v>24</v>
      </c>
      <c r="J60" s="82" t="s">
        <v>2171</v>
      </c>
      <c r="K60" s="82" t="s">
        <v>2167</v>
      </c>
      <c r="L60" s="82" t="s">
        <v>1946</v>
      </c>
      <c r="M60" s="82" t="s">
        <v>2090</v>
      </c>
      <c r="N60" s="82" t="s">
        <v>1946</v>
      </c>
      <c r="O60" s="82" t="s">
        <v>2173</v>
      </c>
    </row>
    <row r="61" spans="1:15" ht="15.75" hidden="1" x14ac:dyDescent="0.25">
      <c r="A61" t="str">
        <f t="shared" si="0"/>
        <v>ALR_ANOMALIA_ACCOPPIATORE_RADIO-Allarme anomalia accoppiatore radio</v>
      </c>
      <c r="C61" s="82" t="s">
        <v>2201</v>
      </c>
      <c r="D61" s="82" t="s">
        <v>2202</v>
      </c>
      <c r="E61" s="82" t="s">
        <v>2163</v>
      </c>
      <c r="F61" s="82" t="s">
        <v>2201</v>
      </c>
      <c r="G61" s="82" t="s">
        <v>2182</v>
      </c>
      <c r="H61" s="82" t="s">
        <v>2165</v>
      </c>
      <c r="I61" s="82" t="s">
        <v>24</v>
      </c>
      <c r="J61" s="82" t="s">
        <v>2171</v>
      </c>
      <c r="K61" s="82" t="s">
        <v>2167</v>
      </c>
      <c r="L61" s="82" t="s">
        <v>1946</v>
      </c>
      <c r="M61" s="82" t="s">
        <v>2183</v>
      </c>
      <c r="N61" s="82" t="s">
        <v>1946</v>
      </c>
      <c r="O61" s="82" t="s">
        <v>2173</v>
      </c>
    </row>
    <row r="62" spans="1:15" ht="15.75" hidden="1" x14ac:dyDescent="0.25">
      <c r="A62" t="str">
        <f t="shared" si="0"/>
        <v>ALR_ANOMALIA_AMPLIFICATORE_RADIO-Allarme anomalia amplificatore radio</v>
      </c>
      <c r="C62" s="82" t="s">
        <v>2203</v>
      </c>
      <c r="D62" s="82" t="s">
        <v>2204</v>
      </c>
      <c r="E62" s="82" t="s">
        <v>2163</v>
      </c>
      <c r="F62" s="82" t="s">
        <v>2203</v>
      </c>
      <c r="G62" s="82" t="s">
        <v>2182</v>
      </c>
      <c r="H62" s="82" t="s">
        <v>2165</v>
      </c>
      <c r="I62" s="82" t="s">
        <v>24</v>
      </c>
      <c r="J62" s="82" t="s">
        <v>2171</v>
      </c>
      <c r="K62" s="82" t="s">
        <v>2167</v>
      </c>
      <c r="L62" s="82" t="s">
        <v>1946</v>
      </c>
      <c r="M62" s="82" t="s">
        <v>2183</v>
      </c>
      <c r="N62" s="82" t="s">
        <v>1946</v>
      </c>
      <c r="O62" s="82" t="s">
        <v>2173</v>
      </c>
    </row>
    <row r="63" spans="1:15" ht="15.75" hidden="1" x14ac:dyDescent="0.25">
      <c r="A63" t="str">
        <f t="shared" si="0"/>
        <v>ALR_ANOMALIA_ANTENNA_RADIO-Allarme anomalia antenna radio</v>
      </c>
      <c r="C63" s="82" t="s">
        <v>2205</v>
      </c>
      <c r="D63" s="82" t="s">
        <v>2206</v>
      </c>
      <c r="E63" s="82" t="s">
        <v>2163</v>
      </c>
      <c r="F63" s="82" t="s">
        <v>2205</v>
      </c>
      <c r="G63" s="82" t="s">
        <v>2182</v>
      </c>
      <c r="H63" s="82" t="s">
        <v>2165</v>
      </c>
      <c r="I63" s="82" t="s">
        <v>24</v>
      </c>
      <c r="J63" s="82" t="s">
        <v>2171</v>
      </c>
      <c r="K63" s="82" t="s">
        <v>2167</v>
      </c>
      <c r="L63" s="82" t="s">
        <v>1946</v>
      </c>
      <c r="M63" s="82" t="s">
        <v>2183</v>
      </c>
      <c r="N63" s="82" t="s">
        <v>1946</v>
      </c>
      <c r="O63" s="82" t="s">
        <v>2173</v>
      </c>
    </row>
    <row r="64" spans="1:15" ht="15.75" hidden="1" x14ac:dyDescent="0.25">
      <c r="A64" t="str">
        <f t="shared" si="0"/>
        <v>ALR_ANOMALIA_CIRCOLAZIONE_NORD-Allarme anomalia circolazione Nord</v>
      </c>
      <c r="C64" s="82" t="s">
        <v>2207</v>
      </c>
      <c r="D64" s="82" t="s">
        <v>2208</v>
      </c>
      <c r="E64" s="82" t="s">
        <v>2163</v>
      </c>
      <c r="F64" s="82" t="s">
        <v>2207</v>
      </c>
      <c r="G64" s="82" t="s">
        <v>1946</v>
      </c>
      <c r="H64" s="82" t="s">
        <v>2165</v>
      </c>
      <c r="I64" s="82" t="s">
        <v>24</v>
      </c>
      <c r="J64" s="82" t="s">
        <v>2171</v>
      </c>
      <c r="K64" s="82" t="s">
        <v>2173</v>
      </c>
      <c r="L64" s="82" t="s">
        <v>1946</v>
      </c>
      <c r="M64" s="82" t="s">
        <v>2090</v>
      </c>
      <c r="N64" s="82" t="s">
        <v>1946</v>
      </c>
      <c r="O64" s="82" t="s">
        <v>2173</v>
      </c>
    </row>
    <row r="65" spans="1:15" ht="15.75" hidden="1" x14ac:dyDescent="0.25">
      <c r="A65" t="str">
        <f t="shared" si="0"/>
        <v>ALR_ANOMALIA_CIRCOLAZIONE_SUD-Allarme anomalia circolazione Sud</v>
      </c>
      <c r="C65" s="82" t="s">
        <v>2209</v>
      </c>
      <c r="D65" s="82" t="s">
        <v>2210</v>
      </c>
      <c r="E65" s="82" t="s">
        <v>2163</v>
      </c>
      <c r="F65" s="82" t="s">
        <v>2209</v>
      </c>
      <c r="G65" s="82" t="s">
        <v>1946</v>
      </c>
      <c r="H65" s="82" t="s">
        <v>2165</v>
      </c>
      <c r="I65" s="82" t="s">
        <v>24</v>
      </c>
      <c r="J65" s="82" t="s">
        <v>2171</v>
      </c>
      <c r="K65" s="82" t="s">
        <v>2173</v>
      </c>
      <c r="L65" s="82" t="s">
        <v>1946</v>
      </c>
      <c r="M65" s="82" t="s">
        <v>2090</v>
      </c>
      <c r="N65" s="82" t="s">
        <v>1946</v>
      </c>
      <c r="O65" s="82" t="s">
        <v>2173</v>
      </c>
    </row>
    <row r="66" spans="1:15" ht="15.75" hidden="1" x14ac:dyDescent="0.25">
      <c r="A66" t="str">
        <f t="shared" si="0"/>
        <v>ALR_ANOMALIA_COLLEGAMENTO_OTTICO_RADIO-Allarme anomalia collegamento ottico radio</v>
      </c>
      <c r="C66" s="82" t="s">
        <v>2211</v>
      </c>
      <c r="D66" s="82" t="s">
        <v>2212</v>
      </c>
      <c r="E66" s="82" t="s">
        <v>2163</v>
      </c>
      <c r="F66" s="82" t="s">
        <v>2211</v>
      </c>
      <c r="G66" s="82" t="s">
        <v>2182</v>
      </c>
      <c r="H66" s="82" t="s">
        <v>2165</v>
      </c>
      <c r="I66" s="82" t="s">
        <v>24</v>
      </c>
      <c r="J66" s="82" t="s">
        <v>2171</v>
      </c>
      <c r="K66" s="82" t="s">
        <v>2167</v>
      </c>
      <c r="L66" s="82" t="s">
        <v>1946</v>
      </c>
      <c r="M66" s="82" t="s">
        <v>2183</v>
      </c>
      <c r="N66" s="82" t="s">
        <v>1946</v>
      </c>
      <c r="O66" s="82" t="s">
        <v>2173</v>
      </c>
    </row>
    <row r="67" spans="1:15" ht="15.75" hidden="1" x14ac:dyDescent="0.25">
      <c r="A67" t="str">
        <f t="shared" ref="A67:A130" si="1">CONCATENATE(F67,"-",D67)</f>
        <v>ALR_ANOMALIA_COMANDO_DIR_DX-Allarme anomalia mancato comando dx</v>
      </c>
      <c r="C67" s="82" t="s">
        <v>1094</v>
      </c>
      <c r="D67" s="82" t="s">
        <v>1095</v>
      </c>
      <c r="E67" s="82" t="s">
        <v>2163</v>
      </c>
      <c r="F67" s="82" t="s">
        <v>1094</v>
      </c>
      <c r="G67" s="82" t="s">
        <v>1946</v>
      </c>
      <c r="H67" s="82" t="s">
        <v>2165</v>
      </c>
      <c r="I67" s="82" t="s">
        <v>24</v>
      </c>
      <c r="J67" s="82" t="s">
        <v>2171</v>
      </c>
      <c r="K67" s="82" t="s">
        <v>2167</v>
      </c>
      <c r="L67" s="82" t="s">
        <v>1946</v>
      </c>
      <c r="M67" s="82" t="s">
        <v>2090</v>
      </c>
      <c r="N67" s="82" t="s">
        <v>1946</v>
      </c>
      <c r="O67" s="82" t="s">
        <v>2173</v>
      </c>
    </row>
    <row r="68" spans="1:15" ht="15.75" hidden="1" x14ac:dyDescent="0.25">
      <c r="A68" t="str">
        <f t="shared" si="1"/>
        <v>ALR_ANOMALIA_COMANDO_DIR_SX-Allarme anomalia mancato comando sx</v>
      </c>
      <c r="C68" s="82" t="s">
        <v>1096</v>
      </c>
      <c r="D68" s="82" t="s">
        <v>1097</v>
      </c>
      <c r="E68" s="82" t="s">
        <v>2163</v>
      </c>
      <c r="F68" s="82" t="s">
        <v>1096</v>
      </c>
      <c r="G68" s="82" t="s">
        <v>1946</v>
      </c>
      <c r="H68" s="82" t="s">
        <v>2165</v>
      </c>
      <c r="I68" s="82" t="s">
        <v>24</v>
      </c>
      <c r="J68" s="82" t="s">
        <v>2171</v>
      </c>
      <c r="K68" s="82" t="s">
        <v>2167</v>
      </c>
      <c r="L68" s="82" t="s">
        <v>1946</v>
      </c>
      <c r="M68" s="82" t="s">
        <v>2090</v>
      </c>
      <c r="N68" s="82" t="s">
        <v>1946</v>
      </c>
      <c r="O68" s="82" t="s">
        <v>2173</v>
      </c>
    </row>
    <row r="69" spans="1:15" ht="15.75" hidden="1" x14ac:dyDescent="0.25">
      <c r="A69" t="str">
        <f t="shared" si="1"/>
        <v>ALR_ANOMALIA_DA_QUADRO-Allarme anomalia da quadro</v>
      </c>
      <c r="C69" s="82" t="s">
        <v>1098</v>
      </c>
      <c r="D69" s="82" t="s">
        <v>1099</v>
      </c>
      <c r="E69" s="82" t="s">
        <v>2163</v>
      </c>
      <c r="F69" s="82" t="s">
        <v>1098</v>
      </c>
      <c r="G69" s="82" t="s">
        <v>1946</v>
      </c>
      <c r="H69" s="82" t="s">
        <v>2165</v>
      </c>
      <c r="I69" s="82" t="s">
        <v>24</v>
      </c>
      <c r="J69" s="82" t="s">
        <v>2171</v>
      </c>
      <c r="K69" s="82" t="s">
        <v>2167</v>
      </c>
      <c r="L69" s="82" t="s">
        <v>1946</v>
      </c>
      <c r="M69" s="82" t="s">
        <v>2090</v>
      </c>
      <c r="N69" s="82" t="s">
        <v>1946</v>
      </c>
      <c r="O69" s="82" t="s">
        <v>2173</v>
      </c>
    </row>
    <row r="70" spans="1:15" ht="15.75" hidden="1" x14ac:dyDescent="0.25">
      <c r="A70" t="str">
        <f t="shared" si="1"/>
        <v>ALR_ANOMALIA_RIPETITORE_RADIO-Allarme anomalia ripetitore radio</v>
      </c>
      <c r="C70" s="82" t="s">
        <v>2213</v>
      </c>
      <c r="D70" s="82" t="s">
        <v>2214</v>
      </c>
      <c r="E70" s="82" t="s">
        <v>2163</v>
      </c>
      <c r="F70" s="82" t="s">
        <v>2213</v>
      </c>
      <c r="G70" s="82" t="s">
        <v>2182</v>
      </c>
      <c r="H70" s="82" t="s">
        <v>2165</v>
      </c>
      <c r="I70" s="82" t="s">
        <v>24</v>
      </c>
      <c r="J70" s="82" t="s">
        <v>2171</v>
      </c>
      <c r="K70" s="82" t="s">
        <v>2167</v>
      </c>
      <c r="L70" s="82" t="s">
        <v>1946</v>
      </c>
      <c r="M70" s="82" t="s">
        <v>2183</v>
      </c>
      <c r="N70" s="82" t="s">
        <v>1946</v>
      </c>
      <c r="O70" s="82" t="s">
        <v>2173</v>
      </c>
    </row>
    <row r="71" spans="1:15" ht="15.75" hidden="1" x14ac:dyDescent="0.25">
      <c r="A71" t="str">
        <f t="shared" si="1"/>
        <v>ALR_ANTA_ESTINTORE_APERTA-Allarme apertura anta estintore colonnina SOS</v>
      </c>
      <c r="C71" s="82" t="s">
        <v>90</v>
      </c>
      <c r="D71" s="82" t="s">
        <v>91</v>
      </c>
      <c r="E71" s="82" t="s">
        <v>2163</v>
      </c>
      <c r="F71" s="82" t="s">
        <v>90</v>
      </c>
      <c r="G71" s="82" t="s">
        <v>1946</v>
      </c>
      <c r="H71" s="82" t="s">
        <v>2165</v>
      </c>
      <c r="I71" s="82" t="s">
        <v>24</v>
      </c>
      <c r="J71" s="82" t="s">
        <v>2171</v>
      </c>
      <c r="K71" s="82" t="s">
        <v>2167</v>
      </c>
      <c r="L71" s="82" t="s">
        <v>1946</v>
      </c>
      <c r="M71" s="82" t="s">
        <v>2090</v>
      </c>
      <c r="N71" s="82" t="s">
        <v>1946</v>
      </c>
      <c r="O71" s="82" t="s">
        <v>2173</v>
      </c>
    </row>
    <row r="72" spans="1:15" ht="15.75" hidden="1" x14ac:dyDescent="0.25">
      <c r="A72" t="str">
        <f t="shared" si="1"/>
        <v>ALR_ANTA_SOS-Allarme apertura anta colonnina SOS</v>
      </c>
      <c r="C72" s="82" t="s">
        <v>1101</v>
      </c>
      <c r="D72" s="82" t="s">
        <v>1102</v>
      </c>
      <c r="E72" s="82" t="s">
        <v>2163</v>
      </c>
      <c r="F72" s="82" t="s">
        <v>1101</v>
      </c>
      <c r="G72" s="82" t="s">
        <v>1946</v>
      </c>
      <c r="H72" s="82" t="s">
        <v>2165</v>
      </c>
      <c r="I72" s="82" t="s">
        <v>24</v>
      </c>
      <c r="J72" s="82" t="s">
        <v>2171</v>
      </c>
      <c r="K72" s="82" t="s">
        <v>2167</v>
      </c>
      <c r="L72" s="82" t="s">
        <v>1946</v>
      </c>
      <c r="M72" s="82" t="s">
        <v>2090</v>
      </c>
      <c r="N72" s="82" t="s">
        <v>1946</v>
      </c>
      <c r="O72" s="82" t="s">
        <v>2173</v>
      </c>
    </row>
    <row r="73" spans="1:15" ht="15.75" hidden="1" x14ac:dyDescent="0.25">
      <c r="A73" t="str">
        <f t="shared" si="1"/>
        <v>ALR_ANTE_INFERIORI-Allarme ante inferiori</v>
      </c>
      <c r="C73" s="82" t="s">
        <v>92</v>
      </c>
      <c r="D73" s="82" t="s">
        <v>93</v>
      </c>
      <c r="E73" s="82" t="s">
        <v>2163</v>
      </c>
      <c r="F73" s="82" t="s">
        <v>92</v>
      </c>
      <c r="G73" s="82" t="s">
        <v>1946</v>
      </c>
      <c r="H73" s="82" t="s">
        <v>2165</v>
      </c>
      <c r="I73" s="82" t="s">
        <v>24</v>
      </c>
      <c r="J73" s="82" t="s">
        <v>2171</v>
      </c>
      <c r="K73" s="82" t="s">
        <v>2167</v>
      </c>
      <c r="L73" s="82" t="s">
        <v>1946</v>
      </c>
      <c r="M73" s="82" t="s">
        <v>2090</v>
      </c>
      <c r="N73" s="82" t="s">
        <v>1946</v>
      </c>
      <c r="O73" s="82" t="s">
        <v>2173</v>
      </c>
    </row>
    <row r="74" spans="1:15" ht="15.75" hidden="1" x14ac:dyDescent="0.25">
      <c r="A74" t="str">
        <f t="shared" si="1"/>
        <v>ALR_ANTE_SUPERIORI-Allarme ante superiori</v>
      </c>
      <c r="C74" s="82" t="s">
        <v>94</v>
      </c>
      <c r="D74" s="82" t="s">
        <v>95</v>
      </c>
      <c r="E74" s="82" t="s">
        <v>2163</v>
      </c>
      <c r="F74" s="82" t="s">
        <v>94</v>
      </c>
      <c r="G74" s="82" t="s">
        <v>1946</v>
      </c>
      <c r="H74" s="82" t="s">
        <v>2165</v>
      </c>
      <c r="I74" s="82" t="s">
        <v>24</v>
      </c>
      <c r="J74" s="82" t="s">
        <v>2171</v>
      </c>
      <c r="K74" s="82" t="s">
        <v>2167</v>
      </c>
      <c r="L74" s="82" t="s">
        <v>1946</v>
      </c>
      <c r="M74" s="82" t="s">
        <v>2090</v>
      </c>
      <c r="N74" s="82" t="s">
        <v>1946</v>
      </c>
      <c r="O74" s="82" t="s">
        <v>2173</v>
      </c>
    </row>
    <row r="75" spans="1:15" ht="15.75" hidden="1" x14ac:dyDescent="0.25">
      <c r="A75" t="str">
        <f t="shared" si="1"/>
        <v>ALR_APERTURA_IMMOTIVATA_GCB-Allarme apertura immotivata contattore generatore</v>
      </c>
      <c r="C75" s="82" t="s">
        <v>96</v>
      </c>
      <c r="D75" s="82" t="s">
        <v>97</v>
      </c>
      <c r="E75" s="82" t="s">
        <v>2163</v>
      </c>
      <c r="F75" s="82" t="s">
        <v>96</v>
      </c>
      <c r="G75" s="82" t="s">
        <v>1946</v>
      </c>
      <c r="H75" s="82" t="s">
        <v>2165</v>
      </c>
      <c r="I75" s="82" t="s">
        <v>24</v>
      </c>
      <c r="J75" s="82" t="s">
        <v>2171</v>
      </c>
      <c r="K75" s="82" t="s">
        <v>2167</v>
      </c>
      <c r="L75" s="82" t="s">
        <v>1946</v>
      </c>
      <c r="M75" s="82" t="s">
        <v>2090</v>
      </c>
      <c r="N75" s="82" t="s">
        <v>1946</v>
      </c>
      <c r="O75" s="82" t="s">
        <v>2173</v>
      </c>
    </row>
    <row r="76" spans="1:15" ht="15.75" hidden="1" x14ac:dyDescent="0.25">
      <c r="A76" t="str">
        <f t="shared" si="1"/>
        <v>ALR_APERTURA_IMMOTIVATA_MCB-Allarme apertura immotivata contattore di rete</v>
      </c>
      <c r="C76" s="82" t="s">
        <v>98</v>
      </c>
      <c r="D76" s="82" t="s">
        <v>99</v>
      </c>
      <c r="E76" s="82" t="s">
        <v>2163</v>
      </c>
      <c r="F76" s="82" t="s">
        <v>98</v>
      </c>
      <c r="G76" s="82" t="s">
        <v>1946</v>
      </c>
      <c r="H76" s="82" t="s">
        <v>2165</v>
      </c>
      <c r="I76" s="82" t="s">
        <v>24</v>
      </c>
      <c r="J76" s="82" t="s">
        <v>2171</v>
      </c>
      <c r="K76" s="82" t="s">
        <v>2167</v>
      </c>
      <c r="L76" s="82" t="s">
        <v>1946</v>
      </c>
      <c r="M76" s="82" t="s">
        <v>2090</v>
      </c>
      <c r="N76" s="82" t="s">
        <v>1946</v>
      </c>
      <c r="O76" s="82" t="s">
        <v>2173</v>
      </c>
    </row>
    <row r="77" spans="1:15" ht="15.75" hidden="1" x14ac:dyDescent="0.25">
      <c r="A77" t="str">
        <f t="shared" si="1"/>
        <v>ALR_ARRESTO_EMERGENZA-Allarme arresto Gruppo Elettrogeno</v>
      </c>
      <c r="C77" s="82" t="s">
        <v>100</v>
      </c>
      <c r="D77" s="82" t="s">
        <v>101</v>
      </c>
      <c r="E77" s="82" t="s">
        <v>2163</v>
      </c>
      <c r="F77" s="82" t="s">
        <v>100</v>
      </c>
      <c r="G77" s="82" t="s">
        <v>1946</v>
      </c>
      <c r="H77" s="82" t="s">
        <v>2165</v>
      </c>
      <c r="I77" s="82" t="s">
        <v>24</v>
      </c>
      <c r="J77" s="82" t="s">
        <v>2171</v>
      </c>
      <c r="K77" s="82" t="s">
        <v>2167</v>
      </c>
      <c r="L77" s="82" t="s">
        <v>1946</v>
      </c>
      <c r="M77" s="82" t="s">
        <v>2090</v>
      </c>
      <c r="N77" s="82" t="s">
        <v>1946</v>
      </c>
      <c r="O77" s="82" t="s">
        <v>2173</v>
      </c>
    </row>
    <row r="78" spans="1:15" ht="15.75" hidden="1" x14ac:dyDescent="0.25">
      <c r="A78" t="str">
        <f t="shared" si="1"/>
        <v>ALR_ARRESTO_FORZATO-Allarme arresto forzato</v>
      </c>
      <c r="C78" s="82" t="s">
        <v>2215</v>
      </c>
      <c r="D78" s="82" t="s">
        <v>2216</v>
      </c>
      <c r="E78" s="82" t="s">
        <v>2163</v>
      </c>
      <c r="F78" s="82" t="s">
        <v>2215</v>
      </c>
      <c r="G78" s="82" t="s">
        <v>1946</v>
      </c>
      <c r="H78" s="82" t="s">
        <v>2165</v>
      </c>
      <c r="I78" s="82" t="s">
        <v>24</v>
      </c>
      <c r="J78" s="82" t="s">
        <v>2171</v>
      </c>
      <c r="K78" s="82" t="s">
        <v>2173</v>
      </c>
      <c r="L78" s="82" t="s">
        <v>1946</v>
      </c>
      <c r="M78" s="82" t="s">
        <v>2183</v>
      </c>
      <c r="N78" s="82" t="s">
        <v>1946</v>
      </c>
      <c r="O78" s="82" t="s">
        <v>2173</v>
      </c>
    </row>
    <row r="79" spans="1:15" ht="15.75" hidden="1" x14ac:dyDescent="0.25">
      <c r="A79" t="str">
        <f t="shared" si="1"/>
        <v>ALR_ARRESTO_IN_CORSO-Allarme arresto in corso</v>
      </c>
      <c r="C79" s="82" t="s">
        <v>1854</v>
      </c>
      <c r="D79" s="82" t="s">
        <v>1855</v>
      </c>
      <c r="E79" s="82" t="s">
        <v>2163</v>
      </c>
      <c r="F79" s="82" t="s">
        <v>1854</v>
      </c>
      <c r="G79" s="82" t="s">
        <v>2182</v>
      </c>
      <c r="H79" s="82" t="s">
        <v>2165</v>
      </c>
      <c r="I79" s="82" t="s">
        <v>157</v>
      </c>
      <c r="J79" s="82" t="s">
        <v>2181</v>
      </c>
      <c r="K79" s="82" t="s">
        <v>2167</v>
      </c>
      <c r="L79" s="82" t="s">
        <v>2182</v>
      </c>
      <c r="M79" s="82" t="s">
        <v>2184</v>
      </c>
      <c r="N79" s="82" t="s">
        <v>1946</v>
      </c>
      <c r="O79" s="82" t="s">
        <v>2173</v>
      </c>
    </row>
    <row r="80" spans="1:15" ht="15.75" hidden="1" x14ac:dyDescent="0.25">
      <c r="A80" t="str">
        <f t="shared" si="1"/>
        <v>ALR_ASSENZA_ALIMENTAZIONE-Allarme assenza alimentazione</v>
      </c>
      <c r="C80" s="82" t="s">
        <v>1104</v>
      </c>
      <c r="D80" s="82" t="s">
        <v>1105</v>
      </c>
      <c r="E80" s="82" t="s">
        <v>2163</v>
      </c>
      <c r="F80" s="82" t="s">
        <v>1104</v>
      </c>
      <c r="G80" s="82" t="s">
        <v>1946</v>
      </c>
      <c r="H80" s="82" t="s">
        <v>2165</v>
      </c>
      <c r="I80" s="82" t="s">
        <v>24</v>
      </c>
      <c r="J80" s="82" t="s">
        <v>2171</v>
      </c>
      <c r="K80" s="82" t="s">
        <v>2167</v>
      </c>
      <c r="L80" s="82" t="s">
        <v>1946</v>
      </c>
      <c r="M80" s="82" t="s">
        <v>2090</v>
      </c>
      <c r="N80" s="82" t="s">
        <v>1946</v>
      </c>
      <c r="O80" s="82" t="s">
        <v>2173</v>
      </c>
    </row>
    <row r="81" spans="1:15" ht="15.75" hidden="1" x14ac:dyDescent="0.25">
      <c r="A81" t="str">
        <f t="shared" si="1"/>
        <v>ALR_ASSENZA_LINK_ETHERNET_RADIO-Allarme assenza link ethernet radio</v>
      </c>
      <c r="C81" s="82" t="s">
        <v>2217</v>
      </c>
      <c r="D81" s="82" t="s">
        <v>2218</v>
      </c>
      <c r="E81" s="82" t="s">
        <v>2163</v>
      </c>
      <c r="F81" s="82" t="s">
        <v>2217</v>
      </c>
      <c r="G81" s="82" t="s">
        <v>2182</v>
      </c>
      <c r="H81" s="82" t="s">
        <v>2165</v>
      </c>
      <c r="I81" s="82" t="s">
        <v>24</v>
      </c>
      <c r="J81" s="82" t="s">
        <v>2171</v>
      </c>
      <c r="K81" s="82" t="s">
        <v>2167</v>
      </c>
      <c r="L81" s="82" t="s">
        <v>1946</v>
      </c>
      <c r="M81" s="82" t="s">
        <v>2183</v>
      </c>
      <c r="N81" s="82" t="s">
        <v>1946</v>
      </c>
      <c r="O81" s="82" t="s">
        <v>2173</v>
      </c>
    </row>
    <row r="82" spans="1:15" ht="15.75" hidden="1" x14ac:dyDescent="0.25">
      <c r="A82" t="str">
        <f t="shared" si="1"/>
        <v>ALR_ASSENZA_RETE-Allarme assenza rete</v>
      </c>
      <c r="C82" s="82" t="s">
        <v>102</v>
      </c>
      <c r="D82" s="82" t="s">
        <v>103</v>
      </c>
      <c r="E82" s="82" t="s">
        <v>2163</v>
      </c>
      <c r="F82" s="82" t="s">
        <v>102</v>
      </c>
      <c r="G82" s="82" t="s">
        <v>1946</v>
      </c>
      <c r="H82" s="82" t="s">
        <v>2165</v>
      </c>
      <c r="I82" s="82" t="s">
        <v>24</v>
      </c>
      <c r="J82" s="82" t="s">
        <v>2171</v>
      </c>
      <c r="K82" s="82" t="s">
        <v>2167</v>
      </c>
      <c r="L82" s="82" t="s">
        <v>1946</v>
      </c>
      <c r="M82" s="82" t="s">
        <v>2090</v>
      </c>
      <c r="N82" s="82" t="s">
        <v>1946</v>
      </c>
      <c r="O82" s="82" t="s">
        <v>2173</v>
      </c>
    </row>
    <row r="83" spans="1:15" ht="15.75" hidden="1" x14ac:dyDescent="0.25">
      <c r="A83" t="str">
        <f t="shared" si="1"/>
        <v>ALR_ASSENZA_TENSIONE-Allarme assenza tensione dispositivo</v>
      </c>
      <c r="C83" s="82" t="s">
        <v>106</v>
      </c>
      <c r="D83" s="82" t="s">
        <v>107</v>
      </c>
      <c r="E83" s="82" t="s">
        <v>2163</v>
      </c>
      <c r="F83" s="82" t="s">
        <v>106</v>
      </c>
      <c r="G83" s="82" t="s">
        <v>1946</v>
      </c>
      <c r="H83" s="82" t="s">
        <v>2165</v>
      </c>
      <c r="I83" s="82" t="s">
        <v>24</v>
      </c>
      <c r="J83" s="82" t="s">
        <v>2171</v>
      </c>
      <c r="K83" s="82" t="s">
        <v>2167</v>
      </c>
      <c r="L83" s="82" t="s">
        <v>1946</v>
      </c>
      <c r="M83" s="82" t="s">
        <v>2176</v>
      </c>
      <c r="N83" s="82" t="s">
        <v>2188</v>
      </c>
      <c r="O83" s="82" t="s">
        <v>2173</v>
      </c>
    </row>
    <row r="84" spans="1:15" ht="15.75" hidden="1" x14ac:dyDescent="0.25">
      <c r="A84" t="str">
        <f t="shared" si="1"/>
        <v>ALR_ASSENZA_TENSIONE_24V-Allarme assenza tensione 24V</v>
      </c>
      <c r="C84" s="82" t="s">
        <v>1111</v>
      </c>
      <c r="D84" s="82" t="s">
        <v>1112</v>
      </c>
      <c r="E84" s="82" t="s">
        <v>2163</v>
      </c>
      <c r="F84" s="82" t="s">
        <v>1111</v>
      </c>
      <c r="G84" s="82" t="s">
        <v>1946</v>
      </c>
      <c r="H84" s="82" t="s">
        <v>2165</v>
      </c>
      <c r="I84" s="82" t="s">
        <v>24</v>
      </c>
      <c r="J84" s="82" t="s">
        <v>2171</v>
      </c>
      <c r="K84" s="82" t="s">
        <v>2167</v>
      </c>
      <c r="L84" s="82" t="s">
        <v>1946</v>
      </c>
      <c r="M84" s="82" t="s">
        <v>2090</v>
      </c>
      <c r="N84" s="82" t="s">
        <v>1946</v>
      </c>
      <c r="O84" s="82" t="s">
        <v>2173</v>
      </c>
    </row>
    <row r="85" spans="1:15" ht="15.75" hidden="1" x14ac:dyDescent="0.25">
      <c r="A85" t="str">
        <f t="shared" si="1"/>
        <v>ALR_ASSENZA_TENSIONE_24V_2_IMP-Assenza tensione 24V</v>
      </c>
      <c r="C85" s="82" t="s">
        <v>2219</v>
      </c>
      <c r="D85" s="82" t="s">
        <v>2220</v>
      </c>
      <c r="E85" s="82" t="s">
        <v>2163</v>
      </c>
      <c r="F85" s="82" t="s">
        <v>2219</v>
      </c>
      <c r="G85" s="82" t="s">
        <v>1946</v>
      </c>
      <c r="H85" s="82" t="s">
        <v>2165</v>
      </c>
      <c r="I85" s="82" t="s">
        <v>24</v>
      </c>
      <c r="J85" s="82" t="s">
        <v>2171</v>
      </c>
      <c r="K85" s="82" t="s">
        <v>2167</v>
      </c>
      <c r="L85" s="82" t="s">
        <v>1946</v>
      </c>
      <c r="M85" s="82" t="s">
        <v>2183</v>
      </c>
      <c r="N85" s="82" t="s">
        <v>1946</v>
      </c>
      <c r="O85" s="82" t="s">
        <v>2173</v>
      </c>
    </row>
    <row r="86" spans="1:15" ht="15.75" hidden="1" x14ac:dyDescent="0.25">
      <c r="A86" t="str">
        <f t="shared" si="1"/>
        <v>ALR_ASSENZA_TENSIONE_2_IMP-Allarme assenza tensione dispositivo</v>
      </c>
      <c r="C86" s="82" t="s">
        <v>110</v>
      </c>
      <c r="D86" s="82" t="s">
        <v>107</v>
      </c>
      <c r="E86" s="82" t="s">
        <v>2163</v>
      </c>
      <c r="F86" s="82" t="s">
        <v>110</v>
      </c>
      <c r="G86" s="82" t="s">
        <v>1946</v>
      </c>
      <c r="H86" s="82" t="s">
        <v>2165</v>
      </c>
      <c r="I86" s="82" t="s">
        <v>24</v>
      </c>
      <c r="J86" s="82" t="s">
        <v>2171</v>
      </c>
      <c r="K86" s="82" t="s">
        <v>2167</v>
      </c>
      <c r="L86" s="82" t="s">
        <v>1946</v>
      </c>
      <c r="M86" s="82" t="s">
        <v>2090</v>
      </c>
      <c r="N86" s="82" t="s">
        <v>1946</v>
      </c>
      <c r="O86" s="82" t="s">
        <v>2173</v>
      </c>
    </row>
    <row r="87" spans="1:15" ht="15.75" hidden="1" x14ac:dyDescent="0.25">
      <c r="A87" t="str">
        <f t="shared" si="1"/>
        <v>ALR_ASSENZA_TENSIONE_400V-Allarme assenza tensione 400V</v>
      </c>
      <c r="C87" s="82" t="s">
        <v>1114</v>
      </c>
      <c r="D87" s="82" t="s">
        <v>1115</v>
      </c>
      <c r="E87" s="82" t="s">
        <v>2163</v>
      </c>
      <c r="F87" s="82" t="s">
        <v>1114</v>
      </c>
      <c r="G87" s="82" t="s">
        <v>1946</v>
      </c>
      <c r="H87" s="82" t="s">
        <v>2165</v>
      </c>
      <c r="I87" s="82" t="s">
        <v>24</v>
      </c>
      <c r="J87" s="82" t="s">
        <v>2171</v>
      </c>
      <c r="K87" s="82" t="s">
        <v>2167</v>
      </c>
      <c r="L87" s="82" t="s">
        <v>1946</v>
      </c>
      <c r="M87" s="82" t="s">
        <v>2090</v>
      </c>
      <c r="N87" s="82" t="s">
        <v>1946</v>
      </c>
      <c r="O87" s="82" t="s">
        <v>2173</v>
      </c>
    </row>
    <row r="88" spans="1:15" ht="15.75" hidden="1" x14ac:dyDescent="0.25">
      <c r="A88" t="str">
        <f t="shared" si="1"/>
        <v>ALR_ASSENZA_TENSIONE_48V-Allarme assenza tensione 48V</v>
      </c>
      <c r="C88" s="82" t="s">
        <v>1116</v>
      </c>
      <c r="D88" s="82" t="s">
        <v>1117</v>
      </c>
      <c r="E88" s="82" t="s">
        <v>2163</v>
      </c>
      <c r="F88" s="82" t="s">
        <v>1116</v>
      </c>
      <c r="G88" s="82" t="s">
        <v>1946</v>
      </c>
      <c r="H88" s="82" t="s">
        <v>2165</v>
      </c>
      <c r="I88" s="82" t="s">
        <v>24</v>
      </c>
      <c r="J88" s="82" t="s">
        <v>2171</v>
      </c>
      <c r="K88" s="82" t="s">
        <v>2167</v>
      </c>
      <c r="L88" s="82" t="s">
        <v>1946</v>
      </c>
      <c r="M88" s="82" t="s">
        <v>2090</v>
      </c>
      <c r="N88" s="82" t="s">
        <v>1946</v>
      </c>
      <c r="O88" s="82" t="s">
        <v>2173</v>
      </c>
    </row>
    <row r="89" spans="1:15" ht="15.75" hidden="1" x14ac:dyDescent="0.25">
      <c r="A89" t="str">
        <f t="shared" si="1"/>
        <v>ALR_ASSENZA_TENSIONE_48V_2_IMP-Allarme assenza tensione 48V</v>
      </c>
      <c r="C89" s="82" t="s">
        <v>2221</v>
      </c>
      <c r="D89" s="82" t="s">
        <v>1117</v>
      </c>
      <c r="E89" s="82" t="s">
        <v>2163</v>
      </c>
      <c r="F89" s="82" t="s">
        <v>2221</v>
      </c>
      <c r="G89" s="82" t="s">
        <v>1946</v>
      </c>
      <c r="H89" s="82" t="s">
        <v>2165</v>
      </c>
      <c r="I89" s="82" t="s">
        <v>24</v>
      </c>
      <c r="J89" s="82" t="s">
        <v>2171</v>
      </c>
      <c r="K89" s="82" t="s">
        <v>2167</v>
      </c>
      <c r="L89" s="82" t="s">
        <v>1946</v>
      </c>
      <c r="M89" s="82" t="s">
        <v>2183</v>
      </c>
      <c r="N89" s="82" t="s">
        <v>1946</v>
      </c>
      <c r="O89" s="82" t="s">
        <v>2173</v>
      </c>
    </row>
    <row r="90" spans="1:15" ht="15.75" hidden="1" x14ac:dyDescent="0.25">
      <c r="A90" t="str">
        <f t="shared" si="1"/>
        <v>ALR_ASSENZA_TENSIONE_690V-Allarme assenza tensione 690V</v>
      </c>
      <c r="C90" s="82" t="s">
        <v>1118</v>
      </c>
      <c r="D90" s="82" t="s">
        <v>1119</v>
      </c>
      <c r="E90" s="82" t="s">
        <v>2163</v>
      </c>
      <c r="F90" s="82" t="s">
        <v>1118</v>
      </c>
      <c r="G90" s="82" t="s">
        <v>1946</v>
      </c>
      <c r="H90" s="82" t="s">
        <v>2165</v>
      </c>
      <c r="I90" s="82" t="s">
        <v>24</v>
      </c>
      <c r="J90" s="82" t="s">
        <v>2171</v>
      </c>
      <c r="K90" s="82" t="s">
        <v>2167</v>
      </c>
      <c r="L90" s="82" t="s">
        <v>1946</v>
      </c>
      <c r="M90" s="82" t="s">
        <v>2090</v>
      </c>
      <c r="N90" s="82" t="s">
        <v>1946</v>
      </c>
      <c r="O90" s="82" t="s">
        <v>2173</v>
      </c>
    </row>
    <row r="91" spans="1:15" ht="15.75" hidden="1" x14ac:dyDescent="0.25">
      <c r="A91" t="str">
        <f t="shared" si="1"/>
        <v>ALR_ASSENZA_TENSIONE_ALIM_PALI-Allarme assenza tensione dispositivo alimentazione pali</v>
      </c>
      <c r="C91" s="82" t="s">
        <v>1120</v>
      </c>
      <c r="D91" s="82" t="s">
        <v>1121</v>
      </c>
      <c r="E91" s="82" t="s">
        <v>2163</v>
      </c>
      <c r="F91" s="82" t="s">
        <v>1120</v>
      </c>
      <c r="G91" s="82" t="s">
        <v>1946</v>
      </c>
      <c r="H91" s="82" t="s">
        <v>2165</v>
      </c>
      <c r="I91" s="82" t="s">
        <v>24</v>
      </c>
      <c r="J91" s="82" t="s">
        <v>2171</v>
      </c>
      <c r="K91" s="82" t="s">
        <v>2167</v>
      </c>
      <c r="L91" s="82" t="s">
        <v>1946</v>
      </c>
      <c r="M91" s="82" t="s">
        <v>2090</v>
      </c>
      <c r="N91" s="82" t="s">
        <v>1946</v>
      </c>
      <c r="O91" s="82" t="s">
        <v>2173</v>
      </c>
    </row>
    <row r="92" spans="1:15" ht="15.75" hidden="1" x14ac:dyDescent="0.25">
      <c r="A92" t="str">
        <f t="shared" si="1"/>
        <v>ALR_ASSENZA_TENSIONE_ALIM_TORRI-Allarme assenza tensione dispositivo alimentazione torri</v>
      </c>
      <c r="C92" s="82" t="s">
        <v>1123</v>
      </c>
      <c r="D92" s="82" t="s">
        <v>1124</v>
      </c>
      <c r="E92" s="82" t="s">
        <v>2163</v>
      </c>
      <c r="F92" s="82" t="s">
        <v>1123</v>
      </c>
      <c r="G92" s="82" t="s">
        <v>1946</v>
      </c>
      <c r="H92" s="82" t="s">
        <v>2165</v>
      </c>
      <c r="I92" s="82" t="s">
        <v>24</v>
      </c>
      <c r="J92" s="82" t="s">
        <v>2171</v>
      </c>
      <c r="K92" s="82" t="s">
        <v>2167</v>
      </c>
      <c r="L92" s="82" t="s">
        <v>1946</v>
      </c>
      <c r="M92" s="82" t="s">
        <v>2090</v>
      </c>
      <c r="N92" s="82" t="s">
        <v>1946</v>
      </c>
      <c r="O92" s="82" t="s">
        <v>2173</v>
      </c>
    </row>
    <row r="93" spans="1:15" ht="15.75" hidden="1" x14ac:dyDescent="0.25">
      <c r="A93" t="str">
        <f t="shared" si="1"/>
        <v>ALR_ASSENZA_TENSIONE_AUX-Allarme assenza tensione aux</v>
      </c>
      <c r="C93" s="82" t="s">
        <v>1125</v>
      </c>
      <c r="D93" s="82" t="s">
        <v>1126</v>
      </c>
      <c r="E93" s="82" t="s">
        <v>2163</v>
      </c>
      <c r="F93" s="82" t="s">
        <v>1125</v>
      </c>
      <c r="G93" s="82" t="s">
        <v>1946</v>
      </c>
      <c r="H93" s="82" t="s">
        <v>2165</v>
      </c>
      <c r="I93" s="82" t="s">
        <v>24</v>
      </c>
      <c r="J93" s="82" t="s">
        <v>2171</v>
      </c>
      <c r="K93" s="82" t="s">
        <v>2167</v>
      </c>
      <c r="L93" s="82" t="s">
        <v>1946</v>
      </c>
      <c r="M93" s="82" t="s">
        <v>2090</v>
      </c>
      <c r="N93" s="82" t="s">
        <v>1946</v>
      </c>
      <c r="O93" s="82" t="s">
        <v>2173</v>
      </c>
    </row>
    <row r="94" spans="1:15" ht="15.75" hidden="1" x14ac:dyDescent="0.25">
      <c r="A94" t="str">
        <f t="shared" si="1"/>
        <v>ALR_ASSENZA_TENSIONE_AUX_GE-Allarme assenza tensione aux GE</v>
      </c>
      <c r="C94" s="82" t="s">
        <v>2222</v>
      </c>
      <c r="D94" s="82" t="s">
        <v>2223</v>
      </c>
      <c r="E94" s="82" t="s">
        <v>2163</v>
      </c>
      <c r="F94" s="82" t="s">
        <v>2222</v>
      </c>
      <c r="G94" s="82" t="s">
        <v>1946</v>
      </c>
      <c r="H94" s="82" t="s">
        <v>2165</v>
      </c>
      <c r="I94" s="82" t="s">
        <v>24</v>
      </c>
      <c r="J94" s="82" t="s">
        <v>2171</v>
      </c>
      <c r="K94" s="82" t="s">
        <v>2173</v>
      </c>
      <c r="L94" s="82" t="s">
        <v>1946</v>
      </c>
      <c r="M94" s="82" t="s">
        <v>2224</v>
      </c>
      <c r="N94" s="82" t="s">
        <v>1946</v>
      </c>
      <c r="O94" s="82" t="s">
        <v>2173</v>
      </c>
    </row>
    <row r="95" spans="1:15" ht="15.75" hidden="1" x14ac:dyDescent="0.25">
      <c r="A95" t="str">
        <f t="shared" si="1"/>
        <v>ALR_ASSENZA_TENSIONE_AUX_PERMANENTI-Allarme assenza tensione aux permanenti</v>
      </c>
      <c r="C95" s="82" t="s">
        <v>2225</v>
      </c>
      <c r="D95" s="82" t="s">
        <v>2226</v>
      </c>
      <c r="E95" s="82" t="s">
        <v>2163</v>
      </c>
      <c r="F95" s="82" t="s">
        <v>2225</v>
      </c>
      <c r="G95" s="82" t="s">
        <v>1946</v>
      </c>
      <c r="H95" s="82" t="s">
        <v>2165</v>
      </c>
      <c r="I95" s="82" t="s">
        <v>24</v>
      </c>
      <c r="J95" s="82" t="s">
        <v>2171</v>
      </c>
      <c r="K95" s="82" t="s">
        <v>2167</v>
      </c>
      <c r="L95" s="82" t="s">
        <v>1946</v>
      </c>
      <c r="M95" s="82" t="s">
        <v>2090</v>
      </c>
      <c r="N95" s="82" t="s">
        <v>1946</v>
      </c>
      <c r="O95" s="82" t="s">
        <v>2173</v>
      </c>
    </row>
    <row r="96" spans="1:15" ht="15.75" hidden="1" x14ac:dyDescent="0.25">
      <c r="A96" t="str">
        <f t="shared" si="1"/>
        <v>ALR_ASSENZA_TENSIONE_AUX_RINFORZI-Allarme assenza tensione aux rinforzi</v>
      </c>
      <c r="C96" s="82" t="s">
        <v>2227</v>
      </c>
      <c r="D96" s="82" t="s">
        <v>2228</v>
      </c>
      <c r="E96" s="82" t="s">
        <v>2163</v>
      </c>
      <c r="F96" s="82" t="s">
        <v>2227</v>
      </c>
      <c r="G96" s="82" t="s">
        <v>1946</v>
      </c>
      <c r="H96" s="82" t="s">
        <v>2165</v>
      </c>
      <c r="I96" s="82" t="s">
        <v>24</v>
      </c>
      <c r="J96" s="82" t="s">
        <v>2171</v>
      </c>
      <c r="K96" s="82" t="s">
        <v>2167</v>
      </c>
      <c r="L96" s="82" t="s">
        <v>1946</v>
      </c>
      <c r="M96" s="82" t="s">
        <v>2090</v>
      </c>
      <c r="N96" s="82" t="s">
        <v>1946</v>
      </c>
      <c r="O96" s="82" t="s">
        <v>2173</v>
      </c>
    </row>
    <row r="97" spans="1:15" ht="15.75" hidden="1" x14ac:dyDescent="0.25">
      <c r="A97" t="str">
        <f t="shared" si="1"/>
        <v>ALR_ASSENZA_TENSIONE_DA_ALTRO_QUADRO-Allarme assenza tensione da altro quadro</v>
      </c>
      <c r="C97" s="82" t="s">
        <v>2229</v>
      </c>
      <c r="D97" s="82" t="s">
        <v>2230</v>
      </c>
      <c r="E97" s="82" t="s">
        <v>2163</v>
      </c>
      <c r="F97" s="82" t="s">
        <v>2229</v>
      </c>
      <c r="G97" s="82" t="s">
        <v>1946</v>
      </c>
      <c r="H97" s="82" t="s">
        <v>2165</v>
      </c>
      <c r="I97" s="82" t="s">
        <v>24</v>
      </c>
      <c r="J97" s="82" t="s">
        <v>2171</v>
      </c>
      <c r="K97" s="82" t="s">
        <v>2167</v>
      </c>
      <c r="L97" s="82" t="s">
        <v>1946</v>
      </c>
      <c r="M97" s="82" t="s">
        <v>2090</v>
      </c>
      <c r="N97" s="82" t="s">
        <v>1946</v>
      </c>
      <c r="O97" s="82" t="s">
        <v>2173</v>
      </c>
    </row>
    <row r="98" spans="1:15" ht="15.75" hidden="1" x14ac:dyDescent="0.25">
      <c r="A98" t="str">
        <f t="shared" si="1"/>
        <v>ALR_ASSENZA_TENSIONE_FASE_L1-Allarme assenza tensione dispositivo fase L1</v>
      </c>
      <c r="C98" s="82" t="s">
        <v>1127</v>
      </c>
      <c r="D98" s="82" t="s">
        <v>1128</v>
      </c>
      <c r="E98" s="82" t="s">
        <v>2163</v>
      </c>
      <c r="F98" s="82" t="s">
        <v>1127</v>
      </c>
      <c r="G98" s="82" t="s">
        <v>1946</v>
      </c>
      <c r="H98" s="82" t="s">
        <v>2165</v>
      </c>
      <c r="I98" s="82" t="s">
        <v>24</v>
      </c>
      <c r="J98" s="82" t="s">
        <v>2171</v>
      </c>
      <c r="K98" s="82" t="s">
        <v>2167</v>
      </c>
      <c r="L98" s="82" t="s">
        <v>1946</v>
      </c>
      <c r="M98" s="82" t="s">
        <v>2090</v>
      </c>
      <c r="N98" s="82" t="s">
        <v>1946</v>
      </c>
      <c r="O98" s="82" t="s">
        <v>2173</v>
      </c>
    </row>
    <row r="99" spans="1:15" ht="15.75" hidden="1" x14ac:dyDescent="0.25">
      <c r="A99" t="str">
        <f t="shared" si="1"/>
        <v>ALR_ASSENZA_TENSIONE_FASE_L2-Allarme assenza tensione dispositivo fase L2</v>
      </c>
      <c r="C99" s="82" t="s">
        <v>1129</v>
      </c>
      <c r="D99" s="82" t="s">
        <v>1130</v>
      </c>
      <c r="E99" s="82" t="s">
        <v>2163</v>
      </c>
      <c r="F99" s="82" t="s">
        <v>1129</v>
      </c>
      <c r="G99" s="82" t="s">
        <v>1946</v>
      </c>
      <c r="H99" s="82" t="s">
        <v>2165</v>
      </c>
      <c r="I99" s="82" t="s">
        <v>24</v>
      </c>
      <c r="J99" s="82" t="s">
        <v>2171</v>
      </c>
      <c r="K99" s="82" t="s">
        <v>2167</v>
      </c>
      <c r="L99" s="82" t="s">
        <v>1946</v>
      </c>
      <c r="M99" s="82" t="s">
        <v>2090</v>
      </c>
      <c r="N99" s="82" t="s">
        <v>1946</v>
      </c>
      <c r="O99" s="82" t="s">
        <v>2173</v>
      </c>
    </row>
    <row r="100" spans="1:15" ht="15.75" hidden="1" x14ac:dyDescent="0.25">
      <c r="A100" t="str">
        <f t="shared" si="1"/>
        <v>ALR_ASSENZA_TENSIONE_FASE_L3-Allarme assenza tensione dispositivo fase L3</v>
      </c>
      <c r="C100" s="82" t="s">
        <v>1131</v>
      </c>
      <c r="D100" s="82" t="s">
        <v>1132</v>
      </c>
      <c r="E100" s="82" t="s">
        <v>2163</v>
      </c>
      <c r="F100" s="82" t="s">
        <v>1131</v>
      </c>
      <c r="G100" s="82" t="s">
        <v>1946</v>
      </c>
      <c r="H100" s="82" t="s">
        <v>2165</v>
      </c>
      <c r="I100" s="82" t="s">
        <v>24</v>
      </c>
      <c r="J100" s="82" t="s">
        <v>2171</v>
      </c>
      <c r="K100" s="82" t="s">
        <v>2167</v>
      </c>
      <c r="L100" s="82" t="s">
        <v>1946</v>
      </c>
      <c r="M100" s="82" t="s">
        <v>2090</v>
      </c>
      <c r="N100" s="82" t="s">
        <v>1946</v>
      </c>
      <c r="O100" s="82" t="s">
        <v>2173</v>
      </c>
    </row>
    <row r="101" spans="1:15" ht="15.75" hidden="1" x14ac:dyDescent="0.25">
      <c r="A101" t="str">
        <f t="shared" si="1"/>
        <v>ALR_ASSENZA_TENSIONE_ILLUMINAZIONE_400V-Chiusura Allarme assenza tensione illuminazione 400V</v>
      </c>
      <c r="C101" s="82" t="s">
        <v>2231</v>
      </c>
      <c r="D101" s="82" t="s">
        <v>2232</v>
      </c>
      <c r="E101" s="82" t="s">
        <v>2163</v>
      </c>
      <c r="F101" s="82" t="s">
        <v>2231</v>
      </c>
      <c r="G101" s="82" t="s">
        <v>1946</v>
      </c>
      <c r="H101" s="82" t="s">
        <v>2165</v>
      </c>
      <c r="I101" s="82" t="s">
        <v>24</v>
      </c>
      <c r="J101" s="82" t="s">
        <v>2171</v>
      </c>
      <c r="K101" s="82" t="s">
        <v>2167</v>
      </c>
      <c r="L101" s="82" t="s">
        <v>1946</v>
      </c>
      <c r="M101" s="82" t="s">
        <v>2090</v>
      </c>
      <c r="N101" s="82" t="s">
        <v>1946</v>
      </c>
      <c r="O101" s="82" t="s">
        <v>2173</v>
      </c>
    </row>
    <row r="102" spans="1:15" ht="15.75" hidden="1" x14ac:dyDescent="0.25">
      <c r="A102" t="str">
        <f t="shared" si="1"/>
        <v>ALR_ASSENZA_TENSIONE_LINEA_GE-Allarme assenza tensione dispositivo linea GE</v>
      </c>
      <c r="C102" s="82" t="s">
        <v>1133</v>
      </c>
      <c r="D102" s="82" t="s">
        <v>1134</v>
      </c>
      <c r="E102" s="82" t="s">
        <v>2163</v>
      </c>
      <c r="F102" s="82" t="s">
        <v>1133</v>
      </c>
      <c r="G102" s="82" t="s">
        <v>1946</v>
      </c>
      <c r="H102" s="82" t="s">
        <v>2165</v>
      </c>
      <c r="I102" s="82" t="s">
        <v>24</v>
      </c>
      <c r="J102" s="82" t="s">
        <v>2171</v>
      </c>
      <c r="K102" s="82" t="s">
        <v>2167</v>
      </c>
      <c r="L102" s="82" t="s">
        <v>1946</v>
      </c>
      <c r="M102" s="82" t="s">
        <v>2090</v>
      </c>
      <c r="N102" s="82" t="s">
        <v>1946</v>
      </c>
      <c r="O102" s="82" t="s">
        <v>2173</v>
      </c>
    </row>
    <row r="103" spans="1:15" ht="15.75" hidden="1" x14ac:dyDescent="0.25">
      <c r="A103" t="str">
        <f t="shared" si="1"/>
        <v>ALR_ASSENZA_TENSIONE_LINEA_RETE-Allarme assenza tensione dispositivo linea rete</v>
      </c>
      <c r="C103" s="82" t="s">
        <v>1136</v>
      </c>
      <c r="D103" s="82" t="s">
        <v>1137</v>
      </c>
      <c r="E103" s="82" t="s">
        <v>2163</v>
      </c>
      <c r="F103" s="82" t="s">
        <v>1136</v>
      </c>
      <c r="G103" s="82" t="s">
        <v>1946</v>
      </c>
      <c r="H103" s="82" t="s">
        <v>2165</v>
      </c>
      <c r="I103" s="82" t="s">
        <v>24</v>
      </c>
      <c r="J103" s="82" t="s">
        <v>2171</v>
      </c>
      <c r="K103" s="82" t="s">
        <v>2167</v>
      </c>
      <c r="L103" s="82" t="s">
        <v>1946</v>
      </c>
      <c r="M103" s="82" t="s">
        <v>2090</v>
      </c>
      <c r="N103" s="82" t="s">
        <v>1946</v>
      </c>
      <c r="O103" s="82" t="s">
        <v>2173</v>
      </c>
    </row>
    <row r="104" spans="1:15" ht="15.75" hidden="1" x14ac:dyDescent="0.25">
      <c r="A104" t="str">
        <f t="shared" si="1"/>
        <v>ALR_ASSENZA_TENSIONE_LINEA_UTENZE-Allarme assenza tensione dispositivo linea utenze</v>
      </c>
      <c r="C104" s="82" t="s">
        <v>1138</v>
      </c>
      <c r="D104" s="82" t="s">
        <v>1139</v>
      </c>
      <c r="E104" s="82" t="s">
        <v>2163</v>
      </c>
      <c r="F104" s="82" t="s">
        <v>1138</v>
      </c>
      <c r="G104" s="82" t="s">
        <v>1946</v>
      </c>
      <c r="H104" s="82" t="s">
        <v>2165</v>
      </c>
      <c r="I104" s="82" t="s">
        <v>24</v>
      </c>
      <c r="J104" s="82" t="s">
        <v>2171</v>
      </c>
      <c r="K104" s="82" t="s">
        <v>2167</v>
      </c>
      <c r="L104" s="82" t="s">
        <v>1946</v>
      </c>
      <c r="M104" s="82" t="s">
        <v>2090</v>
      </c>
      <c r="N104" s="82" t="s">
        <v>1946</v>
      </c>
      <c r="O104" s="82" t="s">
        <v>2173</v>
      </c>
    </row>
    <row r="105" spans="1:15" ht="15.75" hidden="1" x14ac:dyDescent="0.25">
      <c r="A105" t="str">
        <f t="shared" si="1"/>
        <v>ALR_ASSENZA_TENSIONE_PEMANENTE-Chiusura Allarme assenza tensione permanente</v>
      </c>
      <c r="C105" s="82" t="s">
        <v>2233</v>
      </c>
      <c r="D105" s="82" t="s">
        <v>2234</v>
      </c>
      <c r="E105" s="82" t="s">
        <v>2163</v>
      </c>
      <c r="F105" s="82" t="s">
        <v>2233</v>
      </c>
      <c r="G105" s="82" t="s">
        <v>1946</v>
      </c>
      <c r="H105" s="82" t="s">
        <v>2165</v>
      </c>
      <c r="I105" s="82" t="s">
        <v>24</v>
      </c>
      <c r="J105" s="82" t="s">
        <v>2171</v>
      </c>
      <c r="K105" s="82" t="s">
        <v>2167</v>
      </c>
      <c r="L105" s="82" t="s">
        <v>1946</v>
      </c>
      <c r="M105" s="82" t="s">
        <v>2090</v>
      </c>
      <c r="N105" s="82" t="s">
        <v>1946</v>
      </c>
      <c r="O105" s="82" t="s">
        <v>2173</v>
      </c>
    </row>
    <row r="106" spans="1:15" ht="15.75" hidden="1" x14ac:dyDescent="0.25">
      <c r="A106" t="str">
        <f t="shared" si="1"/>
        <v>ALR_ASSENZA_TENSIONE_RAMO1-Allarme assenza tensione ramo 1</v>
      </c>
      <c r="C106" s="82" t="s">
        <v>1140</v>
      </c>
      <c r="D106" s="82" t="s">
        <v>1141</v>
      </c>
      <c r="E106" s="82" t="s">
        <v>2163</v>
      </c>
      <c r="F106" s="82" t="s">
        <v>1140</v>
      </c>
      <c r="G106" s="82" t="s">
        <v>1946</v>
      </c>
      <c r="H106" s="82" t="s">
        <v>2165</v>
      </c>
      <c r="I106" s="82" t="s">
        <v>24</v>
      </c>
      <c r="J106" s="82" t="s">
        <v>2171</v>
      </c>
      <c r="K106" s="82" t="s">
        <v>2167</v>
      </c>
      <c r="L106" s="82" t="s">
        <v>1946</v>
      </c>
      <c r="M106" s="82" t="s">
        <v>2090</v>
      </c>
      <c r="N106" s="82" t="s">
        <v>1946</v>
      </c>
      <c r="O106" s="82" t="s">
        <v>2173</v>
      </c>
    </row>
    <row r="107" spans="1:15" ht="15.75" hidden="1" x14ac:dyDescent="0.25">
      <c r="A107" t="str">
        <f t="shared" si="1"/>
        <v>ALR_ASSENZA_TENSIONE_RAMO2-Allarme assenza tensione ramo 2</v>
      </c>
      <c r="C107" s="82" t="s">
        <v>1143</v>
      </c>
      <c r="D107" s="82" t="s">
        <v>1144</v>
      </c>
      <c r="E107" s="82" t="s">
        <v>2163</v>
      </c>
      <c r="F107" s="82" t="s">
        <v>1143</v>
      </c>
      <c r="G107" s="82" t="s">
        <v>1946</v>
      </c>
      <c r="H107" s="82" t="s">
        <v>2165</v>
      </c>
      <c r="I107" s="82" t="s">
        <v>24</v>
      </c>
      <c r="J107" s="82" t="s">
        <v>2171</v>
      </c>
      <c r="K107" s="82" t="s">
        <v>2167</v>
      </c>
      <c r="L107" s="82" t="s">
        <v>1946</v>
      </c>
      <c r="M107" s="82" t="s">
        <v>2090</v>
      </c>
      <c r="N107" s="82" t="s">
        <v>1946</v>
      </c>
      <c r="O107" s="82" t="s">
        <v>2173</v>
      </c>
    </row>
    <row r="108" spans="1:15" ht="15.75" hidden="1" x14ac:dyDescent="0.25">
      <c r="A108" t="str">
        <f t="shared" si="1"/>
        <v>ALR_ASSENZA_TENSIONE_RINFORZI-Allarme assenza tensione rinforzi</v>
      </c>
      <c r="C108" s="82" t="s">
        <v>2235</v>
      </c>
      <c r="D108" s="82" t="s">
        <v>2236</v>
      </c>
      <c r="E108" s="82" t="s">
        <v>2163</v>
      </c>
      <c r="F108" s="82" t="s">
        <v>2235</v>
      </c>
      <c r="G108" s="82" t="s">
        <v>1946</v>
      </c>
      <c r="H108" s="82" t="s">
        <v>2165</v>
      </c>
      <c r="I108" s="82" t="s">
        <v>24</v>
      </c>
      <c r="J108" s="82" t="s">
        <v>2171</v>
      </c>
      <c r="K108" s="82" t="s">
        <v>2167</v>
      </c>
      <c r="L108" s="82" t="s">
        <v>1946</v>
      </c>
      <c r="M108" s="82" t="s">
        <v>2090</v>
      </c>
      <c r="N108" s="82" t="s">
        <v>1946</v>
      </c>
      <c r="O108" s="82" t="s">
        <v>2173</v>
      </c>
    </row>
    <row r="109" spans="1:15" ht="15.75" hidden="1" x14ac:dyDescent="0.25">
      <c r="A109" t="str">
        <f t="shared" si="1"/>
        <v>ALR_ASSENZA_TENSIONE_USCITA-Allarme assenza tensione dispositivo uscita</v>
      </c>
      <c r="C109" s="82" t="s">
        <v>2237</v>
      </c>
      <c r="D109" s="82" t="s">
        <v>2238</v>
      </c>
      <c r="E109" s="82" t="s">
        <v>2163</v>
      </c>
      <c r="F109" s="82" t="s">
        <v>2237</v>
      </c>
      <c r="G109" s="82" t="s">
        <v>1946</v>
      </c>
      <c r="H109" s="82" t="s">
        <v>2165</v>
      </c>
      <c r="I109" s="82" t="s">
        <v>24</v>
      </c>
      <c r="J109" s="82" t="s">
        <v>2171</v>
      </c>
      <c r="K109" s="82" t="s">
        <v>2167</v>
      </c>
      <c r="L109" s="82" t="s">
        <v>1946</v>
      </c>
      <c r="M109" s="82" t="s">
        <v>2239</v>
      </c>
      <c r="N109" s="82" t="s">
        <v>1946</v>
      </c>
      <c r="O109" s="82" t="s">
        <v>2173</v>
      </c>
    </row>
    <row r="110" spans="1:15" ht="15.75" hidden="1" x14ac:dyDescent="0.25">
      <c r="A110" t="str">
        <f t="shared" si="1"/>
        <v>ALR_ASSENZA_TENSIONE_VERSO_CE_NORD-Allarme assenza tensione dispositivo verso cabina nord</v>
      </c>
      <c r="C110" s="82" t="s">
        <v>1145</v>
      </c>
      <c r="D110" s="82" t="s">
        <v>1146</v>
      </c>
      <c r="E110" s="82" t="s">
        <v>2163</v>
      </c>
      <c r="F110" s="82" t="s">
        <v>1145</v>
      </c>
      <c r="G110" s="82" t="s">
        <v>1946</v>
      </c>
      <c r="H110" s="82" t="s">
        <v>2165</v>
      </c>
      <c r="I110" s="82" t="s">
        <v>24</v>
      </c>
      <c r="J110" s="82" t="s">
        <v>2171</v>
      </c>
      <c r="K110" s="82" t="s">
        <v>2167</v>
      </c>
      <c r="L110" s="82" t="s">
        <v>1946</v>
      </c>
      <c r="M110" s="82" t="s">
        <v>2090</v>
      </c>
      <c r="N110" s="82" t="s">
        <v>1946</v>
      </c>
      <c r="O110" s="82" t="s">
        <v>2173</v>
      </c>
    </row>
    <row r="111" spans="1:15" ht="15.75" hidden="1" x14ac:dyDescent="0.25">
      <c r="A111" t="str">
        <f t="shared" si="1"/>
        <v>ALR_ASSENZA_TENSIONE_VERSO_CE_SUD-Allarme assenza tensione dispositivo verso cabina sud</v>
      </c>
      <c r="C111" s="82" t="s">
        <v>1148</v>
      </c>
      <c r="D111" s="82" t="s">
        <v>1149</v>
      </c>
      <c r="E111" s="82" t="s">
        <v>2163</v>
      </c>
      <c r="F111" s="82" t="s">
        <v>1148</v>
      </c>
      <c r="G111" s="82" t="s">
        <v>1946</v>
      </c>
      <c r="H111" s="82" t="s">
        <v>2165</v>
      </c>
      <c r="I111" s="82" t="s">
        <v>24</v>
      </c>
      <c r="J111" s="82" t="s">
        <v>2171</v>
      </c>
      <c r="K111" s="82" t="s">
        <v>2167</v>
      </c>
      <c r="L111" s="82" t="s">
        <v>1946</v>
      </c>
      <c r="M111" s="82" t="s">
        <v>2090</v>
      </c>
      <c r="N111" s="82" t="s">
        <v>1946</v>
      </c>
      <c r="O111" s="82" t="s">
        <v>2173</v>
      </c>
    </row>
    <row r="112" spans="1:15" ht="15.75" hidden="1" x14ac:dyDescent="0.25">
      <c r="A112" t="str">
        <f t="shared" si="1"/>
        <v>ALR_ASSIMETRIA_ALTERNATORE-Allarme assimetria alternatore</v>
      </c>
      <c r="C112" s="82" t="s">
        <v>118</v>
      </c>
      <c r="D112" s="82" t="s">
        <v>119</v>
      </c>
      <c r="E112" s="82" t="s">
        <v>2163</v>
      </c>
      <c r="F112" s="82" t="s">
        <v>118</v>
      </c>
      <c r="G112" s="82" t="s">
        <v>1946</v>
      </c>
      <c r="H112" s="82" t="s">
        <v>2165</v>
      </c>
      <c r="I112" s="82" t="s">
        <v>24</v>
      </c>
      <c r="J112" s="82" t="s">
        <v>2171</v>
      </c>
      <c r="K112" s="82" t="s">
        <v>2167</v>
      </c>
      <c r="L112" s="82" t="s">
        <v>1946</v>
      </c>
      <c r="M112" s="82" t="s">
        <v>2090</v>
      </c>
      <c r="N112" s="82" t="s">
        <v>1946</v>
      </c>
      <c r="O112" s="82" t="s">
        <v>2173</v>
      </c>
    </row>
    <row r="113" spans="1:15" ht="15.75" hidden="1" x14ac:dyDescent="0.25">
      <c r="A113" t="str">
        <f t="shared" si="1"/>
        <v>ALR_ASSIMETRIA_RETE-Allarme assimetria rete</v>
      </c>
      <c r="C113" s="82" t="s">
        <v>120</v>
      </c>
      <c r="D113" s="82" t="s">
        <v>121</v>
      </c>
      <c r="E113" s="82" t="s">
        <v>2163</v>
      </c>
      <c r="F113" s="82" t="s">
        <v>120</v>
      </c>
      <c r="G113" s="82" t="s">
        <v>1946</v>
      </c>
      <c r="H113" s="82" t="s">
        <v>2165</v>
      </c>
      <c r="I113" s="82" t="s">
        <v>24</v>
      </c>
      <c r="J113" s="82" t="s">
        <v>2171</v>
      </c>
      <c r="K113" s="82" t="s">
        <v>2167</v>
      </c>
      <c r="L113" s="82" t="s">
        <v>1946</v>
      </c>
      <c r="M113" s="82" t="s">
        <v>2090</v>
      </c>
      <c r="N113" s="82" t="s">
        <v>1946</v>
      </c>
      <c r="O113" s="82" t="s">
        <v>2173</v>
      </c>
    </row>
    <row r="114" spans="1:15" ht="15.75" hidden="1" x14ac:dyDescent="0.25">
      <c r="A114" t="str">
        <f t="shared" si="1"/>
        <v>ALR_ASSORBIMENTO-Allarme assorbimento  ventilatore</v>
      </c>
      <c r="C114" s="82" t="s">
        <v>122</v>
      </c>
      <c r="D114" s="82" t="s">
        <v>123</v>
      </c>
      <c r="E114" s="82" t="s">
        <v>2163</v>
      </c>
      <c r="F114" s="82" t="s">
        <v>122</v>
      </c>
      <c r="G114" s="82" t="s">
        <v>1946</v>
      </c>
      <c r="H114" s="82" t="s">
        <v>2165</v>
      </c>
      <c r="I114" s="82" t="s">
        <v>24</v>
      </c>
      <c r="J114" s="82" t="s">
        <v>2171</v>
      </c>
      <c r="K114" s="82" t="s">
        <v>2167</v>
      </c>
      <c r="L114" s="82" t="s">
        <v>1946</v>
      </c>
      <c r="M114" s="82" t="s">
        <v>2090</v>
      </c>
      <c r="N114" s="82" t="s">
        <v>1946</v>
      </c>
      <c r="O114" s="82" t="s">
        <v>2173</v>
      </c>
    </row>
    <row r="115" spans="1:15" ht="15.75" hidden="1" x14ac:dyDescent="0.25">
      <c r="A115" t="str">
        <f t="shared" si="1"/>
        <v>ALR_AVARIA_ALIMENTATORI-Allarme avaria alimentatori</v>
      </c>
      <c r="C115" s="82" t="s">
        <v>125</v>
      </c>
      <c r="D115" s="82" t="s">
        <v>126</v>
      </c>
      <c r="E115" s="82" t="s">
        <v>2163</v>
      </c>
      <c r="F115" s="82" t="s">
        <v>125</v>
      </c>
      <c r="G115" s="82" t="s">
        <v>1946</v>
      </c>
      <c r="H115" s="82" t="s">
        <v>2165</v>
      </c>
      <c r="I115" s="82" t="s">
        <v>24</v>
      </c>
      <c r="J115" s="82" t="s">
        <v>2171</v>
      </c>
      <c r="K115" s="82" t="s">
        <v>2167</v>
      </c>
      <c r="L115" s="82" t="s">
        <v>1946</v>
      </c>
      <c r="M115" s="82" t="s">
        <v>2090</v>
      </c>
      <c r="N115" s="82" t="s">
        <v>1946</v>
      </c>
      <c r="O115" s="82" t="s">
        <v>2173</v>
      </c>
    </row>
    <row r="116" spans="1:15" ht="15.75" hidden="1" x14ac:dyDescent="0.25">
      <c r="A116" t="str">
        <f t="shared" si="1"/>
        <v>ALR_AVARIA_CENTRALINA_2_ANTINCENDIO-Allarme avaria centralina 2 incendio</v>
      </c>
      <c r="C116" s="82" t="s">
        <v>1970</v>
      </c>
      <c r="D116" s="82" t="s">
        <v>1971</v>
      </c>
      <c r="E116" s="82" t="s">
        <v>2163</v>
      </c>
      <c r="F116" s="82" t="s">
        <v>1970</v>
      </c>
      <c r="G116" s="82" t="s">
        <v>1946</v>
      </c>
      <c r="H116" s="82" t="s">
        <v>2165</v>
      </c>
      <c r="I116" s="82" t="s">
        <v>33</v>
      </c>
      <c r="J116" s="82" t="s">
        <v>2174</v>
      </c>
      <c r="K116" s="82" t="s">
        <v>2173</v>
      </c>
      <c r="L116" s="82" t="s">
        <v>1946</v>
      </c>
      <c r="M116" s="82" t="s">
        <v>2176</v>
      </c>
      <c r="N116" s="82" t="s">
        <v>2188</v>
      </c>
      <c r="O116" s="82" t="s">
        <v>2173</v>
      </c>
    </row>
    <row r="117" spans="1:15" ht="15.75" hidden="1" x14ac:dyDescent="0.25">
      <c r="A117" t="str">
        <f t="shared" si="1"/>
        <v>ALR_AVARIA_CENTRALINA_ANTINCENDIO-Allarme avaria centralina incendio</v>
      </c>
      <c r="C117" s="82" t="s">
        <v>128</v>
      </c>
      <c r="D117" s="82" t="s">
        <v>129</v>
      </c>
      <c r="E117" s="82" t="s">
        <v>2163</v>
      </c>
      <c r="F117" s="82" t="s">
        <v>128</v>
      </c>
      <c r="G117" s="82" t="s">
        <v>1946</v>
      </c>
      <c r="H117" s="82" t="s">
        <v>2165</v>
      </c>
      <c r="I117" s="82" t="s">
        <v>33</v>
      </c>
      <c r="J117" s="82" t="s">
        <v>2174</v>
      </c>
      <c r="K117" s="82" t="s">
        <v>2173</v>
      </c>
      <c r="L117" s="82" t="s">
        <v>1946</v>
      </c>
      <c r="M117" s="82" t="s">
        <v>2176</v>
      </c>
      <c r="N117" s="82" t="s">
        <v>2188</v>
      </c>
      <c r="O117" s="82" t="s">
        <v>2173</v>
      </c>
    </row>
    <row r="118" spans="1:15" ht="15.75" hidden="1" x14ac:dyDescent="0.25">
      <c r="A118" t="str">
        <f t="shared" si="1"/>
        <v>ALR_AVARIA_FIBROLASER-Allarme avaria fibrolaser</v>
      </c>
      <c r="C118" s="82" t="s">
        <v>2240</v>
      </c>
      <c r="D118" s="82" t="s">
        <v>2241</v>
      </c>
      <c r="E118" s="82" t="s">
        <v>2163</v>
      </c>
      <c r="F118" s="82" t="s">
        <v>2240</v>
      </c>
      <c r="G118" s="82" t="s">
        <v>1946</v>
      </c>
      <c r="H118" s="82" t="s">
        <v>2165</v>
      </c>
      <c r="I118" s="82" t="s">
        <v>24</v>
      </c>
      <c r="J118" s="82" t="s">
        <v>2171</v>
      </c>
      <c r="K118" s="82" t="s">
        <v>2167</v>
      </c>
      <c r="L118" s="82" t="s">
        <v>1946</v>
      </c>
      <c r="M118" s="82" t="s">
        <v>2090</v>
      </c>
      <c r="N118" s="82" t="s">
        <v>1946</v>
      </c>
      <c r="O118" s="82" t="s">
        <v>2173</v>
      </c>
    </row>
    <row r="119" spans="1:15" ht="15.75" hidden="1" x14ac:dyDescent="0.25">
      <c r="A119" t="str">
        <f t="shared" si="1"/>
        <v>ALR_AVARIA_GRAVE-Allarme avaria grave</v>
      </c>
      <c r="C119" s="82" t="s">
        <v>1150</v>
      </c>
      <c r="D119" s="82" t="s">
        <v>1151</v>
      </c>
      <c r="E119" s="82" t="s">
        <v>2163</v>
      </c>
      <c r="F119" s="82" t="s">
        <v>1150</v>
      </c>
      <c r="G119" s="82" t="s">
        <v>1946</v>
      </c>
      <c r="H119" s="82" t="s">
        <v>2165</v>
      </c>
      <c r="I119" s="82" t="s">
        <v>24</v>
      </c>
      <c r="J119" s="82" t="s">
        <v>2171</v>
      </c>
      <c r="K119" s="82" t="s">
        <v>2167</v>
      </c>
      <c r="L119" s="82" t="s">
        <v>1946</v>
      </c>
      <c r="M119" s="82" t="s">
        <v>2090</v>
      </c>
      <c r="N119" s="82" t="s">
        <v>1946</v>
      </c>
      <c r="O119" s="82" t="s">
        <v>2173</v>
      </c>
    </row>
    <row r="120" spans="1:15" ht="15.75" hidden="1" x14ac:dyDescent="0.25">
      <c r="A120" t="str">
        <f t="shared" si="1"/>
        <v>ALR_AVARIA_INGRESSI_DIGITALI_PLC-Allarme avaria Scheda Ingressi Digitali PLC</v>
      </c>
      <c r="C120" s="82" t="s">
        <v>1843</v>
      </c>
      <c r="D120" s="82" t="s">
        <v>1844</v>
      </c>
      <c r="E120" s="82" t="s">
        <v>2163</v>
      </c>
      <c r="F120" s="82" t="s">
        <v>1843</v>
      </c>
      <c r="G120" s="82" t="s">
        <v>1946</v>
      </c>
      <c r="H120" s="82" t="s">
        <v>2165</v>
      </c>
      <c r="I120" s="82" t="s">
        <v>24</v>
      </c>
      <c r="J120" s="82" t="s">
        <v>2171</v>
      </c>
      <c r="K120" s="82" t="s">
        <v>2167</v>
      </c>
      <c r="L120" s="82" t="s">
        <v>1946</v>
      </c>
      <c r="M120" s="82" t="s">
        <v>2183</v>
      </c>
      <c r="N120" s="82" t="s">
        <v>1946</v>
      </c>
      <c r="O120" s="82" t="s">
        <v>2173</v>
      </c>
    </row>
    <row r="121" spans="1:15" ht="15.75" hidden="1" x14ac:dyDescent="0.25">
      <c r="A121" t="str">
        <f t="shared" si="1"/>
        <v>ALR_AVARIA_LED-Allarme avaria LED</v>
      </c>
      <c r="C121" s="82" t="s">
        <v>131</v>
      </c>
      <c r="D121" s="82" t="s">
        <v>132</v>
      </c>
      <c r="E121" s="82" t="s">
        <v>2163</v>
      </c>
      <c r="F121" s="82" t="s">
        <v>131</v>
      </c>
      <c r="G121" s="82" t="s">
        <v>1946</v>
      </c>
      <c r="H121" s="82" t="s">
        <v>2165</v>
      </c>
      <c r="I121" s="82" t="s">
        <v>24</v>
      </c>
      <c r="J121" s="82" t="s">
        <v>2171</v>
      </c>
      <c r="K121" s="82" t="s">
        <v>2167</v>
      </c>
      <c r="L121" s="82" t="s">
        <v>1946</v>
      </c>
      <c r="M121" s="82" t="s">
        <v>2090</v>
      </c>
      <c r="N121" s="82" t="s">
        <v>1946</v>
      </c>
      <c r="O121" s="82" t="s">
        <v>2173</v>
      </c>
    </row>
    <row r="122" spans="1:15" ht="15.75" hidden="1" x14ac:dyDescent="0.25">
      <c r="A122" t="str">
        <f t="shared" si="1"/>
        <v>ALR_AVARIA_LINEA_INTERNA-Allarme avaria linea interna</v>
      </c>
      <c r="C122" s="82" t="s">
        <v>133</v>
      </c>
      <c r="D122" s="82" t="s">
        <v>134</v>
      </c>
      <c r="E122" s="82" t="s">
        <v>2163</v>
      </c>
      <c r="F122" s="82" t="s">
        <v>133</v>
      </c>
      <c r="G122" s="82" t="s">
        <v>1946</v>
      </c>
      <c r="H122" s="82" t="s">
        <v>2165</v>
      </c>
      <c r="I122" s="82" t="s">
        <v>24</v>
      </c>
      <c r="J122" s="82" t="s">
        <v>2171</v>
      </c>
      <c r="K122" s="82" t="s">
        <v>2167</v>
      </c>
      <c r="L122" s="82" t="s">
        <v>1946</v>
      </c>
      <c r="M122" s="82" t="s">
        <v>2090</v>
      </c>
      <c r="N122" s="82" t="s">
        <v>1946</v>
      </c>
      <c r="O122" s="82" t="s">
        <v>2173</v>
      </c>
    </row>
    <row r="123" spans="1:15" ht="15.75" hidden="1" x14ac:dyDescent="0.25">
      <c r="A123" t="str">
        <f t="shared" si="1"/>
        <v>ALR_AVARIA_SERBATOIO-Allarme serbatoio GE in avaria</v>
      </c>
      <c r="C123" s="82" t="s">
        <v>135</v>
      </c>
      <c r="D123" s="82" t="s">
        <v>136</v>
      </c>
      <c r="E123" s="82" t="s">
        <v>2163</v>
      </c>
      <c r="F123" s="82" t="s">
        <v>135</v>
      </c>
      <c r="G123" s="82" t="s">
        <v>1946</v>
      </c>
      <c r="H123" s="82" t="s">
        <v>2165</v>
      </c>
      <c r="I123" s="82" t="s">
        <v>24</v>
      </c>
      <c r="J123" s="82" t="s">
        <v>2171</v>
      </c>
      <c r="K123" s="82" t="s">
        <v>2167</v>
      </c>
      <c r="L123" s="82" t="s">
        <v>1946</v>
      </c>
      <c r="M123" s="82" t="s">
        <v>2090</v>
      </c>
      <c r="N123" s="82" t="s">
        <v>1946</v>
      </c>
      <c r="O123" s="82" t="s">
        <v>2173</v>
      </c>
    </row>
    <row r="124" spans="1:15" ht="15.75" hidden="1" x14ac:dyDescent="0.25">
      <c r="A124" t="str">
        <f t="shared" si="1"/>
        <v>ALR_AVARIA_SERIALE_NE-Allarme avaria seriale NE</v>
      </c>
      <c r="C124" s="82" t="s">
        <v>138</v>
      </c>
      <c r="D124" s="82" t="s">
        <v>139</v>
      </c>
      <c r="E124" s="82" t="s">
        <v>2163</v>
      </c>
      <c r="F124" s="82" t="s">
        <v>138</v>
      </c>
      <c r="G124" s="82" t="s">
        <v>1946</v>
      </c>
      <c r="H124" s="82" t="s">
        <v>2165</v>
      </c>
      <c r="I124" s="82" t="s">
        <v>24</v>
      </c>
      <c r="J124" s="82" t="s">
        <v>2171</v>
      </c>
      <c r="K124" s="82" t="s">
        <v>2167</v>
      </c>
      <c r="L124" s="82" t="s">
        <v>1946</v>
      </c>
      <c r="M124" s="82" t="s">
        <v>2090</v>
      </c>
      <c r="N124" s="82" t="s">
        <v>1946</v>
      </c>
      <c r="O124" s="82" t="s">
        <v>2173</v>
      </c>
    </row>
    <row r="125" spans="1:15" ht="15.75" hidden="1" x14ac:dyDescent="0.25">
      <c r="A125" t="str">
        <f t="shared" si="1"/>
        <v>ALR_AVARIA_SERIALE_NW-Allarme avaria seriale NW</v>
      </c>
      <c r="C125" s="82" t="s">
        <v>140</v>
      </c>
      <c r="D125" s="82" t="s">
        <v>141</v>
      </c>
      <c r="E125" s="82" t="s">
        <v>2163</v>
      </c>
      <c r="F125" s="82" t="s">
        <v>140</v>
      </c>
      <c r="G125" s="82" t="s">
        <v>1946</v>
      </c>
      <c r="H125" s="82" t="s">
        <v>2165</v>
      </c>
      <c r="I125" s="82" t="s">
        <v>24</v>
      </c>
      <c r="J125" s="82" t="s">
        <v>2171</v>
      </c>
      <c r="K125" s="82" t="s">
        <v>2167</v>
      </c>
      <c r="L125" s="82" t="s">
        <v>1946</v>
      </c>
      <c r="M125" s="82" t="s">
        <v>2090</v>
      </c>
      <c r="N125" s="82" t="s">
        <v>1946</v>
      </c>
      <c r="O125" s="82" t="s">
        <v>2173</v>
      </c>
    </row>
    <row r="126" spans="1:15" ht="15.75" hidden="1" x14ac:dyDescent="0.25">
      <c r="A126" t="str">
        <f t="shared" si="1"/>
        <v>ALR_AVARIA_SERIALE_SE-Allarme avaria seriale SE</v>
      </c>
      <c r="C126" s="82" t="s">
        <v>142</v>
      </c>
      <c r="D126" s="82" t="s">
        <v>143</v>
      </c>
      <c r="E126" s="82" t="s">
        <v>2163</v>
      </c>
      <c r="F126" s="82" t="s">
        <v>142</v>
      </c>
      <c r="G126" s="82" t="s">
        <v>1946</v>
      </c>
      <c r="H126" s="82" t="s">
        <v>2165</v>
      </c>
      <c r="I126" s="82" t="s">
        <v>24</v>
      </c>
      <c r="J126" s="82" t="s">
        <v>2171</v>
      </c>
      <c r="K126" s="82" t="s">
        <v>2167</v>
      </c>
      <c r="L126" s="82" t="s">
        <v>1946</v>
      </c>
      <c r="M126" s="82" t="s">
        <v>2090</v>
      </c>
      <c r="N126" s="82" t="s">
        <v>1946</v>
      </c>
      <c r="O126" s="82" t="s">
        <v>2173</v>
      </c>
    </row>
    <row r="127" spans="1:15" ht="15.75" hidden="1" x14ac:dyDescent="0.25">
      <c r="A127" t="str">
        <f t="shared" si="1"/>
        <v>ALR_AVARIA_SERIALE_SW-Allarme avaria seriale SW</v>
      </c>
      <c r="C127" s="82" t="s">
        <v>144</v>
      </c>
      <c r="D127" s="82" t="s">
        <v>145</v>
      </c>
      <c r="E127" s="82" t="s">
        <v>2163</v>
      </c>
      <c r="F127" s="82" t="s">
        <v>144</v>
      </c>
      <c r="G127" s="82" t="s">
        <v>1946</v>
      </c>
      <c r="H127" s="82" t="s">
        <v>2165</v>
      </c>
      <c r="I127" s="82" t="s">
        <v>24</v>
      </c>
      <c r="J127" s="82" t="s">
        <v>2171</v>
      </c>
      <c r="K127" s="82" t="s">
        <v>2167</v>
      </c>
      <c r="L127" s="82" t="s">
        <v>1946</v>
      </c>
      <c r="M127" s="82" t="s">
        <v>2090</v>
      </c>
      <c r="N127" s="82" t="s">
        <v>1946</v>
      </c>
      <c r="O127" s="82" t="s">
        <v>2173</v>
      </c>
    </row>
    <row r="128" spans="1:15" ht="15.75" hidden="1" x14ac:dyDescent="0.25">
      <c r="A128" t="str">
        <f t="shared" si="1"/>
        <v>ALR_AVARIA_TEMPERATURE-Allarme avaria temperatura</v>
      </c>
      <c r="C128" s="82" t="s">
        <v>146</v>
      </c>
      <c r="D128" s="82" t="s">
        <v>147</v>
      </c>
      <c r="E128" s="82" t="s">
        <v>2163</v>
      </c>
      <c r="F128" s="82" t="s">
        <v>146</v>
      </c>
      <c r="G128" s="82" t="s">
        <v>1946</v>
      </c>
      <c r="H128" s="82" t="s">
        <v>2165</v>
      </c>
      <c r="I128" s="82" t="s">
        <v>24</v>
      </c>
      <c r="J128" s="82" t="s">
        <v>2171</v>
      </c>
      <c r="K128" s="82" t="s">
        <v>2167</v>
      </c>
      <c r="L128" s="82" t="s">
        <v>1946</v>
      </c>
      <c r="M128" s="82" t="s">
        <v>2090</v>
      </c>
      <c r="N128" s="82" t="s">
        <v>1946</v>
      </c>
      <c r="O128" s="82" t="s">
        <v>2173</v>
      </c>
    </row>
    <row r="129" spans="1:15" ht="15.75" hidden="1" x14ac:dyDescent="0.25">
      <c r="A129" t="str">
        <f t="shared" si="1"/>
        <v>ALR_AVARIA_USCITE_DIGITALI_PLC-Allarme avaria Scheda Uscite Digitali PLC</v>
      </c>
      <c r="C129" s="82" t="s">
        <v>1846</v>
      </c>
      <c r="D129" s="82" t="s">
        <v>1847</v>
      </c>
      <c r="E129" s="82" t="s">
        <v>2163</v>
      </c>
      <c r="F129" s="82" t="s">
        <v>1846</v>
      </c>
      <c r="G129" s="82" t="s">
        <v>1946</v>
      </c>
      <c r="H129" s="82" t="s">
        <v>2165</v>
      </c>
      <c r="I129" s="82" t="s">
        <v>24</v>
      </c>
      <c r="J129" s="82" t="s">
        <v>2171</v>
      </c>
      <c r="K129" s="82" t="s">
        <v>2167</v>
      </c>
      <c r="L129" s="82" t="s">
        <v>1946</v>
      </c>
      <c r="M129" s="82" t="s">
        <v>2183</v>
      </c>
      <c r="N129" s="82" t="s">
        <v>1946</v>
      </c>
      <c r="O129" s="82" t="s">
        <v>2173</v>
      </c>
    </row>
    <row r="130" spans="1:15" ht="15.75" hidden="1" x14ac:dyDescent="0.25">
      <c r="A130" t="str">
        <f t="shared" si="1"/>
        <v>ALR_AVVIAMENTO_IN_CORSO-Allarme avviamento in corso</v>
      </c>
      <c r="C130" s="82" t="s">
        <v>1852</v>
      </c>
      <c r="D130" s="82" t="s">
        <v>1853</v>
      </c>
      <c r="E130" s="82" t="s">
        <v>2163</v>
      </c>
      <c r="F130" s="82" t="s">
        <v>1852</v>
      </c>
      <c r="G130" s="82" t="s">
        <v>2182</v>
      </c>
      <c r="H130" s="82" t="s">
        <v>2165</v>
      </c>
      <c r="I130" s="82" t="s">
        <v>157</v>
      </c>
      <c r="J130" s="82" t="s">
        <v>2181</v>
      </c>
      <c r="K130" s="82" t="s">
        <v>2167</v>
      </c>
      <c r="L130" s="82" t="s">
        <v>2182</v>
      </c>
      <c r="M130" s="82" t="s">
        <v>2184</v>
      </c>
      <c r="N130" s="82" t="s">
        <v>1946</v>
      </c>
      <c r="O130" s="82" t="s">
        <v>2173</v>
      </c>
    </row>
    <row r="131" spans="1:15" ht="15.75" hidden="1" x14ac:dyDescent="0.25">
      <c r="A131" t="str">
        <f t="shared" ref="A131:A194" si="2">CONCATENATE(F131,"-",D131)</f>
        <v>ALR_BASSA_PRESSIONE-Allarme bassa pressione Gruppo Elettrogeno</v>
      </c>
      <c r="C131" s="82" t="s">
        <v>148</v>
      </c>
      <c r="D131" s="82" t="s">
        <v>149</v>
      </c>
      <c r="E131" s="82" t="s">
        <v>2163</v>
      </c>
      <c r="F131" s="82" t="s">
        <v>148</v>
      </c>
      <c r="G131" s="82" t="s">
        <v>1946</v>
      </c>
      <c r="H131" s="82" t="s">
        <v>2165</v>
      </c>
      <c r="I131" s="82" t="s">
        <v>24</v>
      </c>
      <c r="J131" s="82" t="s">
        <v>2171</v>
      </c>
      <c r="K131" s="82" t="s">
        <v>2167</v>
      </c>
      <c r="L131" s="82" t="s">
        <v>1946</v>
      </c>
      <c r="M131" s="82" t="s">
        <v>2090</v>
      </c>
      <c r="N131" s="82" t="s">
        <v>1946</v>
      </c>
      <c r="O131" s="82" t="s">
        <v>2173</v>
      </c>
    </row>
    <row r="132" spans="1:15" ht="15.75" hidden="1" x14ac:dyDescent="0.25">
      <c r="A132" t="str">
        <f t="shared" si="2"/>
        <v>ALR_BASSA_TEMPERATURA_ACQUA-Allarme bassa temperatura acqua</v>
      </c>
      <c r="C132" s="82" t="s">
        <v>2242</v>
      </c>
      <c r="D132" s="82" t="s">
        <v>2243</v>
      </c>
      <c r="E132" s="82" t="s">
        <v>2163</v>
      </c>
      <c r="F132" s="82" t="s">
        <v>2242</v>
      </c>
      <c r="G132" s="82" t="s">
        <v>1946</v>
      </c>
      <c r="H132" s="82" t="s">
        <v>2165</v>
      </c>
      <c r="I132" s="82" t="s">
        <v>24</v>
      </c>
      <c r="J132" s="82" t="s">
        <v>2171</v>
      </c>
      <c r="K132" s="82" t="s">
        <v>2173</v>
      </c>
      <c r="L132" s="82" t="s">
        <v>1946</v>
      </c>
      <c r="M132" s="82" t="s">
        <v>2183</v>
      </c>
      <c r="N132" s="82" t="s">
        <v>1946</v>
      </c>
      <c r="O132" s="82" t="s">
        <v>2173</v>
      </c>
    </row>
    <row r="133" spans="1:15" ht="15.75" hidden="1" x14ac:dyDescent="0.25">
      <c r="A133" t="str">
        <f t="shared" si="2"/>
        <v>ALR_BASSA_TENSIONE_RETE-Allarme bassa tensione rete</v>
      </c>
      <c r="C133" s="82" t="s">
        <v>150</v>
      </c>
      <c r="D133" s="82" t="s">
        <v>151</v>
      </c>
      <c r="E133" s="82" t="s">
        <v>2163</v>
      </c>
      <c r="F133" s="82" t="s">
        <v>150</v>
      </c>
      <c r="G133" s="82" t="s">
        <v>1946</v>
      </c>
      <c r="H133" s="82" t="s">
        <v>2165</v>
      </c>
      <c r="I133" s="82" t="s">
        <v>24</v>
      </c>
      <c r="J133" s="82" t="s">
        <v>2171</v>
      </c>
      <c r="K133" s="82" t="s">
        <v>2167</v>
      </c>
      <c r="L133" s="82" t="s">
        <v>1946</v>
      </c>
      <c r="M133" s="82" t="s">
        <v>2090</v>
      </c>
      <c r="N133" s="82" t="s">
        <v>1946</v>
      </c>
      <c r="O133" s="82" t="s">
        <v>2173</v>
      </c>
    </row>
    <row r="134" spans="1:15" ht="15.75" hidden="1" x14ac:dyDescent="0.25">
      <c r="A134" t="str">
        <f t="shared" si="2"/>
        <v>ALR_BASSA_VELOCITA_NON_RAGGIUNTA-Allarme bassa velocità non raggiunta</v>
      </c>
      <c r="C134" s="82" t="s">
        <v>2244</v>
      </c>
      <c r="D134" s="82" t="s">
        <v>2245</v>
      </c>
      <c r="E134" s="82" t="s">
        <v>2163</v>
      </c>
      <c r="F134" s="82" t="s">
        <v>2244</v>
      </c>
      <c r="G134" s="82" t="s">
        <v>1946</v>
      </c>
      <c r="H134" s="82" t="s">
        <v>2165</v>
      </c>
      <c r="I134" s="82" t="s">
        <v>24</v>
      </c>
      <c r="J134" s="82" t="s">
        <v>2171</v>
      </c>
      <c r="K134" s="82" t="s">
        <v>2167</v>
      </c>
      <c r="L134" s="82" t="s">
        <v>1946</v>
      </c>
      <c r="M134" s="82" t="s">
        <v>2090</v>
      </c>
      <c r="N134" s="82" t="s">
        <v>1946</v>
      </c>
      <c r="O134" s="82" t="s">
        <v>2173</v>
      </c>
    </row>
    <row r="135" spans="1:15" ht="15.75" hidden="1" x14ac:dyDescent="0.25">
      <c r="A135" t="str">
        <f t="shared" si="2"/>
        <v>ALR_BASSISSIMO_LIV_GASOLIO_SERB-Allarme livello gasolio bassissimo</v>
      </c>
      <c r="C135" s="82" t="s">
        <v>152</v>
      </c>
      <c r="D135" s="82" t="s">
        <v>153</v>
      </c>
      <c r="E135" s="82" t="s">
        <v>2163</v>
      </c>
      <c r="F135" s="82" t="s">
        <v>152</v>
      </c>
      <c r="G135" s="82" t="s">
        <v>1946</v>
      </c>
      <c r="H135" s="82" t="s">
        <v>2165</v>
      </c>
      <c r="I135" s="82" t="s">
        <v>24</v>
      </c>
      <c r="J135" s="82" t="s">
        <v>2171</v>
      </c>
      <c r="K135" s="82" t="s">
        <v>2167</v>
      </c>
      <c r="L135" s="82" t="s">
        <v>1946</v>
      </c>
      <c r="M135" s="82" t="s">
        <v>2090</v>
      </c>
      <c r="N135" s="82" t="s">
        <v>1946</v>
      </c>
      <c r="O135" s="82" t="s">
        <v>2173</v>
      </c>
    </row>
    <row r="136" spans="1:15" ht="15.75" hidden="1" x14ac:dyDescent="0.25">
      <c r="A136" t="str">
        <f t="shared" si="2"/>
        <v>ALR_BASSO_LIVELLO_OLIO-Allarme basso livello olio</v>
      </c>
      <c r="C136" s="82" t="s">
        <v>2246</v>
      </c>
      <c r="D136" s="82" t="s">
        <v>2247</v>
      </c>
      <c r="E136" s="82" t="s">
        <v>2163</v>
      </c>
      <c r="F136" s="82" t="s">
        <v>2246</v>
      </c>
      <c r="G136" s="82" t="s">
        <v>1946</v>
      </c>
      <c r="H136" s="82" t="s">
        <v>2165</v>
      </c>
      <c r="I136" s="82" t="s">
        <v>24</v>
      </c>
      <c r="J136" s="82" t="s">
        <v>2171</v>
      </c>
      <c r="K136" s="82" t="s">
        <v>2167</v>
      </c>
      <c r="L136" s="82" t="s">
        <v>1946</v>
      </c>
      <c r="M136" s="82" t="s">
        <v>2090</v>
      </c>
      <c r="N136" s="82" t="s">
        <v>1946</v>
      </c>
      <c r="O136" s="82" t="s">
        <v>2173</v>
      </c>
    </row>
    <row r="137" spans="1:15" ht="15.75" hidden="1" x14ac:dyDescent="0.25">
      <c r="A137" t="str">
        <f t="shared" si="2"/>
        <v>ALR_BASSO_LIVELLO_OLIO_POMPA-Allarme basso livello olio pompa</v>
      </c>
      <c r="C137" s="82" t="s">
        <v>2248</v>
      </c>
      <c r="D137" s="82" t="s">
        <v>2249</v>
      </c>
      <c r="E137" s="82" t="s">
        <v>2163</v>
      </c>
      <c r="F137" s="82" t="s">
        <v>2248</v>
      </c>
      <c r="G137" s="82" t="s">
        <v>1946</v>
      </c>
      <c r="H137" s="82" t="s">
        <v>2165</v>
      </c>
      <c r="I137" s="82" t="s">
        <v>24</v>
      </c>
      <c r="J137" s="82" t="s">
        <v>2171</v>
      </c>
      <c r="K137" s="82" t="s">
        <v>2167</v>
      </c>
      <c r="L137" s="82" t="s">
        <v>1946</v>
      </c>
      <c r="M137" s="82" t="s">
        <v>2090</v>
      </c>
      <c r="N137" s="82" t="s">
        <v>1946</v>
      </c>
      <c r="O137" s="82" t="s">
        <v>2173</v>
      </c>
    </row>
    <row r="138" spans="1:15" ht="15.75" hidden="1" x14ac:dyDescent="0.25">
      <c r="A138" t="str">
        <f t="shared" si="2"/>
        <v>ALR_BASSO_LIV_GASOLIO_SERB-Allarme livello serbatoio gasolio in esaurimento</v>
      </c>
      <c r="C138" s="82" t="s">
        <v>154</v>
      </c>
      <c r="D138" s="82" t="s">
        <v>155</v>
      </c>
      <c r="E138" s="82" t="s">
        <v>2163</v>
      </c>
      <c r="F138" s="82" t="s">
        <v>154</v>
      </c>
      <c r="G138" s="82" t="s">
        <v>1946</v>
      </c>
      <c r="H138" s="82" t="s">
        <v>2165</v>
      </c>
      <c r="I138" s="82" t="s">
        <v>157</v>
      </c>
      <c r="J138" s="82" t="s">
        <v>2181</v>
      </c>
      <c r="K138" s="82" t="s">
        <v>2167</v>
      </c>
      <c r="L138" s="82" t="s">
        <v>1946</v>
      </c>
      <c r="M138" s="82" t="s">
        <v>2090</v>
      </c>
      <c r="N138" s="82" t="s">
        <v>1946</v>
      </c>
      <c r="O138" s="82" t="s">
        <v>2173</v>
      </c>
    </row>
    <row r="139" spans="1:15" ht="15.75" hidden="1" x14ac:dyDescent="0.25">
      <c r="A139" t="str">
        <f t="shared" si="2"/>
        <v>ALR_BATTERIA_ALIMENTATORI_SCARICA-Allarme batteria alimentatori scarica</v>
      </c>
      <c r="C139" s="82" t="s">
        <v>1154</v>
      </c>
      <c r="D139" s="82" t="s">
        <v>1155</v>
      </c>
      <c r="E139" s="82" t="s">
        <v>2163</v>
      </c>
      <c r="F139" s="82" t="s">
        <v>1154</v>
      </c>
      <c r="G139" s="82" t="s">
        <v>1946</v>
      </c>
      <c r="H139" s="82" t="s">
        <v>2165</v>
      </c>
      <c r="I139" s="82" t="s">
        <v>24</v>
      </c>
      <c r="J139" s="82" t="s">
        <v>2171</v>
      </c>
      <c r="K139" s="82" t="s">
        <v>2167</v>
      </c>
      <c r="L139" s="82" t="s">
        <v>1946</v>
      </c>
      <c r="M139" s="82" t="s">
        <v>2090</v>
      </c>
      <c r="N139" s="82" t="s">
        <v>1946</v>
      </c>
      <c r="O139" s="82" t="s">
        <v>2173</v>
      </c>
    </row>
    <row r="140" spans="1:15" ht="15.75" hidden="1" x14ac:dyDescent="0.25">
      <c r="A140" t="str">
        <f t="shared" si="2"/>
        <v>ALR_BATTERIA_ALTA-Allarme batteria alta</v>
      </c>
      <c r="C140" s="82" t="s">
        <v>159</v>
      </c>
      <c r="D140" s="82" t="s">
        <v>160</v>
      </c>
      <c r="E140" s="82" t="s">
        <v>2163</v>
      </c>
      <c r="F140" s="82" t="s">
        <v>159</v>
      </c>
      <c r="G140" s="82" t="s">
        <v>1946</v>
      </c>
      <c r="H140" s="82" t="s">
        <v>2165</v>
      </c>
      <c r="I140" s="82" t="s">
        <v>24</v>
      </c>
      <c r="J140" s="82" t="s">
        <v>2171</v>
      </c>
      <c r="K140" s="82" t="s">
        <v>2167</v>
      </c>
      <c r="L140" s="82" t="s">
        <v>1946</v>
      </c>
      <c r="M140" s="82" t="s">
        <v>2090</v>
      </c>
      <c r="N140" s="82" t="s">
        <v>1946</v>
      </c>
      <c r="O140" s="82" t="s">
        <v>2173</v>
      </c>
    </row>
    <row r="141" spans="1:15" ht="15.75" hidden="1" x14ac:dyDescent="0.25">
      <c r="A141" t="str">
        <f t="shared" si="2"/>
        <v>ALR_BATTERIA_BASSA-Allarme batteria bassa</v>
      </c>
      <c r="C141" s="82" t="s">
        <v>161</v>
      </c>
      <c r="D141" s="82" t="s">
        <v>162</v>
      </c>
      <c r="E141" s="82" t="s">
        <v>2163</v>
      </c>
      <c r="F141" s="82" t="s">
        <v>161</v>
      </c>
      <c r="G141" s="82" t="s">
        <v>1946</v>
      </c>
      <c r="H141" s="82" t="s">
        <v>2165</v>
      </c>
      <c r="I141" s="82" t="s">
        <v>24</v>
      </c>
      <c r="J141" s="82" t="s">
        <v>2171</v>
      </c>
      <c r="K141" s="82" t="s">
        <v>2167</v>
      </c>
      <c r="L141" s="82" t="s">
        <v>1946</v>
      </c>
      <c r="M141" s="82" t="s">
        <v>2090</v>
      </c>
      <c r="N141" s="82" t="s">
        <v>1946</v>
      </c>
      <c r="O141" s="82" t="s">
        <v>2173</v>
      </c>
    </row>
    <row r="142" spans="1:15" ht="15.75" hidden="1" x14ac:dyDescent="0.25">
      <c r="A142" t="str">
        <f t="shared" si="2"/>
        <v>ALR_BATTERIA_CENTRALINA-Allarme batteria centralina</v>
      </c>
      <c r="C142" s="82" t="s">
        <v>163</v>
      </c>
      <c r="D142" s="82" t="s">
        <v>164</v>
      </c>
      <c r="E142" s="82" t="s">
        <v>2163</v>
      </c>
      <c r="F142" s="82" t="s">
        <v>163</v>
      </c>
      <c r="G142" s="82" t="s">
        <v>1946</v>
      </c>
      <c r="H142" s="82" t="s">
        <v>2165</v>
      </c>
      <c r="I142" s="82" t="s">
        <v>24</v>
      </c>
      <c r="J142" s="82" t="s">
        <v>2171</v>
      </c>
      <c r="K142" s="82" t="s">
        <v>2167</v>
      </c>
      <c r="L142" s="82" t="s">
        <v>1946</v>
      </c>
      <c r="M142" s="82" t="s">
        <v>2090</v>
      </c>
      <c r="N142" s="82" t="s">
        <v>1946</v>
      </c>
      <c r="O142" s="82" t="s">
        <v>2173</v>
      </c>
    </row>
    <row r="143" spans="1:15" ht="15.75" hidden="1" x14ac:dyDescent="0.25">
      <c r="A143" t="str">
        <f t="shared" si="2"/>
        <v>ALR_BATTERIA_PROCESSORE-Allarme batteria processore</v>
      </c>
      <c r="C143" s="82" t="s">
        <v>165</v>
      </c>
      <c r="D143" s="82" t="s">
        <v>166</v>
      </c>
      <c r="E143" s="82" t="s">
        <v>2163</v>
      </c>
      <c r="F143" s="82" t="s">
        <v>165</v>
      </c>
      <c r="G143" s="82" t="s">
        <v>1946</v>
      </c>
      <c r="H143" s="82" t="s">
        <v>2165</v>
      </c>
      <c r="I143" s="82" t="s">
        <v>24</v>
      </c>
      <c r="J143" s="82" t="s">
        <v>2171</v>
      </c>
      <c r="K143" s="82" t="s">
        <v>2167</v>
      </c>
      <c r="L143" s="82" t="s">
        <v>1946</v>
      </c>
      <c r="M143" s="82" t="s">
        <v>2090</v>
      </c>
      <c r="N143" s="82" t="s">
        <v>1946</v>
      </c>
      <c r="O143" s="82" t="s">
        <v>2173</v>
      </c>
    </row>
    <row r="144" spans="1:15" ht="15.75" hidden="1" x14ac:dyDescent="0.25">
      <c r="A144" t="str">
        <f t="shared" si="2"/>
        <v>ALR_BATTERIA_SCARICA-Allarme batteria scarica</v>
      </c>
      <c r="C144" s="82" t="s">
        <v>168</v>
      </c>
      <c r="D144" s="82" t="s">
        <v>169</v>
      </c>
      <c r="E144" s="82" t="s">
        <v>2163</v>
      </c>
      <c r="F144" s="82" t="s">
        <v>168</v>
      </c>
      <c r="G144" s="82" t="s">
        <v>1946</v>
      </c>
      <c r="H144" s="82" t="s">
        <v>2165</v>
      </c>
      <c r="I144" s="82" t="s">
        <v>24</v>
      </c>
      <c r="J144" s="82" t="s">
        <v>2171</v>
      </c>
      <c r="K144" s="82" t="s">
        <v>2167</v>
      </c>
      <c r="L144" s="82" t="s">
        <v>1946</v>
      </c>
      <c r="M144" s="82" t="s">
        <v>2090</v>
      </c>
      <c r="N144" s="82" t="s">
        <v>1946</v>
      </c>
      <c r="O144" s="82" t="s">
        <v>2173</v>
      </c>
    </row>
    <row r="145" spans="1:15" ht="15.75" hidden="1" x14ac:dyDescent="0.25">
      <c r="A145" t="str">
        <f t="shared" si="2"/>
        <v>ALR_BOTT_113-Allarme pulsante 113 emergenza  attivo</v>
      </c>
      <c r="C145" s="82" t="s">
        <v>2250</v>
      </c>
      <c r="D145" s="82" t="s">
        <v>2251</v>
      </c>
      <c r="E145" s="82" t="s">
        <v>2163</v>
      </c>
      <c r="F145" s="82" t="s">
        <v>2250</v>
      </c>
      <c r="G145" s="82" t="s">
        <v>1946</v>
      </c>
      <c r="H145" s="82" t="s">
        <v>2165</v>
      </c>
      <c r="I145" s="82" t="s">
        <v>24</v>
      </c>
      <c r="J145" s="82" t="s">
        <v>2166</v>
      </c>
      <c r="K145" s="82" t="s">
        <v>2167</v>
      </c>
      <c r="L145" s="82" t="s">
        <v>1946</v>
      </c>
      <c r="M145" s="82" t="s">
        <v>2252</v>
      </c>
      <c r="N145" s="82" t="s">
        <v>1946</v>
      </c>
      <c r="O145" s="82" t="s">
        <v>2173</v>
      </c>
    </row>
    <row r="146" spans="1:15" ht="15.75" hidden="1" x14ac:dyDescent="0.25">
      <c r="A146" t="str">
        <f t="shared" si="2"/>
        <v>ALR_BOTT_115-Allarme pulsante 115 incendio  attivo</v>
      </c>
      <c r="C146" s="82" t="s">
        <v>2253</v>
      </c>
      <c r="D146" s="82" t="s">
        <v>2254</v>
      </c>
      <c r="E146" s="82" t="s">
        <v>2163</v>
      </c>
      <c r="F146" s="82" t="s">
        <v>2253</v>
      </c>
      <c r="G146" s="82" t="s">
        <v>1946</v>
      </c>
      <c r="H146" s="82" t="s">
        <v>2165</v>
      </c>
      <c r="I146" s="82" t="s">
        <v>24</v>
      </c>
      <c r="J146" s="82" t="s">
        <v>2166</v>
      </c>
      <c r="K146" s="82" t="s">
        <v>2167</v>
      </c>
      <c r="L146" s="82" t="s">
        <v>1946</v>
      </c>
      <c r="M146" s="82" t="s">
        <v>2252</v>
      </c>
      <c r="N146" s="82" t="s">
        <v>1946</v>
      </c>
      <c r="O146" s="82" t="s">
        <v>2173</v>
      </c>
    </row>
    <row r="147" spans="1:15" ht="15.75" hidden="1" x14ac:dyDescent="0.25">
      <c r="A147" t="str">
        <f t="shared" si="2"/>
        <v>ALR_BOTT_118-Allarme pulsante 118 soccorso medico attivo</v>
      </c>
      <c r="C147" s="82" t="s">
        <v>2255</v>
      </c>
      <c r="D147" s="82" t="s">
        <v>2256</v>
      </c>
      <c r="E147" s="82" t="s">
        <v>2163</v>
      </c>
      <c r="F147" s="82" t="s">
        <v>2255</v>
      </c>
      <c r="G147" s="82" t="s">
        <v>1946</v>
      </c>
      <c r="H147" s="82" t="s">
        <v>2165</v>
      </c>
      <c r="I147" s="82" t="s">
        <v>24</v>
      </c>
      <c r="J147" s="82" t="s">
        <v>2166</v>
      </c>
      <c r="K147" s="82" t="s">
        <v>2167</v>
      </c>
      <c r="L147" s="82" t="s">
        <v>1946</v>
      </c>
      <c r="M147" s="82" t="s">
        <v>2252</v>
      </c>
      <c r="N147" s="82" t="s">
        <v>1946</v>
      </c>
      <c r="O147" s="82" t="s">
        <v>2173</v>
      </c>
    </row>
    <row r="148" spans="1:15" ht="15.75" hidden="1" x14ac:dyDescent="0.25">
      <c r="A148" t="str">
        <f t="shared" si="2"/>
        <v>ALR_BOTT_800116-Allarme pulsante soccorso meccanico attivo</v>
      </c>
      <c r="C148" s="82" t="s">
        <v>2257</v>
      </c>
      <c r="D148" s="82" t="s">
        <v>2258</v>
      </c>
      <c r="E148" s="82" t="s">
        <v>2163</v>
      </c>
      <c r="F148" s="82" t="s">
        <v>2257</v>
      </c>
      <c r="G148" s="82" t="s">
        <v>1946</v>
      </c>
      <c r="H148" s="82" t="s">
        <v>2165</v>
      </c>
      <c r="I148" s="82" t="s">
        <v>24</v>
      </c>
      <c r="J148" s="82" t="s">
        <v>2259</v>
      </c>
      <c r="K148" s="82" t="s">
        <v>2167</v>
      </c>
      <c r="L148" s="82" t="s">
        <v>1946</v>
      </c>
      <c r="M148" s="82" t="s">
        <v>2252</v>
      </c>
      <c r="N148" s="82" t="s">
        <v>1946</v>
      </c>
      <c r="O148" s="82" t="s">
        <v>2173</v>
      </c>
    </row>
    <row r="149" spans="1:15" ht="15.75" hidden="1" x14ac:dyDescent="0.25">
      <c r="A149" t="str">
        <f t="shared" si="2"/>
        <v>ALR_BOTT_803116-Allarme pulsante soccorso meccanico attivo</v>
      </c>
      <c r="C149" s="82" t="s">
        <v>2260</v>
      </c>
      <c r="D149" s="82" t="s">
        <v>2258</v>
      </c>
      <c r="E149" s="82" t="s">
        <v>2163</v>
      </c>
      <c r="F149" s="82" t="s">
        <v>2260</v>
      </c>
      <c r="G149" s="82" t="s">
        <v>1946</v>
      </c>
      <c r="H149" s="82" t="s">
        <v>2165</v>
      </c>
      <c r="I149" s="82" t="s">
        <v>24</v>
      </c>
      <c r="J149" s="82" t="s">
        <v>2166</v>
      </c>
      <c r="K149" s="82" t="s">
        <v>2167</v>
      </c>
      <c r="L149" s="82" t="s">
        <v>1946</v>
      </c>
      <c r="M149" s="82" t="s">
        <v>2252</v>
      </c>
      <c r="N149" s="82" t="s">
        <v>1946</v>
      </c>
      <c r="O149" s="82" t="s">
        <v>2173</v>
      </c>
    </row>
    <row r="150" spans="1:15" ht="15.75" hidden="1" x14ac:dyDescent="0.25">
      <c r="A150" t="str">
        <f t="shared" si="2"/>
        <v>ALR_BYPASS_NORD_1-Allarme bypass 1 dir. nord</v>
      </c>
      <c r="C150" s="82" t="s">
        <v>1158</v>
      </c>
      <c r="D150" s="82" t="s">
        <v>1159</v>
      </c>
      <c r="E150" s="82" t="s">
        <v>2163</v>
      </c>
      <c r="F150" s="82" t="s">
        <v>1158</v>
      </c>
      <c r="G150" s="82" t="s">
        <v>1946</v>
      </c>
      <c r="H150" s="82" t="s">
        <v>2165</v>
      </c>
      <c r="I150" s="82" t="s">
        <v>24</v>
      </c>
      <c r="J150" s="82" t="s">
        <v>2171</v>
      </c>
      <c r="K150" s="82" t="s">
        <v>2167</v>
      </c>
      <c r="L150" s="82" t="s">
        <v>1946</v>
      </c>
      <c r="M150" s="82" t="s">
        <v>2090</v>
      </c>
      <c r="N150" s="82" t="s">
        <v>1946</v>
      </c>
      <c r="O150" s="82" t="s">
        <v>2173</v>
      </c>
    </row>
    <row r="151" spans="1:15" ht="15.75" hidden="1" x14ac:dyDescent="0.25">
      <c r="A151" t="str">
        <f t="shared" si="2"/>
        <v>ALR_BYPASS_NORD_2-Allarme bypass 2 dir. nord</v>
      </c>
      <c r="C151" s="82" t="s">
        <v>1161</v>
      </c>
      <c r="D151" s="82" t="s">
        <v>1162</v>
      </c>
      <c r="E151" s="82" t="s">
        <v>2163</v>
      </c>
      <c r="F151" s="82" t="s">
        <v>1161</v>
      </c>
      <c r="G151" s="82" t="s">
        <v>1946</v>
      </c>
      <c r="H151" s="82" t="s">
        <v>2165</v>
      </c>
      <c r="I151" s="82" t="s">
        <v>24</v>
      </c>
      <c r="J151" s="82" t="s">
        <v>2171</v>
      </c>
      <c r="K151" s="82" t="s">
        <v>2167</v>
      </c>
      <c r="L151" s="82" t="s">
        <v>1946</v>
      </c>
      <c r="M151" s="82" t="s">
        <v>2090</v>
      </c>
      <c r="N151" s="82" t="s">
        <v>1946</v>
      </c>
      <c r="O151" s="82" t="s">
        <v>2173</v>
      </c>
    </row>
    <row r="152" spans="1:15" ht="15.75" hidden="1" x14ac:dyDescent="0.25">
      <c r="A152" t="str">
        <f t="shared" si="2"/>
        <v>ALR_BYPASS_NORD_3-Allarme bypass 3 dir. nord</v>
      </c>
      <c r="C152" s="82" t="s">
        <v>1163</v>
      </c>
      <c r="D152" s="82" t="s">
        <v>1164</v>
      </c>
      <c r="E152" s="82" t="s">
        <v>2163</v>
      </c>
      <c r="F152" s="82" t="s">
        <v>1163</v>
      </c>
      <c r="G152" s="82" t="s">
        <v>1946</v>
      </c>
      <c r="H152" s="82" t="s">
        <v>2165</v>
      </c>
      <c r="I152" s="82" t="s">
        <v>24</v>
      </c>
      <c r="J152" s="82" t="s">
        <v>2171</v>
      </c>
      <c r="K152" s="82" t="s">
        <v>2167</v>
      </c>
      <c r="L152" s="82" t="s">
        <v>1946</v>
      </c>
      <c r="M152" s="82" t="s">
        <v>2090</v>
      </c>
      <c r="N152" s="82" t="s">
        <v>1946</v>
      </c>
      <c r="O152" s="82" t="s">
        <v>2173</v>
      </c>
    </row>
    <row r="153" spans="1:15" ht="15.75" hidden="1" x14ac:dyDescent="0.25">
      <c r="A153" t="str">
        <f t="shared" si="2"/>
        <v>ALR_BYPASS_REGOLATORE-ALR_BYPASS_REGOLATORE</v>
      </c>
      <c r="C153" s="82" t="s">
        <v>2261</v>
      </c>
      <c r="D153" s="82" t="s">
        <v>2261</v>
      </c>
      <c r="E153" s="82" t="s">
        <v>2163</v>
      </c>
      <c r="F153" s="82" t="s">
        <v>2261</v>
      </c>
      <c r="G153" s="82" t="s">
        <v>1946</v>
      </c>
      <c r="H153" s="82" t="s">
        <v>2165</v>
      </c>
      <c r="I153" s="82" t="s">
        <v>24</v>
      </c>
      <c r="J153" s="82" t="s">
        <v>2171</v>
      </c>
      <c r="K153" s="82" t="s">
        <v>2167</v>
      </c>
      <c r="L153" s="82" t="s">
        <v>1946</v>
      </c>
      <c r="M153" s="82" t="s">
        <v>2090</v>
      </c>
      <c r="N153" s="82" t="s">
        <v>1946</v>
      </c>
      <c r="O153" s="82" t="s">
        <v>2173</v>
      </c>
    </row>
    <row r="154" spans="1:15" ht="15.75" hidden="1" x14ac:dyDescent="0.25">
      <c r="A154" t="str">
        <f t="shared" si="2"/>
        <v>ALR_BYPASS_SUD_1-Allarme bypass 1 dir. sud</v>
      </c>
      <c r="C154" s="82" t="s">
        <v>1165</v>
      </c>
      <c r="D154" s="82" t="s">
        <v>1166</v>
      </c>
      <c r="E154" s="82" t="s">
        <v>2163</v>
      </c>
      <c r="F154" s="82" t="s">
        <v>1165</v>
      </c>
      <c r="G154" s="82" t="s">
        <v>1946</v>
      </c>
      <c r="H154" s="82" t="s">
        <v>2165</v>
      </c>
      <c r="I154" s="82" t="s">
        <v>24</v>
      </c>
      <c r="J154" s="82" t="s">
        <v>2171</v>
      </c>
      <c r="K154" s="82" t="s">
        <v>2167</v>
      </c>
      <c r="L154" s="82" t="s">
        <v>1946</v>
      </c>
      <c r="M154" s="82" t="s">
        <v>2090</v>
      </c>
      <c r="N154" s="82" t="s">
        <v>1946</v>
      </c>
      <c r="O154" s="82" t="s">
        <v>2173</v>
      </c>
    </row>
    <row r="155" spans="1:15" ht="15.75" hidden="1" x14ac:dyDescent="0.25">
      <c r="A155" t="str">
        <f t="shared" si="2"/>
        <v>ALR_BYPASS_SUD_2-Allarme bypass 2 dir. sud</v>
      </c>
      <c r="C155" s="82" t="s">
        <v>1167</v>
      </c>
      <c r="D155" s="82" t="s">
        <v>1168</v>
      </c>
      <c r="E155" s="82" t="s">
        <v>2163</v>
      </c>
      <c r="F155" s="82" t="s">
        <v>1167</v>
      </c>
      <c r="G155" s="82" t="s">
        <v>1946</v>
      </c>
      <c r="H155" s="82" t="s">
        <v>2165</v>
      </c>
      <c r="I155" s="82" t="s">
        <v>24</v>
      </c>
      <c r="J155" s="82" t="s">
        <v>2171</v>
      </c>
      <c r="K155" s="82" t="s">
        <v>2167</v>
      </c>
      <c r="L155" s="82" t="s">
        <v>1946</v>
      </c>
      <c r="M155" s="82" t="s">
        <v>2090</v>
      </c>
      <c r="N155" s="82" t="s">
        <v>1946</v>
      </c>
      <c r="O155" s="82" t="s">
        <v>2173</v>
      </c>
    </row>
    <row r="156" spans="1:15" ht="15.75" hidden="1" x14ac:dyDescent="0.25">
      <c r="A156" t="str">
        <f t="shared" si="2"/>
        <v>ALR_BYPASS_SUD_3-Allarme bypass 3 dir. sud</v>
      </c>
      <c r="C156" s="82" t="s">
        <v>1169</v>
      </c>
      <c r="D156" s="82" t="s">
        <v>1170</v>
      </c>
      <c r="E156" s="82" t="s">
        <v>2163</v>
      </c>
      <c r="F156" s="82" t="s">
        <v>1169</v>
      </c>
      <c r="G156" s="82" t="s">
        <v>1946</v>
      </c>
      <c r="H156" s="82" t="s">
        <v>2165</v>
      </c>
      <c r="I156" s="82" t="s">
        <v>24</v>
      </c>
      <c r="J156" s="82" t="s">
        <v>2171</v>
      </c>
      <c r="K156" s="82" t="s">
        <v>2167</v>
      </c>
      <c r="L156" s="82" t="s">
        <v>1946</v>
      </c>
      <c r="M156" s="82" t="s">
        <v>2090</v>
      </c>
      <c r="N156" s="82" t="s">
        <v>1946</v>
      </c>
      <c r="O156" s="82" t="s">
        <v>2173</v>
      </c>
    </row>
    <row r="157" spans="1:15" ht="15.75" hidden="1" x14ac:dyDescent="0.25">
      <c r="A157" t="str">
        <f t="shared" si="2"/>
        <v>ALR_CANALE-Allarme canale</v>
      </c>
      <c r="C157" s="82" t="s">
        <v>1171</v>
      </c>
      <c r="D157" s="82" t="s">
        <v>1172</v>
      </c>
      <c r="E157" s="82" t="s">
        <v>2163</v>
      </c>
      <c r="F157" s="82" t="s">
        <v>1171</v>
      </c>
      <c r="G157" s="82" t="s">
        <v>1946</v>
      </c>
      <c r="H157" s="82" t="s">
        <v>2165</v>
      </c>
      <c r="I157" s="82" t="s">
        <v>24</v>
      </c>
      <c r="J157" s="82" t="s">
        <v>2171</v>
      </c>
      <c r="K157" s="82" t="s">
        <v>2167</v>
      </c>
      <c r="L157" s="82" t="s">
        <v>1946</v>
      </c>
      <c r="M157" s="82" t="s">
        <v>2090</v>
      </c>
      <c r="N157" s="82" t="s">
        <v>1946</v>
      </c>
      <c r="O157" s="82" t="s">
        <v>2173</v>
      </c>
    </row>
    <row r="158" spans="1:15" ht="15.75" hidden="1" x14ac:dyDescent="0.25">
      <c r="A158" t="str">
        <f t="shared" si="2"/>
        <v>ALR_CANALE_1-Allarme canale 1</v>
      </c>
      <c r="C158" s="82" t="s">
        <v>1176</v>
      </c>
      <c r="D158" s="82" t="s">
        <v>1177</v>
      </c>
      <c r="E158" s="82" t="s">
        <v>2163</v>
      </c>
      <c r="F158" s="82" t="s">
        <v>1176</v>
      </c>
      <c r="G158" s="82" t="s">
        <v>1946</v>
      </c>
      <c r="H158" s="82" t="s">
        <v>2165</v>
      </c>
      <c r="I158" s="82" t="s">
        <v>24</v>
      </c>
      <c r="J158" s="82" t="s">
        <v>2171</v>
      </c>
      <c r="K158" s="82" t="s">
        <v>2167</v>
      </c>
      <c r="L158" s="82" t="s">
        <v>1946</v>
      </c>
      <c r="M158" s="82" t="s">
        <v>2090</v>
      </c>
      <c r="N158" s="82" t="s">
        <v>1946</v>
      </c>
      <c r="O158" s="82" t="s">
        <v>2173</v>
      </c>
    </row>
    <row r="159" spans="1:15" ht="15.75" hidden="1" x14ac:dyDescent="0.25">
      <c r="A159" t="str">
        <f t="shared" si="2"/>
        <v>ALR_CANALE_2-Allarme canale 2</v>
      </c>
      <c r="C159" s="82" t="s">
        <v>1178</v>
      </c>
      <c r="D159" s="82" t="s">
        <v>1179</v>
      </c>
      <c r="E159" s="82" t="s">
        <v>2163</v>
      </c>
      <c r="F159" s="82" t="s">
        <v>1178</v>
      </c>
      <c r="G159" s="82" t="s">
        <v>1946</v>
      </c>
      <c r="H159" s="82" t="s">
        <v>2165</v>
      </c>
      <c r="I159" s="82" t="s">
        <v>24</v>
      </c>
      <c r="J159" s="82" t="s">
        <v>2171</v>
      </c>
      <c r="K159" s="82" t="s">
        <v>2167</v>
      </c>
      <c r="L159" s="82" t="s">
        <v>1946</v>
      </c>
      <c r="M159" s="82" t="s">
        <v>2090</v>
      </c>
      <c r="N159" s="82" t="s">
        <v>1946</v>
      </c>
      <c r="O159" s="82" t="s">
        <v>2173</v>
      </c>
    </row>
    <row r="160" spans="1:15" ht="15.75" hidden="1" x14ac:dyDescent="0.25">
      <c r="A160" t="str">
        <f t="shared" si="2"/>
        <v>ALR_CANALE_3-Allarme canale 3</v>
      </c>
      <c r="C160" s="82" t="s">
        <v>1180</v>
      </c>
      <c r="D160" s="82" t="s">
        <v>1181</v>
      </c>
      <c r="E160" s="82" t="s">
        <v>2163</v>
      </c>
      <c r="F160" s="82" t="s">
        <v>1180</v>
      </c>
      <c r="G160" s="82" t="s">
        <v>1946</v>
      </c>
      <c r="H160" s="82" t="s">
        <v>2165</v>
      </c>
      <c r="I160" s="82" t="s">
        <v>24</v>
      </c>
      <c r="J160" s="82" t="s">
        <v>2171</v>
      </c>
      <c r="K160" s="82" t="s">
        <v>2167</v>
      </c>
      <c r="L160" s="82" t="s">
        <v>1946</v>
      </c>
      <c r="M160" s="82" t="s">
        <v>2090</v>
      </c>
      <c r="N160" s="82" t="s">
        <v>1946</v>
      </c>
      <c r="O160" s="82" t="s">
        <v>2173</v>
      </c>
    </row>
    <row r="161" spans="1:15" ht="15.75" hidden="1" x14ac:dyDescent="0.25">
      <c r="A161" t="str">
        <f t="shared" si="2"/>
        <v>ALR_CANALE_4-Allarme canale 4</v>
      </c>
      <c r="C161" s="82" t="s">
        <v>1182</v>
      </c>
      <c r="D161" s="82" t="s">
        <v>1183</v>
      </c>
      <c r="E161" s="82" t="s">
        <v>2163</v>
      </c>
      <c r="F161" s="82" t="s">
        <v>1182</v>
      </c>
      <c r="G161" s="82" t="s">
        <v>1946</v>
      </c>
      <c r="H161" s="82" t="s">
        <v>2165</v>
      </c>
      <c r="I161" s="82" t="s">
        <v>24</v>
      </c>
      <c r="J161" s="82" t="s">
        <v>2171</v>
      </c>
      <c r="K161" s="82" t="s">
        <v>2167</v>
      </c>
      <c r="L161" s="82" t="s">
        <v>1946</v>
      </c>
      <c r="M161" s="82" t="s">
        <v>2090</v>
      </c>
      <c r="N161" s="82" t="s">
        <v>1946</v>
      </c>
      <c r="O161" s="82" t="s">
        <v>2173</v>
      </c>
    </row>
    <row r="162" spans="1:15" ht="15.75" hidden="1" x14ac:dyDescent="0.25">
      <c r="A162" t="str">
        <f t="shared" si="2"/>
        <v>ALR_CANALE_5-Allarme canale 5</v>
      </c>
      <c r="C162" s="82" t="s">
        <v>1184</v>
      </c>
      <c r="D162" s="82" t="s">
        <v>1185</v>
      </c>
      <c r="E162" s="82" t="s">
        <v>2163</v>
      </c>
      <c r="F162" s="82" t="s">
        <v>1184</v>
      </c>
      <c r="G162" s="82" t="s">
        <v>1946</v>
      </c>
      <c r="H162" s="82" t="s">
        <v>2165</v>
      </c>
      <c r="I162" s="82" t="s">
        <v>24</v>
      </c>
      <c r="J162" s="82" t="s">
        <v>2171</v>
      </c>
      <c r="K162" s="82" t="s">
        <v>2167</v>
      </c>
      <c r="L162" s="82" t="s">
        <v>1946</v>
      </c>
      <c r="M162" s="82" t="s">
        <v>2090</v>
      </c>
      <c r="N162" s="82" t="s">
        <v>1946</v>
      </c>
      <c r="O162" s="82" t="s">
        <v>2173</v>
      </c>
    </row>
    <row r="163" spans="1:15" ht="15.75" hidden="1" x14ac:dyDescent="0.25">
      <c r="A163" t="str">
        <f t="shared" si="2"/>
        <v>ALR_CARBURANTE_ESAURITO-Allarme carburante esaurito</v>
      </c>
      <c r="C163" s="82" t="s">
        <v>170</v>
      </c>
      <c r="D163" s="82" t="s">
        <v>171</v>
      </c>
      <c r="E163" s="82" t="s">
        <v>2163</v>
      </c>
      <c r="F163" s="82" t="s">
        <v>170</v>
      </c>
      <c r="G163" s="82" t="s">
        <v>1946</v>
      </c>
      <c r="H163" s="82" t="s">
        <v>2165</v>
      </c>
      <c r="I163" s="82" t="s">
        <v>157</v>
      </c>
      <c r="J163" s="82" t="s">
        <v>2181</v>
      </c>
      <c r="K163" s="82" t="s">
        <v>2167</v>
      </c>
      <c r="L163" s="82" t="s">
        <v>1946</v>
      </c>
      <c r="M163" s="82" t="s">
        <v>2090</v>
      </c>
      <c r="N163" s="82" t="s">
        <v>1946</v>
      </c>
      <c r="O163" s="82" t="s">
        <v>2173</v>
      </c>
    </row>
    <row r="164" spans="1:15" ht="15.75" hidden="1" x14ac:dyDescent="0.25">
      <c r="A164" t="str">
        <f t="shared" si="2"/>
        <v>ALR_CASSETTO_ESTRATTO-Allarme cassetto comandi ventilatore estratto</v>
      </c>
      <c r="C164" s="82" t="s">
        <v>173</v>
      </c>
      <c r="D164" s="82" t="s">
        <v>174</v>
      </c>
      <c r="E164" s="82" t="s">
        <v>2163</v>
      </c>
      <c r="F164" s="82" t="s">
        <v>173</v>
      </c>
      <c r="G164" s="82" t="s">
        <v>1946</v>
      </c>
      <c r="H164" s="82" t="s">
        <v>2165</v>
      </c>
      <c r="I164" s="82" t="s">
        <v>24</v>
      </c>
      <c r="J164" s="82" t="s">
        <v>2171</v>
      </c>
      <c r="K164" s="82" t="s">
        <v>2167</v>
      </c>
      <c r="L164" s="82" t="s">
        <v>1946</v>
      </c>
      <c r="M164" s="82" t="s">
        <v>2090</v>
      </c>
      <c r="N164" s="82" t="s">
        <v>1946</v>
      </c>
      <c r="O164" s="82" t="s">
        <v>2173</v>
      </c>
    </row>
    <row r="165" spans="1:15" ht="15.75" hidden="1" x14ac:dyDescent="0.25">
      <c r="A165" t="str">
        <f t="shared" si="2"/>
        <v>ALR_CAVO_ROTTO-Allarme Cavo Rotto</v>
      </c>
      <c r="C165" s="82" t="s">
        <v>1187</v>
      </c>
      <c r="D165" s="82" t="s">
        <v>1188</v>
      </c>
      <c r="E165" s="82" t="s">
        <v>2163</v>
      </c>
      <c r="F165" s="82" t="s">
        <v>1187</v>
      </c>
      <c r="G165" s="82" t="s">
        <v>1946</v>
      </c>
      <c r="H165" s="82" t="s">
        <v>2165</v>
      </c>
      <c r="I165" s="82" t="s">
        <v>24</v>
      </c>
      <c r="J165" s="82" t="s">
        <v>2171</v>
      </c>
      <c r="K165" s="82" t="s">
        <v>2167</v>
      </c>
      <c r="L165" s="82" t="s">
        <v>1946</v>
      </c>
      <c r="M165" s="82" t="s">
        <v>2090</v>
      </c>
      <c r="N165" s="82" t="s">
        <v>1946</v>
      </c>
      <c r="O165" s="82" t="s">
        <v>2173</v>
      </c>
    </row>
    <row r="166" spans="1:15" ht="15.75" hidden="1" x14ac:dyDescent="0.25">
      <c r="A166" t="str">
        <f t="shared" si="2"/>
        <v>ALR_CAVO_SCOLLEGATO-Allarme cavo scollegato</v>
      </c>
      <c r="C166" s="82" t="s">
        <v>1190</v>
      </c>
      <c r="D166" s="82" t="s">
        <v>1191</v>
      </c>
      <c r="E166" s="82" t="s">
        <v>2163</v>
      </c>
      <c r="F166" s="82" t="s">
        <v>1190</v>
      </c>
      <c r="G166" s="82" t="s">
        <v>1946</v>
      </c>
      <c r="H166" s="82" t="s">
        <v>2165</v>
      </c>
      <c r="I166" s="82" t="s">
        <v>24</v>
      </c>
      <c r="J166" s="82" t="s">
        <v>2171</v>
      </c>
      <c r="K166" s="82" t="s">
        <v>2167</v>
      </c>
      <c r="L166" s="82" t="s">
        <v>1946</v>
      </c>
      <c r="M166" s="82" t="s">
        <v>2090</v>
      </c>
      <c r="N166" s="82" t="s">
        <v>1946</v>
      </c>
      <c r="O166" s="82" t="s">
        <v>2173</v>
      </c>
    </row>
    <row r="167" spans="1:15" ht="15.75" hidden="1" x14ac:dyDescent="0.25">
      <c r="A167" t="str">
        <f t="shared" si="2"/>
        <v>ALR_CAVO_TERMOSENSIBILE_NORD-Allarme guasto cavo termosensibile Nord</v>
      </c>
      <c r="C167" s="82" t="s">
        <v>2093</v>
      </c>
      <c r="D167" s="82" t="s">
        <v>2094</v>
      </c>
      <c r="E167" s="82" t="s">
        <v>2163</v>
      </c>
      <c r="F167" s="82" t="s">
        <v>2093</v>
      </c>
      <c r="G167" s="82" t="s">
        <v>1946</v>
      </c>
      <c r="H167" s="82" t="s">
        <v>2165</v>
      </c>
      <c r="I167" s="82" t="s">
        <v>33</v>
      </c>
      <c r="J167" s="82" t="s">
        <v>2171</v>
      </c>
      <c r="K167" s="82" t="s">
        <v>2173</v>
      </c>
      <c r="L167" s="82" t="s">
        <v>1946</v>
      </c>
      <c r="M167" s="82" t="s">
        <v>2090</v>
      </c>
      <c r="N167" s="82" t="s">
        <v>1946</v>
      </c>
      <c r="O167" s="82" t="s">
        <v>2173</v>
      </c>
    </row>
    <row r="168" spans="1:15" ht="15.75" hidden="1" x14ac:dyDescent="0.25">
      <c r="A168" t="str">
        <f t="shared" si="2"/>
        <v>ALR_CAVO_TERMOSENSIBILE_SUD-Allarme guasto cavo termosensibile Sud</v>
      </c>
      <c r="C168" s="82" t="s">
        <v>2097</v>
      </c>
      <c r="D168" s="82" t="s">
        <v>2098</v>
      </c>
      <c r="E168" s="82" t="s">
        <v>2163</v>
      </c>
      <c r="F168" s="82" t="s">
        <v>2097</v>
      </c>
      <c r="G168" s="82" t="s">
        <v>1946</v>
      </c>
      <c r="H168" s="82" t="s">
        <v>2165</v>
      </c>
      <c r="I168" s="82" t="s">
        <v>33</v>
      </c>
      <c r="J168" s="82" t="s">
        <v>2171</v>
      </c>
      <c r="K168" s="82" t="s">
        <v>2173</v>
      </c>
      <c r="L168" s="82" t="s">
        <v>1946</v>
      </c>
      <c r="M168" s="82" t="s">
        <v>2090</v>
      </c>
      <c r="N168" s="82" t="s">
        <v>1946</v>
      </c>
      <c r="O168" s="82" t="s">
        <v>2173</v>
      </c>
    </row>
    <row r="169" spans="1:15" ht="15.75" hidden="1" x14ac:dyDescent="0.25">
      <c r="A169" t="str">
        <f t="shared" si="2"/>
        <v>ALR_CB1_APERTURA_FALLITA-Allarme CB1 apertura fallita</v>
      </c>
      <c r="C169" s="82" t="s">
        <v>175</v>
      </c>
      <c r="D169" s="82" t="s">
        <v>176</v>
      </c>
      <c r="E169" s="82" t="s">
        <v>2163</v>
      </c>
      <c r="F169" s="82" t="s">
        <v>175</v>
      </c>
      <c r="G169" s="82" t="s">
        <v>1946</v>
      </c>
      <c r="H169" s="82" t="s">
        <v>2165</v>
      </c>
      <c r="I169" s="82" t="s">
        <v>24</v>
      </c>
      <c r="J169" s="82" t="s">
        <v>2171</v>
      </c>
      <c r="K169" s="82" t="s">
        <v>2167</v>
      </c>
      <c r="L169" s="82" t="s">
        <v>1946</v>
      </c>
      <c r="M169" s="82" t="s">
        <v>2090</v>
      </c>
      <c r="N169" s="82" t="s">
        <v>1946</v>
      </c>
      <c r="O169" s="82" t="s">
        <v>2173</v>
      </c>
    </row>
    <row r="170" spans="1:15" ht="15.75" hidden="1" x14ac:dyDescent="0.25">
      <c r="A170" t="str">
        <f t="shared" si="2"/>
        <v>ALR_CB1_CHIUSURA_FALLITA-Allarme CB1 chiusura fallita</v>
      </c>
      <c r="C170" s="82" t="s">
        <v>178</v>
      </c>
      <c r="D170" s="82" t="s">
        <v>179</v>
      </c>
      <c r="E170" s="82" t="s">
        <v>2163</v>
      </c>
      <c r="F170" s="82" t="s">
        <v>178</v>
      </c>
      <c r="G170" s="82" t="s">
        <v>1946</v>
      </c>
      <c r="H170" s="82" t="s">
        <v>2165</v>
      </c>
      <c r="I170" s="82" t="s">
        <v>24</v>
      </c>
      <c r="J170" s="82" t="s">
        <v>2171</v>
      </c>
      <c r="K170" s="82" t="s">
        <v>2167</v>
      </c>
      <c r="L170" s="82" t="s">
        <v>1946</v>
      </c>
      <c r="M170" s="82" t="s">
        <v>2090</v>
      </c>
      <c r="N170" s="82" t="s">
        <v>1946</v>
      </c>
      <c r="O170" s="82" t="s">
        <v>2173</v>
      </c>
    </row>
    <row r="171" spans="1:15" ht="15.75" hidden="1" x14ac:dyDescent="0.25">
      <c r="A171" t="str">
        <f t="shared" si="2"/>
        <v>ALR_CB1_ESTRATTO-Allarme CB1 estratto</v>
      </c>
      <c r="C171" s="82" t="s">
        <v>180</v>
      </c>
      <c r="D171" s="82" t="s">
        <v>181</v>
      </c>
      <c r="E171" s="82" t="s">
        <v>2163</v>
      </c>
      <c r="F171" s="82" t="s">
        <v>180</v>
      </c>
      <c r="G171" s="82" t="s">
        <v>1946</v>
      </c>
      <c r="H171" s="82" t="s">
        <v>2165</v>
      </c>
      <c r="I171" s="82" t="s">
        <v>24</v>
      </c>
      <c r="J171" s="82" t="s">
        <v>2171</v>
      </c>
      <c r="K171" s="82" t="s">
        <v>2167</v>
      </c>
      <c r="L171" s="82" t="s">
        <v>1946</v>
      </c>
      <c r="M171" s="82" t="s">
        <v>2090</v>
      </c>
      <c r="N171" s="82" t="s">
        <v>1946</v>
      </c>
      <c r="O171" s="82" t="s">
        <v>2173</v>
      </c>
    </row>
    <row r="172" spans="1:15" ht="15.75" hidden="1" x14ac:dyDescent="0.25">
      <c r="A172" t="str">
        <f t="shared" si="2"/>
        <v>ALR_CB1_INTERVENUTO-Allarme CB1 interventuo</v>
      </c>
      <c r="C172" s="82" t="s">
        <v>182</v>
      </c>
      <c r="D172" s="82" t="s">
        <v>183</v>
      </c>
      <c r="E172" s="82" t="s">
        <v>2163</v>
      </c>
      <c r="F172" s="82" t="s">
        <v>182</v>
      </c>
      <c r="G172" s="82" t="s">
        <v>1946</v>
      </c>
      <c r="H172" s="82" t="s">
        <v>2165</v>
      </c>
      <c r="I172" s="82" t="s">
        <v>24</v>
      </c>
      <c r="J172" s="82" t="s">
        <v>2171</v>
      </c>
      <c r="K172" s="82" t="s">
        <v>2167</v>
      </c>
      <c r="L172" s="82" t="s">
        <v>1946</v>
      </c>
      <c r="M172" s="82" t="s">
        <v>2090</v>
      </c>
      <c r="N172" s="82" t="s">
        <v>1946</v>
      </c>
      <c r="O172" s="82" t="s">
        <v>2173</v>
      </c>
    </row>
    <row r="173" spans="1:15" ht="15.75" hidden="1" x14ac:dyDescent="0.25">
      <c r="A173" t="str">
        <f t="shared" si="2"/>
        <v>ALR_CB2_APERTURA_FALLITA-Allarme CB2 apertura fallita</v>
      </c>
      <c r="C173" s="82" t="s">
        <v>184</v>
      </c>
      <c r="D173" s="82" t="s">
        <v>185</v>
      </c>
      <c r="E173" s="82" t="s">
        <v>2163</v>
      </c>
      <c r="F173" s="82" t="s">
        <v>184</v>
      </c>
      <c r="G173" s="82" t="s">
        <v>1946</v>
      </c>
      <c r="H173" s="82" t="s">
        <v>2165</v>
      </c>
      <c r="I173" s="82" t="s">
        <v>24</v>
      </c>
      <c r="J173" s="82" t="s">
        <v>2171</v>
      </c>
      <c r="K173" s="82" t="s">
        <v>2167</v>
      </c>
      <c r="L173" s="82" t="s">
        <v>1946</v>
      </c>
      <c r="M173" s="82" t="s">
        <v>2090</v>
      </c>
      <c r="N173" s="82" t="s">
        <v>1946</v>
      </c>
      <c r="O173" s="82" t="s">
        <v>2173</v>
      </c>
    </row>
    <row r="174" spans="1:15" ht="15.75" hidden="1" x14ac:dyDescent="0.25">
      <c r="A174" t="str">
        <f t="shared" si="2"/>
        <v>ALR_CB2_CHIUSURA_FALLITA-Allarme CB2 chiusura fallita</v>
      </c>
      <c r="C174" s="82" t="s">
        <v>186</v>
      </c>
      <c r="D174" s="82" t="s">
        <v>187</v>
      </c>
      <c r="E174" s="82" t="s">
        <v>2163</v>
      </c>
      <c r="F174" s="82" t="s">
        <v>186</v>
      </c>
      <c r="G174" s="82" t="s">
        <v>1946</v>
      </c>
      <c r="H174" s="82" t="s">
        <v>2165</v>
      </c>
      <c r="I174" s="82" t="s">
        <v>24</v>
      </c>
      <c r="J174" s="82" t="s">
        <v>2171</v>
      </c>
      <c r="K174" s="82" t="s">
        <v>2167</v>
      </c>
      <c r="L174" s="82" t="s">
        <v>1946</v>
      </c>
      <c r="M174" s="82" t="s">
        <v>2090</v>
      </c>
      <c r="N174" s="82" t="s">
        <v>1946</v>
      </c>
      <c r="O174" s="82" t="s">
        <v>2173</v>
      </c>
    </row>
    <row r="175" spans="1:15" ht="15.75" hidden="1" x14ac:dyDescent="0.25">
      <c r="A175" t="str">
        <f t="shared" si="2"/>
        <v>ALR_CB2_ESTRATTO-Allarme CB2 estratto</v>
      </c>
      <c r="C175" s="82" t="s">
        <v>188</v>
      </c>
      <c r="D175" s="82" t="s">
        <v>189</v>
      </c>
      <c r="E175" s="82" t="s">
        <v>2163</v>
      </c>
      <c r="F175" s="82" t="s">
        <v>188</v>
      </c>
      <c r="G175" s="82" t="s">
        <v>1946</v>
      </c>
      <c r="H175" s="82" t="s">
        <v>2165</v>
      </c>
      <c r="I175" s="82" t="s">
        <v>24</v>
      </c>
      <c r="J175" s="82" t="s">
        <v>2171</v>
      </c>
      <c r="K175" s="82" t="s">
        <v>2167</v>
      </c>
      <c r="L175" s="82" t="s">
        <v>1946</v>
      </c>
      <c r="M175" s="82" t="s">
        <v>2090</v>
      </c>
      <c r="N175" s="82" t="s">
        <v>1946</v>
      </c>
      <c r="O175" s="82" t="s">
        <v>2173</v>
      </c>
    </row>
    <row r="176" spans="1:15" ht="15.75" hidden="1" x14ac:dyDescent="0.25">
      <c r="A176" t="str">
        <f t="shared" si="2"/>
        <v>ALR_CB2_INTERVENUTO-Allarme CB2 intervenuto</v>
      </c>
      <c r="C176" s="82" t="s">
        <v>190</v>
      </c>
      <c r="D176" s="82" t="s">
        <v>191</v>
      </c>
      <c r="E176" s="82" t="s">
        <v>2163</v>
      </c>
      <c r="F176" s="82" t="s">
        <v>190</v>
      </c>
      <c r="G176" s="82" t="s">
        <v>1946</v>
      </c>
      <c r="H176" s="82" t="s">
        <v>2165</v>
      </c>
      <c r="I176" s="82" t="s">
        <v>24</v>
      </c>
      <c r="J176" s="82" t="s">
        <v>2171</v>
      </c>
      <c r="K176" s="82" t="s">
        <v>2167</v>
      </c>
      <c r="L176" s="82" t="s">
        <v>1946</v>
      </c>
      <c r="M176" s="82" t="s">
        <v>2090</v>
      </c>
      <c r="N176" s="82" t="s">
        <v>1946</v>
      </c>
      <c r="O176" s="82" t="s">
        <v>2173</v>
      </c>
    </row>
    <row r="177" spans="1:15" ht="15.75" hidden="1" x14ac:dyDescent="0.25">
      <c r="A177" t="str">
        <f t="shared" si="2"/>
        <v>ALR_CB3_APERTURA_FALLITA-Allarme CB3 apertura fallita</v>
      </c>
      <c r="C177" s="82" t="s">
        <v>192</v>
      </c>
      <c r="D177" s="82" t="s">
        <v>193</v>
      </c>
      <c r="E177" s="82" t="s">
        <v>2163</v>
      </c>
      <c r="F177" s="82" t="s">
        <v>192</v>
      </c>
      <c r="G177" s="82" t="s">
        <v>1946</v>
      </c>
      <c r="H177" s="82" t="s">
        <v>2165</v>
      </c>
      <c r="I177" s="82" t="s">
        <v>24</v>
      </c>
      <c r="J177" s="82" t="s">
        <v>2171</v>
      </c>
      <c r="K177" s="82" t="s">
        <v>2167</v>
      </c>
      <c r="L177" s="82" t="s">
        <v>1946</v>
      </c>
      <c r="M177" s="82" t="s">
        <v>2090</v>
      </c>
      <c r="N177" s="82" t="s">
        <v>1946</v>
      </c>
      <c r="O177" s="82" t="s">
        <v>2173</v>
      </c>
    </row>
    <row r="178" spans="1:15" ht="15.75" hidden="1" x14ac:dyDescent="0.25">
      <c r="A178" t="str">
        <f t="shared" si="2"/>
        <v>ALR_CB3_CHIUSURA_FALLITA-Allarme CB3 chiusura fallita</v>
      </c>
      <c r="C178" s="82" t="s">
        <v>194</v>
      </c>
      <c r="D178" s="82" t="s">
        <v>195</v>
      </c>
      <c r="E178" s="82" t="s">
        <v>2163</v>
      </c>
      <c r="F178" s="82" t="s">
        <v>194</v>
      </c>
      <c r="G178" s="82" t="s">
        <v>1946</v>
      </c>
      <c r="H178" s="82" t="s">
        <v>2165</v>
      </c>
      <c r="I178" s="82" t="s">
        <v>24</v>
      </c>
      <c r="J178" s="82" t="s">
        <v>2171</v>
      </c>
      <c r="K178" s="82" t="s">
        <v>2167</v>
      </c>
      <c r="L178" s="82" t="s">
        <v>1946</v>
      </c>
      <c r="M178" s="82" t="s">
        <v>2090</v>
      </c>
      <c r="N178" s="82" t="s">
        <v>1946</v>
      </c>
      <c r="O178" s="82" t="s">
        <v>2173</v>
      </c>
    </row>
    <row r="179" spans="1:15" ht="15.75" hidden="1" x14ac:dyDescent="0.25">
      <c r="A179" t="str">
        <f t="shared" si="2"/>
        <v>ALR_CENTRALE_INCENDIO_1_IN_STOP-Allarme centrale incendio 1 in stop</v>
      </c>
      <c r="C179" s="82" t="s">
        <v>1192</v>
      </c>
      <c r="D179" s="82" t="s">
        <v>1193</v>
      </c>
      <c r="E179" s="82" t="s">
        <v>2163</v>
      </c>
      <c r="F179" s="82" t="s">
        <v>1192</v>
      </c>
      <c r="G179" s="82" t="s">
        <v>1946</v>
      </c>
      <c r="H179" s="82" t="s">
        <v>2165</v>
      </c>
      <c r="I179" s="82" t="s">
        <v>33</v>
      </c>
      <c r="J179" s="82" t="s">
        <v>2174</v>
      </c>
      <c r="K179" s="82" t="s">
        <v>2173</v>
      </c>
      <c r="L179" s="82" t="s">
        <v>1946</v>
      </c>
      <c r="M179" s="82" t="s">
        <v>2176</v>
      </c>
      <c r="N179" s="82" t="s">
        <v>2188</v>
      </c>
      <c r="O179" s="82" t="s">
        <v>2173</v>
      </c>
    </row>
    <row r="180" spans="1:15" ht="15.75" hidden="1" x14ac:dyDescent="0.25">
      <c r="A180" t="str">
        <f t="shared" si="2"/>
        <v>ALR_CENTRALE_INCENDIO_2_IN_STOP-Allarme centrale incendio 2 in stop</v>
      </c>
      <c r="C180" s="82" t="s">
        <v>2262</v>
      </c>
      <c r="D180" s="82" t="s">
        <v>2263</v>
      </c>
      <c r="E180" s="82" t="s">
        <v>2163</v>
      </c>
      <c r="F180" s="82" t="s">
        <v>2262</v>
      </c>
      <c r="G180" s="82" t="s">
        <v>1946</v>
      </c>
      <c r="H180" s="82" t="s">
        <v>2165</v>
      </c>
      <c r="I180" s="82" t="s">
        <v>24</v>
      </c>
      <c r="J180" s="82" t="s">
        <v>2171</v>
      </c>
      <c r="K180" s="82" t="s">
        <v>2167</v>
      </c>
      <c r="L180" s="82" t="s">
        <v>1946</v>
      </c>
      <c r="M180" s="82" t="s">
        <v>2090</v>
      </c>
      <c r="N180" s="82" t="s">
        <v>1946</v>
      </c>
      <c r="O180" s="82" t="s">
        <v>2173</v>
      </c>
    </row>
    <row r="181" spans="1:15" ht="15.75" hidden="1" x14ac:dyDescent="0.25">
      <c r="A181" t="str">
        <f t="shared" si="2"/>
        <v>ALR_CENTRALINA-Allarme centralina rilevazione incendio</v>
      </c>
      <c r="C181" s="82" t="s">
        <v>196</v>
      </c>
      <c r="D181" s="82" t="s">
        <v>197</v>
      </c>
      <c r="E181" s="82" t="s">
        <v>2163</v>
      </c>
      <c r="F181" s="82" t="s">
        <v>196</v>
      </c>
      <c r="G181" s="82" t="s">
        <v>1946</v>
      </c>
      <c r="H181" s="82" t="s">
        <v>2165</v>
      </c>
      <c r="I181" s="82" t="s">
        <v>24</v>
      </c>
      <c r="J181" s="82" t="s">
        <v>2171</v>
      </c>
      <c r="K181" s="82" t="s">
        <v>2167</v>
      </c>
      <c r="L181" s="82" t="s">
        <v>2175</v>
      </c>
      <c r="M181" s="82" t="s">
        <v>2176</v>
      </c>
      <c r="N181" s="82" t="s">
        <v>2180</v>
      </c>
      <c r="O181" s="82" t="s">
        <v>2173</v>
      </c>
    </row>
    <row r="182" spans="1:15" ht="15.75" hidden="1" x14ac:dyDescent="0.25">
      <c r="A182" t="str">
        <f t="shared" si="2"/>
        <v>ALR_CENTRALINA_NON_PRONTA-Allarme centralina non pronta</v>
      </c>
      <c r="C182" s="82" t="s">
        <v>199</v>
      </c>
      <c r="D182" s="82" t="s">
        <v>200</v>
      </c>
      <c r="E182" s="82" t="s">
        <v>2163</v>
      </c>
      <c r="F182" s="82" t="s">
        <v>199</v>
      </c>
      <c r="G182" s="82" t="s">
        <v>1946</v>
      </c>
      <c r="H182" s="82" t="s">
        <v>2165</v>
      </c>
      <c r="I182" s="82" t="s">
        <v>24</v>
      </c>
      <c r="J182" s="82" t="s">
        <v>2171</v>
      </c>
      <c r="K182" s="82" t="s">
        <v>2167</v>
      </c>
      <c r="L182" s="82" t="s">
        <v>1946</v>
      </c>
      <c r="M182" s="82" t="s">
        <v>2090</v>
      </c>
      <c r="N182" s="82" t="s">
        <v>1946</v>
      </c>
      <c r="O182" s="82" t="s">
        <v>2173</v>
      </c>
    </row>
    <row r="183" spans="1:15" ht="15.75" hidden="1" x14ac:dyDescent="0.25">
      <c r="A183" t="str">
        <f t="shared" si="2"/>
        <v>ALR_CENTRALINA_SCAMBIO_RETE_GRUPPO-Allarme centralina scambio rete gruppo</v>
      </c>
      <c r="C183" s="82" t="s">
        <v>203</v>
      </c>
      <c r="D183" s="82" t="s">
        <v>204</v>
      </c>
      <c r="E183" s="82" t="s">
        <v>2163</v>
      </c>
      <c r="F183" s="82" t="s">
        <v>203</v>
      </c>
      <c r="G183" s="82" t="s">
        <v>1946</v>
      </c>
      <c r="H183" s="82" t="s">
        <v>2165</v>
      </c>
      <c r="I183" s="82" t="s">
        <v>24</v>
      </c>
      <c r="J183" s="82" t="s">
        <v>2171</v>
      </c>
      <c r="K183" s="82" t="s">
        <v>2167</v>
      </c>
      <c r="L183" s="82" t="s">
        <v>1946</v>
      </c>
      <c r="M183" s="82" t="s">
        <v>2176</v>
      </c>
      <c r="N183" s="82" t="s">
        <v>2180</v>
      </c>
      <c r="O183" s="82" t="s">
        <v>2173</v>
      </c>
    </row>
    <row r="184" spans="1:15" ht="15.75" hidden="1" x14ac:dyDescent="0.25">
      <c r="A184" t="str">
        <f t="shared" si="2"/>
        <v>ALR_CENTRALINA_TRAFO-Allarme centralina Trasformatore</v>
      </c>
      <c r="C184" s="82" t="s">
        <v>206</v>
      </c>
      <c r="D184" s="82" t="s">
        <v>207</v>
      </c>
      <c r="E184" s="82" t="s">
        <v>2163</v>
      </c>
      <c r="F184" s="82" t="s">
        <v>206</v>
      </c>
      <c r="G184" s="82" t="s">
        <v>1946</v>
      </c>
      <c r="H184" s="82" t="s">
        <v>2165</v>
      </c>
      <c r="I184" s="82" t="s">
        <v>24</v>
      </c>
      <c r="J184" s="82" t="s">
        <v>2171</v>
      </c>
      <c r="K184" s="82" t="s">
        <v>2167</v>
      </c>
      <c r="L184" s="82" t="s">
        <v>1946</v>
      </c>
      <c r="M184" s="82" t="s">
        <v>2090</v>
      </c>
      <c r="N184" s="82" t="s">
        <v>1946</v>
      </c>
      <c r="O184" s="82" t="s">
        <v>2173</v>
      </c>
    </row>
    <row r="185" spans="1:15" ht="15.75" hidden="1" x14ac:dyDescent="0.25">
      <c r="A185" t="str">
        <f t="shared" si="2"/>
        <v>ALR_CHIAMATA_ATTIVATA-Allarme chiamata attivata</v>
      </c>
      <c r="C185" s="82" t="s">
        <v>1194</v>
      </c>
      <c r="D185" s="82" t="s">
        <v>1195</v>
      </c>
      <c r="E185" s="82" t="s">
        <v>2163</v>
      </c>
      <c r="F185" s="82" t="s">
        <v>1194</v>
      </c>
      <c r="G185" s="82" t="s">
        <v>1946</v>
      </c>
      <c r="H185" s="82" t="s">
        <v>2165</v>
      </c>
      <c r="I185" s="82" t="s">
        <v>33</v>
      </c>
      <c r="J185" s="82" t="s">
        <v>2174</v>
      </c>
      <c r="K185" s="82" t="s">
        <v>2173</v>
      </c>
      <c r="L185" s="82" t="s">
        <v>2175</v>
      </c>
      <c r="M185" s="82" t="s">
        <v>2176</v>
      </c>
      <c r="N185" s="82" t="s">
        <v>2177</v>
      </c>
      <c r="O185" s="82" t="s">
        <v>2173</v>
      </c>
    </row>
    <row r="186" spans="1:15" ht="15.75" hidden="1" x14ac:dyDescent="0.25">
      <c r="A186" t="str">
        <f t="shared" si="2"/>
        <v>ALR_CHIUSURA_IMMOTIVATA_GCB-Allarme chiusura immotivata contattore generatore</v>
      </c>
      <c r="C186" s="82" t="s">
        <v>209</v>
      </c>
      <c r="D186" s="82" t="s">
        <v>210</v>
      </c>
      <c r="E186" s="82" t="s">
        <v>2163</v>
      </c>
      <c r="F186" s="82" t="s">
        <v>209</v>
      </c>
      <c r="G186" s="82" t="s">
        <v>1946</v>
      </c>
      <c r="H186" s="82" t="s">
        <v>2165</v>
      </c>
      <c r="I186" s="82" t="s">
        <v>24</v>
      </c>
      <c r="J186" s="82" t="s">
        <v>2171</v>
      </c>
      <c r="K186" s="82" t="s">
        <v>2167</v>
      </c>
      <c r="L186" s="82" t="s">
        <v>1946</v>
      </c>
      <c r="M186" s="82" t="s">
        <v>2090</v>
      </c>
      <c r="N186" s="82" t="s">
        <v>1946</v>
      </c>
      <c r="O186" s="82" t="s">
        <v>2173</v>
      </c>
    </row>
    <row r="187" spans="1:15" ht="15.75" hidden="1" x14ac:dyDescent="0.25">
      <c r="A187" t="str">
        <f t="shared" si="2"/>
        <v>ALR_CHIUSURA_IMMOTIVATA_MCB-Allarme chiusura immotivata contattore di rete</v>
      </c>
      <c r="C187" s="82" t="s">
        <v>211</v>
      </c>
      <c r="D187" s="82" t="s">
        <v>212</v>
      </c>
      <c r="E187" s="82" t="s">
        <v>2163</v>
      </c>
      <c r="F187" s="82" t="s">
        <v>211</v>
      </c>
      <c r="G187" s="82" t="s">
        <v>1946</v>
      </c>
      <c r="H187" s="82" t="s">
        <v>2165</v>
      </c>
      <c r="I187" s="82" t="s">
        <v>24</v>
      </c>
      <c r="J187" s="82" t="s">
        <v>2171</v>
      </c>
      <c r="K187" s="82" t="s">
        <v>2167</v>
      </c>
      <c r="L187" s="82" t="s">
        <v>1946</v>
      </c>
      <c r="M187" s="82" t="s">
        <v>2090</v>
      </c>
      <c r="N187" s="82" t="s">
        <v>1946</v>
      </c>
      <c r="O187" s="82" t="s">
        <v>2173</v>
      </c>
    </row>
    <row r="188" spans="1:15" ht="15.75" hidden="1" x14ac:dyDescent="0.25">
      <c r="A188" t="str">
        <f t="shared" si="2"/>
        <v>ALR_CHIUSURA_TENSIONE_DC_ALTA-Allarme tensione DC alta</v>
      </c>
      <c r="C188" s="82" t="s">
        <v>1196</v>
      </c>
      <c r="D188" s="82" t="s">
        <v>1197</v>
      </c>
      <c r="E188" s="82" t="s">
        <v>2163</v>
      </c>
      <c r="F188" s="82" t="s">
        <v>1196</v>
      </c>
      <c r="G188" s="82" t="s">
        <v>1946</v>
      </c>
      <c r="H188" s="82" t="s">
        <v>2165</v>
      </c>
      <c r="I188" s="82" t="s">
        <v>24</v>
      </c>
      <c r="J188" s="82" t="s">
        <v>2171</v>
      </c>
      <c r="K188" s="82" t="s">
        <v>2167</v>
      </c>
      <c r="L188" s="82" t="s">
        <v>1946</v>
      </c>
      <c r="M188" s="82" t="s">
        <v>2090</v>
      </c>
      <c r="N188" s="82" t="s">
        <v>1946</v>
      </c>
      <c r="O188" s="82" t="s">
        <v>2173</v>
      </c>
    </row>
    <row r="189" spans="1:15" ht="15.75" hidden="1" x14ac:dyDescent="0.25">
      <c r="A189" t="str">
        <f t="shared" si="2"/>
        <v>ALR_CHIUSURA_TENSIONE_DC_BASSA-Allarme tensione DC bassa</v>
      </c>
      <c r="C189" s="82" t="s">
        <v>1199</v>
      </c>
      <c r="D189" s="82" t="s">
        <v>1200</v>
      </c>
      <c r="E189" s="82" t="s">
        <v>2163</v>
      </c>
      <c r="F189" s="82" t="s">
        <v>1199</v>
      </c>
      <c r="G189" s="82" t="s">
        <v>1946</v>
      </c>
      <c r="H189" s="82" t="s">
        <v>2165</v>
      </c>
      <c r="I189" s="82" t="s">
        <v>24</v>
      </c>
      <c r="J189" s="82" t="s">
        <v>2171</v>
      </c>
      <c r="K189" s="82" t="s">
        <v>2167</v>
      </c>
      <c r="L189" s="82" t="s">
        <v>1946</v>
      </c>
      <c r="M189" s="82" t="s">
        <v>2090</v>
      </c>
      <c r="N189" s="82" t="s">
        <v>1946</v>
      </c>
      <c r="O189" s="82" t="s">
        <v>2173</v>
      </c>
    </row>
    <row r="190" spans="1:15" ht="15.75" hidden="1" x14ac:dyDescent="0.25">
      <c r="A190" t="str">
        <f t="shared" si="2"/>
        <v>ALR_CIRCUITO_APERTO-Allarme circuito aperto</v>
      </c>
      <c r="C190" s="82" t="s">
        <v>1202</v>
      </c>
      <c r="D190" s="82" t="s">
        <v>1203</v>
      </c>
      <c r="E190" s="82" t="s">
        <v>2163</v>
      </c>
      <c r="F190" s="82" t="s">
        <v>1202</v>
      </c>
      <c r="G190" s="82" t="s">
        <v>1946</v>
      </c>
      <c r="H190" s="82" t="s">
        <v>2165</v>
      </c>
      <c r="I190" s="82" t="s">
        <v>24</v>
      </c>
      <c r="J190" s="82" t="s">
        <v>2171</v>
      </c>
      <c r="K190" s="82" t="s">
        <v>2167</v>
      </c>
      <c r="L190" s="82" t="s">
        <v>1946</v>
      </c>
      <c r="M190" s="82" t="s">
        <v>2090</v>
      </c>
      <c r="N190" s="82" t="s">
        <v>1946</v>
      </c>
      <c r="O190" s="82" t="s">
        <v>2173</v>
      </c>
    </row>
    <row r="191" spans="1:15" ht="15.75" hidden="1" x14ac:dyDescent="0.25">
      <c r="A191" t="str">
        <f t="shared" si="2"/>
        <v>ALR_CIRCUITO_INTERROTTO-Allarme circuito interrotto</v>
      </c>
      <c r="C191" s="82" t="s">
        <v>1205</v>
      </c>
      <c r="D191" s="82" t="s">
        <v>1206</v>
      </c>
      <c r="E191" s="82" t="s">
        <v>2163</v>
      </c>
      <c r="F191" s="82" t="s">
        <v>1205</v>
      </c>
      <c r="G191" s="82" t="s">
        <v>1946</v>
      </c>
      <c r="H191" s="82" t="s">
        <v>2165</v>
      </c>
      <c r="I191" s="82" t="s">
        <v>24</v>
      </c>
      <c r="J191" s="82" t="s">
        <v>2171</v>
      </c>
      <c r="K191" s="82" t="s">
        <v>2167</v>
      </c>
      <c r="L191" s="82" t="s">
        <v>1946</v>
      </c>
      <c r="M191" s="82" t="s">
        <v>2090</v>
      </c>
      <c r="N191" s="82" t="s">
        <v>1946</v>
      </c>
      <c r="O191" s="82" t="s">
        <v>2173</v>
      </c>
    </row>
    <row r="192" spans="1:15" ht="15.75" hidden="1" x14ac:dyDescent="0.25">
      <c r="A192" t="str">
        <f t="shared" si="2"/>
        <v>ALR_COMMUTAZIONE_400V-Allarme commutazione 400V</v>
      </c>
      <c r="C192" s="82" t="s">
        <v>239</v>
      </c>
      <c r="D192" s="82" t="s">
        <v>240</v>
      </c>
      <c r="E192" s="82" t="s">
        <v>2163</v>
      </c>
      <c r="F192" s="82" t="s">
        <v>239</v>
      </c>
      <c r="G192" s="82" t="s">
        <v>1946</v>
      </c>
      <c r="H192" s="82" t="s">
        <v>2165</v>
      </c>
      <c r="I192" s="82" t="s">
        <v>24</v>
      </c>
      <c r="J192" s="82" t="s">
        <v>2171</v>
      </c>
      <c r="K192" s="82" t="s">
        <v>2167</v>
      </c>
      <c r="L192" s="82" t="s">
        <v>1946</v>
      </c>
      <c r="M192" s="82" t="s">
        <v>2090</v>
      </c>
      <c r="N192" s="82" t="s">
        <v>1946</v>
      </c>
      <c r="O192" s="82" t="s">
        <v>2173</v>
      </c>
    </row>
    <row r="193" spans="1:15" ht="15.75" hidden="1" x14ac:dyDescent="0.25">
      <c r="A193" t="str">
        <f t="shared" si="2"/>
        <v>ALR_COMMUTAZIONE_690V-Allarme commutazione 690V</v>
      </c>
      <c r="C193" s="82" t="s">
        <v>241</v>
      </c>
      <c r="D193" s="82" t="s">
        <v>242</v>
      </c>
      <c r="E193" s="82" t="s">
        <v>2163</v>
      </c>
      <c r="F193" s="82" t="s">
        <v>241</v>
      </c>
      <c r="G193" s="82" t="s">
        <v>1946</v>
      </c>
      <c r="H193" s="82" t="s">
        <v>2165</v>
      </c>
      <c r="I193" s="82" t="s">
        <v>24</v>
      </c>
      <c r="J193" s="82" t="s">
        <v>2171</v>
      </c>
      <c r="K193" s="82" t="s">
        <v>2167</v>
      </c>
      <c r="L193" s="82" t="s">
        <v>1946</v>
      </c>
      <c r="M193" s="82" t="s">
        <v>2090</v>
      </c>
      <c r="N193" s="82" t="s">
        <v>1946</v>
      </c>
      <c r="O193" s="82" t="s">
        <v>2173</v>
      </c>
    </row>
    <row r="194" spans="1:15" ht="15.75" hidden="1" x14ac:dyDescent="0.25">
      <c r="A194" t="str">
        <f t="shared" si="2"/>
        <v>ALR_COMMUTAZIONE_ILL-Allarme commutazione illuminazione</v>
      </c>
      <c r="C194" s="82" t="s">
        <v>243</v>
      </c>
      <c r="D194" s="82" t="s">
        <v>244</v>
      </c>
      <c r="E194" s="82" t="s">
        <v>2163</v>
      </c>
      <c r="F194" s="82" t="s">
        <v>243</v>
      </c>
      <c r="G194" s="82" t="s">
        <v>1946</v>
      </c>
      <c r="H194" s="82" t="s">
        <v>2165</v>
      </c>
      <c r="I194" s="82" t="s">
        <v>24</v>
      </c>
      <c r="J194" s="82" t="s">
        <v>2171</v>
      </c>
      <c r="K194" s="82" t="s">
        <v>2167</v>
      </c>
      <c r="L194" s="82" t="s">
        <v>1946</v>
      </c>
      <c r="M194" s="82" t="s">
        <v>2090</v>
      </c>
      <c r="N194" s="82" t="s">
        <v>1946</v>
      </c>
      <c r="O194" s="82" t="s">
        <v>2173</v>
      </c>
    </row>
    <row r="195" spans="1:15" ht="15.75" hidden="1" x14ac:dyDescent="0.25">
      <c r="A195" t="str">
        <f t="shared" ref="A195:A258" si="3">CONCATENATE(F195,"-",D195)</f>
        <v>ALR_COMMUTAZIONE_RETE-Allarme commutazione rete</v>
      </c>
      <c r="C195" s="82" t="s">
        <v>245</v>
      </c>
      <c r="D195" s="82" t="s">
        <v>246</v>
      </c>
      <c r="E195" s="82" t="s">
        <v>2163</v>
      </c>
      <c r="F195" s="82" t="s">
        <v>245</v>
      </c>
      <c r="G195" s="82" t="s">
        <v>1946</v>
      </c>
      <c r="H195" s="82" t="s">
        <v>2165</v>
      </c>
      <c r="I195" s="82" t="s">
        <v>24</v>
      </c>
      <c r="J195" s="82" t="s">
        <v>2171</v>
      </c>
      <c r="K195" s="82" t="s">
        <v>2167</v>
      </c>
      <c r="L195" s="82" t="s">
        <v>1946</v>
      </c>
      <c r="M195" s="82" t="s">
        <v>2090</v>
      </c>
      <c r="N195" s="82" t="s">
        <v>1946</v>
      </c>
      <c r="O195" s="82" t="s">
        <v>2173</v>
      </c>
    </row>
    <row r="196" spans="1:15" ht="15.75" hidden="1" x14ac:dyDescent="0.25">
      <c r="A196" t="str">
        <f t="shared" si="3"/>
        <v>ALR_COMMUTAZIONE_VENT-Allarme commutazione ventilazione</v>
      </c>
      <c r="C196" s="82" t="s">
        <v>247</v>
      </c>
      <c r="D196" s="82" t="s">
        <v>248</v>
      </c>
      <c r="E196" s="82" t="s">
        <v>2163</v>
      </c>
      <c r="F196" s="82" t="s">
        <v>247</v>
      </c>
      <c r="G196" s="82" t="s">
        <v>1946</v>
      </c>
      <c r="H196" s="82" t="s">
        <v>2165</v>
      </c>
      <c r="I196" s="82" t="s">
        <v>24</v>
      </c>
      <c r="J196" s="82" t="s">
        <v>2171</v>
      </c>
      <c r="K196" s="82" t="s">
        <v>2167</v>
      </c>
      <c r="L196" s="82" t="s">
        <v>1946</v>
      </c>
      <c r="M196" s="82" t="s">
        <v>2090</v>
      </c>
      <c r="N196" s="82" t="s">
        <v>1946</v>
      </c>
      <c r="O196" s="82" t="s">
        <v>2173</v>
      </c>
    </row>
    <row r="197" spans="1:15" ht="15.75" hidden="1" x14ac:dyDescent="0.25">
      <c r="A197" t="str">
        <f t="shared" si="3"/>
        <v>ALR_COMPRESSORE_ARIA_GE-Allarme compressore aria gruppo elettrogeno</v>
      </c>
      <c r="C197" s="82" t="s">
        <v>1207</v>
      </c>
      <c r="D197" s="82" t="s">
        <v>1208</v>
      </c>
      <c r="E197" s="82" t="s">
        <v>2163</v>
      </c>
      <c r="F197" s="82" t="s">
        <v>1207</v>
      </c>
      <c r="G197" s="82" t="s">
        <v>1946</v>
      </c>
      <c r="H197" s="82" t="s">
        <v>2165</v>
      </c>
      <c r="I197" s="82" t="s">
        <v>157</v>
      </c>
      <c r="J197" s="82" t="s">
        <v>2181</v>
      </c>
      <c r="K197" s="82" t="s">
        <v>2167</v>
      </c>
      <c r="L197" s="82" t="s">
        <v>1946</v>
      </c>
      <c r="M197" s="82" t="s">
        <v>2090</v>
      </c>
      <c r="N197" s="82" t="s">
        <v>1946</v>
      </c>
      <c r="O197" s="82" t="s">
        <v>2173</v>
      </c>
    </row>
    <row r="198" spans="1:15" ht="15.75" hidden="1" x14ac:dyDescent="0.25">
      <c r="A198" t="str">
        <f t="shared" si="3"/>
        <v>ALR_COMUNICAZIONE-Allarme comunicazione dispositivo</v>
      </c>
      <c r="C198" s="82" t="s">
        <v>250</v>
      </c>
      <c r="D198" s="82" t="s">
        <v>251</v>
      </c>
      <c r="E198" s="82" t="s">
        <v>2163</v>
      </c>
      <c r="F198" s="82" t="s">
        <v>250</v>
      </c>
      <c r="G198" s="82" t="s">
        <v>1946</v>
      </c>
      <c r="H198" s="82" t="s">
        <v>2165</v>
      </c>
      <c r="I198" s="82" t="s">
        <v>33</v>
      </c>
      <c r="J198" s="82" t="s">
        <v>2174</v>
      </c>
      <c r="K198" s="82" t="s">
        <v>2173</v>
      </c>
      <c r="L198" s="82" t="s">
        <v>1946</v>
      </c>
      <c r="M198" s="82" t="s">
        <v>2176</v>
      </c>
      <c r="N198" s="82" t="s">
        <v>2188</v>
      </c>
      <c r="O198" s="82" t="s">
        <v>2173</v>
      </c>
    </row>
    <row r="199" spans="1:15" ht="15.75" hidden="1" x14ac:dyDescent="0.25">
      <c r="A199" t="str">
        <f t="shared" si="3"/>
        <v>ALR_COMUNICAZIONE_1_IMP-Allarme comunicazione dispositivo</v>
      </c>
      <c r="C199" s="82" t="s">
        <v>252</v>
      </c>
      <c r="D199" s="82" t="s">
        <v>251</v>
      </c>
      <c r="E199" s="82" t="s">
        <v>2163</v>
      </c>
      <c r="F199" s="82" t="s">
        <v>252</v>
      </c>
      <c r="G199" s="82" t="s">
        <v>1946</v>
      </c>
      <c r="H199" s="82" t="s">
        <v>2165</v>
      </c>
      <c r="I199" s="82" t="s">
        <v>157</v>
      </c>
      <c r="J199" s="82" t="s">
        <v>2181</v>
      </c>
      <c r="K199" s="82" t="s">
        <v>2167</v>
      </c>
      <c r="L199" s="82" t="s">
        <v>1946</v>
      </c>
      <c r="M199" s="82" t="s">
        <v>2090</v>
      </c>
      <c r="N199" s="82" t="s">
        <v>1946</v>
      </c>
      <c r="O199" s="82" t="s">
        <v>2173</v>
      </c>
    </row>
    <row r="200" spans="1:15" ht="15.75" hidden="1" x14ac:dyDescent="0.25">
      <c r="A200" t="str">
        <f t="shared" si="3"/>
        <v>ALR_COMUNICAZIONE_2_IMP-Allarme comunicazione dispositivo</v>
      </c>
      <c r="C200" s="82" t="s">
        <v>253</v>
      </c>
      <c r="D200" s="82" t="s">
        <v>251</v>
      </c>
      <c r="E200" s="82" t="s">
        <v>2163</v>
      </c>
      <c r="F200" s="82" t="s">
        <v>253</v>
      </c>
      <c r="G200" s="82" t="s">
        <v>1946</v>
      </c>
      <c r="H200" s="82" t="s">
        <v>2165</v>
      </c>
      <c r="I200" s="82" t="s">
        <v>24</v>
      </c>
      <c r="J200" s="82" t="s">
        <v>2171</v>
      </c>
      <c r="K200" s="82" t="s">
        <v>2167</v>
      </c>
      <c r="L200" s="82" t="s">
        <v>1946</v>
      </c>
      <c r="M200" s="82" t="s">
        <v>2090</v>
      </c>
      <c r="N200" s="82" t="s">
        <v>1946</v>
      </c>
      <c r="O200" s="82" t="s">
        <v>2173</v>
      </c>
    </row>
    <row r="201" spans="1:15" ht="15.75" hidden="1" x14ac:dyDescent="0.25">
      <c r="A201" t="str">
        <f t="shared" si="3"/>
        <v>ALR_COMUNICAZIONE_CPU-Allarme comunicazione CPU</v>
      </c>
      <c r="C201" s="82" t="s">
        <v>2264</v>
      </c>
      <c r="D201" s="82" t="s">
        <v>2265</v>
      </c>
      <c r="E201" s="82" t="s">
        <v>2163</v>
      </c>
      <c r="F201" s="82" t="s">
        <v>2264</v>
      </c>
      <c r="G201" s="82" t="s">
        <v>1946</v>
      </c>
      <c r="H201" s="82" t="s">
        <v>2165</v>
      </c>
      <c r="I201" s="82" t="s">
        <v>157</v>
      </c>
      <c r="J201" s="82" t="s">
        <v>2181</v>
      </c>
      <c r="K201" s="82" t="s">
        <v>2173</v>
      </c>
      <c r="L201" s="82" t="s">
        <v>1946</v>
      </c>
      <c r="M201" s="82" t="s">
        <v>2266</v>
      </c>
      <c r="N201" s="82" t="s">
        <v>1946</v>
      </c>
      <c r="O201" s="82" t="s">
        <v>2173</v>
      </c>
    </row>
    <row r="202" spans="1:15" ht="15.75" hidden="1" x14ac:dyDescent="0.25">
      <c r="A202" t="str">
        <f t="shared" si="3"/>
        <v>ALR_COMUNICAZIONE_DIAGNOSTICA-Allarme comunicazione diagnostica</v>
      </c>
      <c r="C202" s="82" t="s">
        <v>1209</v>
      </c>
      <c r="D202" s="82" t="s">
        <v>1210</v>
      </c>
      <c r="E202" s="82" t="s">
        <v>2163</v>
      </c>
      <c r="F202" s="82" t="s">
        <v>1209</v>
      </c>
      <c r="G202" s="82" t="s">
        <v>1946</v>
      </c>
      <c r="H202" s="82" t="s">
        <v>2165</v>
      </c>
      <c r="I202" s="82" t="s">
        <v>24</v>
      </c>
      <c r="J202" s="82" t="s">
        <v>2171</v>
      </c>
      <c r="K202" s="82" t="s">
        <v>2167</v>
      </c>
      <c r="L202" s="82" t="s">
        <v>1946</v>
      </c>
      <c r="M202" s="82" t="s">
        <v>2090</v>
      </c>
      <c r="N202" s="82" t="s">
        <v>1946</v>
      </c>
      <c r="O202" s="82" t="s">
        <v>2173</v>
      </c>
    </row>
    <row r="203" spans="1:15" ht="15.75" hidden="1" x14ac:dyDescent="0.25">
      <c r="A203" t="str">
        <f t="shared" si="3"/>
        <v>ALR_COMUNICAZIONE_DIR_NORD-Allarme comunicazione dispositivo dir. nord</v>
      </c>
      <c r="C203" s="82" t="s">
        <v>1214</v>
      </c>
      <c r="D203" s="82" t="s">
        <v>1215</v>
      </c>
      <c r="E203" s="82" t="s">
        <v>2163</v>
      </c>
      <c r="F203" s="82" t="s">
        <v>1214</v>
      </c>
      <c r="G203" s="82" t="s">
        <v>1946</v>
      </c>
      <c r="H203" s="82" t="s">
        <v>2165</v>
      </c>
      <c r="I203" s="82" t="s">
        <v>24</v>
      </c>
      <c r="J203" s="82" t="s">
        <v>2171</v>
      </c>
      <c r="K203" s="82" t="s">
        <v>2167</v>
      </c>
      <c r="L203" s="82" t="s">
        <v>1946</v>
      </c>
      <c r="M203" s="82" t="s">
        <v>2090</v>
      </c>
      <c r="N203" s="82" t="s">
        <v>1946</v>
      </c>
      <c r="O203" s="82" t="s">
        <v>2173</v>
      </c>
    </row>
    <row r="204" spans="1:15" ht="15.75" hidden="1" x14ac:dyDescent="0.25">
      <c r="A204" t="str">
        <f t="shared" si="3"/>
        <v>ALR_COMUNICAZIONE_DIR_SUD-Allarme comunicazione dispositivo dir. sud</v>
      </c>
      <c r="C204" s="82" t="s">
        <v>1217</v>
      </c>
      <c r="D204" s="82" t="s">
        <v>1218</v>
      </c>
      <c r="E204" s="82" t="s">
        <v>2163</v>
      </c>
      <c r="F204" s="82" t="s">
        <v>1217</v>
      </c>
      <c r="G204" s="82" t="s">
        <v>1946</v>
      </c>
      <c r="H204" s="82" t="s">
        <v>2165</v>
      </c>
      <c r="I204" s="82" t="s">
        <v>24</v>
      </c>
      <c r="J204" s="82" t="s">
        <v>2171</v>
      </c>
      <c r="K204" s="82" t="s">
        <v>2167</v>
      </c>
      <c r="L204" s="82" t="s">
        <v>1946</v>
      </c>
      <c r="M204" s="82" t="s">
        <v>2090</v>
      </c>
      <c r="N204" s="82" t="s">
        <v>1946</v>
      </c>
      <c r="O204" s="82" t="s">
        <v>2173</v>
      </c>
    </row>
    <row r="205" spans="1:15" ht="15.75" hidden="1" x14ac:dyDescent="0.25">
      <c r="A205" t="str">
        <f t="shared" si="3"/>
        <v>ALR_COMUNICAZIONE_DOPPIA-Allarme comunicazione doppia</v>
      </c>
      <c r="C205" s="82" t="s">
        <v>1219</v>
      </c>
      <c r="D205" s="82" t="s">
        <v>1220</v>
      </c>
      <c r="E205" s="82" t="s">
        <v>2163</v>
      </c>
      <c r="F205" s="82" t="s">
        <v>1219</v>
      </c>
      <c r="G205" s="82" t="s">
        <v>1946</v>
      </c>
      <c r="H205" s="82" t="s">
        <v>2165</v>
      </c>
      <c r="I205" s="82" t="s">
        <v>24</v>
      </c>
      <c r="J205" s="82" t="s">
        <v>2171</v>
      </c>
      <c r="K205" s="82" t="s">
        <v>2167</v>
      </c>
      <c r="L205" s="82" t="s">
        <v>1946</v>
      </c>
      <c r="M205" s="82" t="s">
        <v>2090</v>
      </c>
      <c r="N205" s="82" t="s">
        <v>1946</v>
      </c>
      <c r="O205" s="82" t="s">
        <v>2173</v>
      </c>
    </row>
    <row r="206" spans="1:15" ht="15.75" hidden="1" x14ac:dyDescent="0.25">
      <c r="A206" t="str">
        <f t="shared" si="3"/>
        <v>ALR_COMUNICAZIONE_INCENDIO_1-Allarme comunicazione incendio 1</v>
      </c>
      <c r="C206" s="82" t="s">
        <v>1223</v>
      </c>
      <c r="D206" s="82" t="s">
        <v>1224</v>
      </c>
      <c r="E206" s="82" t="s">
        <v>2163</v>
      </c>
      <c r="F206" s="82" t="s">
        <v>1223</v>
      </c>
      <c r="G206" s="82" t="s">
        <v>1946</v>
      </c>
      <c r="H206" s="82" t="s">
        <v>2165</v>
      </c>
      <c r="I206" s="82" t="s">
        <v>24</v>
      </c>
      <c r="J206" s="82" t="s">
        <v>2171</v>
      </c>
      <c r="K206" s="82" t="s">
        <v>2167</v>
      </c>
      <c r="L206" s="82" t="s">
        <v>1946</v>
      </c>
      <c r="M206" s="82" t="s">
        <v>2183</v>
      </c>
      <c r="N206" s="82" t="s">
        <v>1946</v>
      </c>
      <c r="O206" s="82" t="s">
        <v>2173</v>
      </c>
    </row>
    <row r="207" spans="1:15" ht="15.75" hidden="1" x14ac:dyDescent="0.25">
      <c r="A207" t="str">
        <f t="shared" si="3"/>
        <v>ALR_COMUNICAZIONE_INCENDIO_2-Allarme comunicazione incendio 2</v>
      </c>
      <c r="C207" s="82" t="s">
        <v>1225</v>
      </c>
      <c r="D207" s="82" t="s">
        <v>1226</v>
      </c>
      <c r="E207" s="82" t="s">
        <v>2163</v>
      </c>
      <c r="F207" s="82" t="s">
        <v>1225</v>
      </c>
      <c r="G207" s="82" t="s">
        <v>1946</v>
      </c>
      <c r="H207" s="82" t="s">
        <v>2165</v>
      </c>
      <c r="I207" s="82" t="s">
        <v>24</v>
      </c>
      <c r="J207" s="82" t="s">
        <v>2171</v>
      </c>
      <c r="K207" s="82" t="s">
        <v>2167</v>
      </c>
      <c r="L207" s="82" t="s">
        <v>1946</v>
      </c>
      <c r="M207" s="82" t="s">
        <v>2183</v>
      </c>
      <c r="N207" s="82" t="s">
        <v>1946</v>
      </c>
      <c r="O207" s="82" t="s">
        <v>2173</v>
      </c>
    </row>
    <row r="208" spans="1:15" ht="15.75" hidden="1" x14ac:dyDescent="0.25">
      <c r="A208" t="str">
        <f t="shared" si="3"/>
        <v>ALR_COMUNICAZIONE_I_O-Allarme comunicazione I/O</v>
      </c>
      <c r="C208" s="82" t="s">
        <v>1221</v>
      </c>
      <c r="D208" s="82" t="s">
        <v>1222</v>
      </c>
      <c r="E208" s="82" t="s">
        <v>2163</v>
      </c>
      <c r="F208" s="82" t="s">
        <v>1221</v>
      </c>
      <c r="G208" s="82" t="s">
        <v>1946</v>
      </c>
      <c r="H208" s="82" t="s">
        <v>2165</v>
      </c>
      <c r="I208" s="82" t="s">
        <v>24</v>
      </c>
      <c r="J208" s="82" t="s">
        <v>2171</v>
      </c>
      <c r="K208" s="82" t="s">
        <v>2167</v>
      </c>
      <c r="L208" s="82" t="s">
        <v>1946</v>
      </c>
      <c r="M208" s="82" t="s">
        <v>2090</v>
      </c>
      <c r="N208" s="82" t="s">
        <v>1946</v>
      </c>
      <c r="O208" s="82" t="s">
        <v>2173</v>
      </c>
    </row>
    <row r="209" spans="1:15" ht="15.75" hidden="1" x14ac:dyDescent="0.25">
      <c r="A209" t="str">
        <f t="shared" si="3"/>
        <v>ALR_COMUNICAZIONE_MODULO-Allarme comunicazione modulo</v>
      </c>
      <c r="C209" s="82" t="s">
        <v>1907</v>
      </c>
      <c r="D209" s="82" t="s">
        <v>1908</v>
      </c>
      <c r="E209" s="82" t="s">
        <v>2163</v>
      </c>
      <c r="F209" s="82" t="s">
        <v>1907</v>
      </c>
      <c r="G209" s="82" t="s">
        <v>1946</v>
      </c>
      <c r="H209" s="82" t="s">
        <v>2165</v>
      </c>
      <c r="I209" s="82" t="s">
        <v>157</v>
      </c>
      <c r="J209" s="82" t="s">
        <v>2181</v>
      </c>
      <c r="K209" s="82" t="s">
        <v>2173</v>
      </c>
      <c r="L209" s="82" t="s">
        <v>1946</v>
      </c>
      <c r="M209" s="82" t="s">
        <v>2183</v>
      </c>
      <c r="N209" s="82" t="s">
        <v>1946</v>
      </c>
      <c r="O209" s="82" t="s">
        <v>2173</v>
      </c>
    </row>
    <row r="210" spans="1:15" ht="15.75" hidden="1" x14ac:dyDescent="0.25">
      <c r="A210" t="str">
        <f t="shared" si="3"/>
        <v>ALR_COMUNICAZIONE_MOTORE_1-Allarme comunicazione motore 1</v>
      </c>
      <c r="C210" s="82" t="s">
        <v>2267</v>
      </c>
      <c r="D210" s="82" t="s">
        <v>2268</v>
      </c>
      <c r="E210" s="82" t="s">
        <v>2163</v>
      </c>
      <c r="F210" s="82" t="s">
        <v>2267</v>
      </c>
      <c r="G210" s="82" t="s">
        <v>1946</v>
      </c>
      <c r="H210" s="82" t="s">
        <v>2165</v>
      </c>
      <c r="I210" s="82" t="s">
        <v>24</v>
      </c>
      <c r="J210" s="82" t="s">
        <v>2171</v>
      </c>
      <c r="K210" s="82" t="s">
        <v>2167</v>
      </c>
      <c r="L210" s="82" t="s">
        <v>1946</v>
      </c>
      <c r="M210" s="82" t="s">
        <v>2090</v>
      </c>
      <c r="N210" s="82" t="s">
        <v>1946</v>
      </c>
      <c r="O210" s="82" t="s">
        <v>2173</v>
      </c>
    </row>
    <row r="211" spans="1:15" ht="15.75" hidden="1" x14ac:dyDescent="0.25">
      <c r="A211" t="str">
        <f t="shared" si="3"/>
        <v>ALR_COMUNICAZIONE_MOTORE_2-Allarme comunicazione motore 2</v>
      </c>
      <c r="C211" s="82" t="s">
        <v>2269</v>
      </c>
      <c r="D211" s="82" t="s">
        <v>2270</v>
      </c>
      <c r="E211" s="82" t="s">
        <v>2163</v>
      </c>
      <c r="F211" s="82" t="s">
        <v>2269</v>
      </c>
      <c r="G211" s="82" t="s">
        <v>1946</v>
      </c>
      <c r="H211" s="82" t="s">
        <v>2165</v>
      </c>
      <c r="I211" s="82" t="s">
        <v>24</v>
      </c>
      <c r="J211" s="82" t="s">
        <v>2171</v>
      </c>
      <c r="K211" s="82" t="s">
        <v>2167</v>
      </c>
      <c r="L211" s="82" t="s">
        <v>1946</v>
      </c>
      <c r="M211" s="82" t="s">
        <v>2090</v>
      </c>
      <c r="N211" s="82" t="s">
        <v>1946</v>
      </c>
      <c r="O211" s="82" t="s">
        <v>2173</v>
      </c>
    </row>
    <row r="212" spans="1:15" ht="15.75" hidden="1" x14ac:dyDescent="0.25">
      <c r="A212" t="str">
        <f t="shared" si="3"/>
        <v>ALR_COMUNICAZIONE_MOTORE_3-Allarme comunicazione motore 3</v>
      </c>
      <c r="C212" s="82" t="s">
        <v>2271</v>
      </c>
      <c r="D212" s="82" t="s">
        <v>2272</v>
      </c>
      <c r="E212" s="82" t="s">
        <v>2163</v>
      </c>
      <c r="F212" s="82" t="s">
        <v>2271</v>
      </c>
      <c r="G212" s="82" t="s">
        <v>1946</v>
      </c>
      <c r="H212" s="82" t="s">
        <v>2165</v>
      </c>
      <c r="I212" s="82" t="s">
        <v>24</v>
      </c>
      <c r="J212" s="82" t="s">
        <v>2171</v>
      </c>
      <c r="K212" s="82" t="s">
        <v>2167</v>
      </c>
      <c r="L212" s="82" t="s">
        <v>1946</v>
      </c>
      <c r="M212" s="82" t="s">
        <v>2090</v>
      </c>
      <c r="N212" s="82" t="s">
        <v>1946</v>
      </c>
      <c r="O212" s="82" t="s">
        <v>2173</v>
      </c>
    </row>
    <row r="213" spans="1:15" ht="15.75" hidden="1" x14ac:dyDescent="0.25">
      <c r="A213" t="str">
        <f t="shared" si="3"/>
        <v>ALR_COMUNICAZIONE_MOTORE_4-Allarme comunicazione motore 4</v>
      </c>
      <c r="C213" s="82" t="s">
        <v>2273</v>
      </c>
      <c r="D213" s="82" t="s">
        <v>2274</v>
      </c>
      <c r="E213" s="82" t="s">
        <v>2163</v>
      </c>
      <c r="F213" s="82" t="s">
        <v>2273</v>
      </c>
      <c r="G213" s="82" t="s">
        <v>1946</v>
      </c>
      <c r="H213" s="82" t="s">
        <v>2165</v>
      </c>
      <c r="I213" s="82" t="s">
        <v>24</v>
      </c>
      <c r="J213" s="82" t="s">
        <v>2171</v>
      </c>
      <c r="K213" s="82" t="s">
        <v>2167</v>
      </c>
      <c r="L213" s="82" t="s">
        <v>1946</v>
      </c>
      <c r="M213" s="82" t="s">
        <v>2090</v>
      </c>
      <c r="N213" s="82" t="s">
        <v>1946</v>
      </c>
      <c r="O213" s="82" t="s">
        <v>2173</v>
      </c>
    </row>
    <row r="214" spans="1:15" ht="15.75" hidden="1" x14ac:dyDescent="0.25">
      <c r="A214" t="str">
        <f t="shared" si="3"/>
        <v>ALR_COMUNICAZIONE_PORTA_1-Allarme comunicazione porta 1</v>
      </c>
      <c r="C214" s="82" t="s">
        <v>1916</v>
      </c>
      <c r="D214" s="82" t="s">
        <v>1917</v>
      </c>
      <c r="E214" s="82" t="s">
        <v>2163</v>
      </c>
      <c r="F214" s="82" t="s">
        <v>1916</v>
      </c>
      <c r="G214" s="82" t="s">
        <v>2182</v>
      </c>
      <c r="H214" s="82" t="s">
        <v>2165</v>
      </c>
      <c r="I214" s="82" t="s">
        <v>24</v>
      </c>
      <c r="J214" s="82" t="s">
        <v>2171</v>
      </c>
      <c r="K214" s="82" t="s">
        <v>2167</v>
      </c>
      <c r="L214" s="82" t="s">
        <v>2182</v>
      </c>
      <c r="M214" s="82" t="s">
        <v>2183</v>
      </c>
      <c r="N214" s="82" t="s">
        <v>1946</v>
      </c>
      <c r="O214" s="82" t="s">
        <v>2173</v>
      </c>
    </row>
    <row r="215" spans="1:15" ht="15.75" hidden="1" x14ac:dyDescent="0.25">
      <c r="A215" t="str">
        <f t="shared" si="3"/>
        <v>ALR_COMUNICAZIONE_PORTA_2-Allarme comunicazione porta 2</v>
      </c>
      <c r="C215" s="82" t="s">
        <v>1918</v>
      </c>
      <c r="D215" s="82" t="s">
        <v>1919</v>
      </c>
      <c r="E215" s="82" t="s">
        <v>2163</v>
      </c>
      <c r="F215" s="82" t="s">
        <v>1918</v>
      </c>
      <c r="G215" s="82" t="s">
        <v>2182</v>
      </c>
      <c r="H215" s="82" t="s">
        <v>2165</v>
      </c>
      <c r="I215" s="82" t="s">
        <v>24</v>
      </c>
      <c r="J215" s="82" t="s">
        <v>2171</v>
      </c>
      <c r="K215" s="82" t="s">
        <v>2167</v>
      </c>
      <c r="L215" s="82" t="s">
        <v>2182</v>
      </c>
      <c r="M215" s="82" t="s">
        <v>2183</v>
      </c>
      <c r="N215" s="82" t="s">
        <v>1946</v>
      </c>
      <c r="O215" s="82" t="s">
        <v>2173</v>
      </c>
    </row>
    <row r="216" spans="1:15" ht="15.75" hidden="1" x14ac:dyDescent="0.25">
      <c r="A216" t="str">
        <f t="shared" si="3"/>
        <v>ALR_COMUNICAZIONE_PORTA_3-Allarme comunicazione porta 3</v>
      </c>
      <c r="C216" s="82" t="s">
        <v>1920</v>
      </c>
      <c r="D216" s="82" t="s">
        <v>1921</v>
      </c>
      <c r="E216" s="82" t="s">
        <v>2163</v>
      </c>
      <c r="F216" s="82" t="s">
        <v>1920</v>
      </c>
      <c r="G216" s="82" t="s">
        <v>2182</v>
      </c>
      <c r="H216" s="82" t="s">
        <v>2165</v>
      </c>
      <c r="I216" s="82" t="s">
        <v>24</v>
      </c>
      <c r="J216" s="82" t="s">
        <v>2171</v>
      </c>
      <c r="K216" s="82" t="s">
        <v>2167</v>
      </c>
      <c r="L216" s="82" t="s">
        <v>2182</v>
      </c>
      <c r="M216" s="82" t="s">
        <v>2183</v>
      </c>
      <c r="N216" s="82" t="s">
        <v>1946</v>
      </c>
      <c r="O216" s="82" t="s">
        <v>2173</v>
      </c>
    </row>
    <row r="217" spans="1:15" ht="15.75" hidden="1" x14ac:dyDescent="0.25">
      <c r="A217" t="str">
        <f t="shared" si="3"/>
        <v>ALR_COMUNICAZIONE_SEMPLICE-Allarme comunicazione semplice</v>
      </c>
      <c r="C217" s="82" t="s">
        <v>1227</v>
      </c>
      <c r="D217" s="82" t="s">
        <v>1228</v>
      </c>
      <c r="E217" s="82" t="s">
        <v>2163</v>
      </c>
      <c r="F217" s="82" t="s">
        <v>1227</v>
      </c>
      <c r="G217" s="82" t="s">
        <v>1946</v>
      </c>
      <c r="H217" s="82" t="s">
        <v>2165</v>
      </c>
      <c r="I217" s="82" t="s">
        <v>24</v>
      </c>
      <c r="J217" s="82" t="s">
        <v>2171</v>
      </c>
      <c r="K217" s="82" t="s">
        <v>2167</v>
      </c>
      <c r="L217" s="82" t="s">
        <v>1946</v>
      </c>
      <c r="M217" s="82" t="s">
        <v>2090</v>
      </c>
      <c r="N217" s="82" t="s">
        <v>1946</v>
      </c>
      <c r="O217" s="82" t="s">
        <v>2173</v>
      </c>
    </row>
    <row r="218" spans="1:15" ht="15.75" hidden="1" x14ac:dyDescent="0.25">
      <c r="A218" t="str">
        <f t="shared" si="3"/>
        <v>ALR_COMUNICAZIONE_SISTEMA-Allarme comunicazione sistema</v>
      </c>
      <c r="C218" s="82" t="s">
        <v>1229</v>
      </c>
      <c r="D218" s="82" t="s">
        <v>1230</v>
      </c>
      <c r="E218" s="82" t="s">
        <v>2163</v>
      </c>
      <c r="F218" s="82" t="s">
        <v>1229</v>
      </c>
      <c r="G218" s="82" t="s">
        <v>1946</v>
      </c>
      <c r="H218" s="82" t="s">
        <v>2165</v>
      </c>
      <c r="I218" s="82" t="s">
        <v>24</v>
      </c>
      <c r="J218" s="82" t="s">
        <v>2171</v>
      </c>
      <c r="K218" s="82" t="s">
        <v>2167</v>
      </c>
      <c r="L218" s="82" t="s">
        <v>1946</v>
      </c>
      <c r="M218" s="82" t="s">
        <v>2183</v>
      </c>
      <c r="N218" s="82" t="s">
        <v>1946</v>
      </c>
      <c r="O218" s="82" t="s">
        <v>2173</v>
      </c>
    </row>
    <row r="219" spans="1:15" ht="15.75" hidden="1" x14ac:dyDescent="0.25">
      <c r="A219" t="str">
        <f t="shared" si="3"/>
        <v>ALR_COMUNICAZIONE_VERSO_ALTRA_CABINA-Allarme comunicazione verso altra cabina</v>
      </c>
      <c r="C219" s="82" t="s">
        <v>2275</v>
      </c>
      <c r="D219" s="82" t="s">
        <v>2276</v>
      </c>
      <c r="E219" s="82" t="s">
        <v>2163</v>
      </c>
      <c r="F219" s="82" t="s">
        <v>2275</v>
      </c>
      <c r="G219" s="82" t="s">
        <v>1946</v>
      </c>
      <c r="H219" s="82" t="s">
        <v>2165</v>
      </c>
      <c r="I219" s="82" t="s">
        <v>24</v>
      </c>
      <c r="J219" s="82" t="s">
        <v>2171</v>
      </c>
      <c r="K219" s="82" t="s">
        <v>2167</v>
      </c>
      <c r="L219" s="82" t="s">
        <v>1946</v>
      </c>
      <c r="M219" s="82" t="s">
        <v>2090</v>
      </c>
      <c r="N219" s="82" t="s">
        <v>1946</v>
      </c>
      <c r="O219" s="82" t="s">
        <v>2173</v>
      </c>
    </row>
    <row r="220" spans="1:15" ht="15.75" hidden="1" x14ac:dyDescent="0.25">
      <c r="A220" t="str">
        <f t="shared" si="3"/>
        <v>ALR_COMUNICAZIONE_VERSO_CE_NORD-Allarme comunicazione dispositivo verso cabina nord</v>
      </c>
      <c r="C220" s="82" t="s">
        <v>1231</v>
      </c>
      <c r="D220" s="82" t="s">
        <v>1232</v>
      </c>
      <c r="E220" s="82" t="s">
        <v>2163</v>
      </c>
      <c r="F220" s="82" t="s">
        <v>1231</v>
      </c>
      <c r="G220" s="82" t="s">
        <v>1946</v>
      </c>
      <c r="H220" s="82" t="s">
        <v>2165</v>
      </c>
      <c r="I220" s="82" t="s">
        <v>24</v>
      </c>
      <c r="J220" s="82" t="s">
        <v>2171</v>
      </c>
      <c r="K220" s="82" t="s">
        <v>2167</v>
      </c>
      <c r="L220" s="82" t="s">
        <v>1946</v>
      </c>
      <c r="M220" s="82" t="s">
        <v>2090</v>
      </c>
      <c r="N220" s="82" t="s">
        <v>1946</v>
      </c>
      <c r="O220" s="82" t="s">
        <v>2173</v>
      </c>
    </row>
    <row r="221" spans="1:15" ht="15.75" hidden="1" x14ac:dyDescent="0.25">
      <c r="A221" t="str">
        <f t="shared" si="3"/>
        <v>ALR_COMUNICAZIONE_VERSO_CE_SUD-Allarme comunicazione dispositivo verso cabina sud</v>
      </c>
      <c r="C221" s="82" t="s">
        <v>1233</v>
      </c>
      <c r="D221" s="82" t="s">
        <v>1234</v>
      </c>
      <c r="E221" s="82" t="s">
        <v>2163</v>
      </c>
      <c r="F221" s="82" t="s">
        <v>1233</v>
      </c>
      <c r="G221" s="82" t="s">
        <v>1946</v>
      </c>
      <c r="H221" s="82" t="s">
        <v>2165</v>
      </c>
      <c r="I221" s="82" t="s">
        <v>24</v>
      </c>
      <c r="J221" s="82" t="s">
        <v>2171</v>
      </c>
      <c r="K221" s="82" t="s">
        <v>2167</v>
      </c>
      <c r="L221" s="82" t="s">
        <v>1946</v>
      </c>
      <c r="M221" s="82" t="s">
        <v>2090</v>
      </c>
      <c r="N221" s="82" t="s">
        <v>1946</v>
      </c>
      <c r="O221" s="82" t="s">
        <v>2173</v>
      </c>
    </row>
    <row r="222" spans="1:15" ht="15.75" hidden="1" x14ac:dyDescent="0.25">
      <c r="A222" t="str">
        <f t="shared" si="3"/>
        <v>ALR_COMUNICAZIONE_VERSO_PLC_ILL-Allarme comunicazione verso PLC ill</v>
      </c>
      <c r="C222" s="82" t="s">
        <v>2277</v>
      </c>
      <c r="D222" s="82" t="s">
        <v>2278</v>
      </c>
      <c r="E222" s="82" t="s">
        <v>2163</v>
      </c>
      <c r="F222" s="82" t="s">
        <v>2277</v>
      </c>
      <c r="G222" s="82" t="s">
        <v>1946</v>
      </c>
      <c r="H222" s="82" t="s">
        <v>2165</v>
      </c>
      <c r="I222" s="82" t="s">
        <v>24</v>
      </c>
      <c r="J222" s="82" t="s">
        <v>2171</v>
      </c>
      <c r="K222" s="82" t="s">
        <v>2167</v>
      </c>
      <c r="L222" s="82" t="s">
        <v>1946</v>
      </c>
      <c r="M222" s="82" t="s">
        <v>2090</v>
      </c>
      <c r="N222" s="82" t="s">
        <v>1946</v>
      </c>
      <c r="O222" s="82" t="s">
        <v>2173</v>
      </c>
    </row>
    <row r="223" spans="1:15" ht="15.75" hidden="1" x14ac:dyDescent="0.25">
      <c r="A223" t="str">
        <f t="shared" si="3"/>
        <v>ALR_COMUNICAZIONE_VERSO_PLC_ILL_ALTRA_CABINA-Allarme comunicazione verso PLC ill altra cabina</v>
      </c>
      <c r="C223" s="82" t="s">
        <v>2279</v>
      </c>
      <c r="D223" s="82" t="s">
        <v>2280</v>
      </c>
      <c r="E223" s="82" t="s">
        <v>2163</v>
      </c>
      <c r="F223" s="82" t="s">
        <v>2279</v>
      </c>
      <c r="G223" s="82" t="s">
        <v>1946</v>
      </c>
      <c r="H223" s="82" t="s">
        <v>2165</v>
      </c>
      <c r="I223" s="82" t="s">
        <v>24</v>
      </c>
      <c r="J223" s="82" t="s">
        <v>2171</v>
      </c>
      <c r="K223" s="82" t="s">
        <v>2167</v>
      </c>
      <c r="L223" s="82" t="s">
        <v>1946</v>
      </c>
      <c r="M223" s="82" t="s">
        <v>2090</v>
      </c>
      <c r="N223" s="82" t="s">
        <v>1946</v>
      </c>
      <c r="O223" s="82" t="s">
        <v>2173</v>
      </c>
    </row>
    <row r="224" spans="1:15" ht="15.75" hidden="1" x14ac:dyDescent="0.25">
      <c r="A224" t="str">
        <f t="shared" si="3"/>
        <v>ALR_CONDIZIONE_DA_FIBROLASER_ATTIVA-Allarme condizione da fibrolaser attiva</v>
      </c>
      <c r="C224" s="82" t="s">
        <v>2281</v>
      </c>
      <c r="D224" s="82" t="s">
        <v>2282</v>
      </c>
      <c r="E224" s="82" t="s">
        <v>2163</v>
      </c>
      <c r="F224" s="82" t="s">
        <v>2281</v>
      </c>
      <c r="G224" s="82" t="s">
        <v>1946</v>
      </c>
      <c r="H224" s="82" t="s">
        <v>2165</v>
      </c>
      <c r="I224" s="82" t="s">
        <v>33</v>
      </c>
      <c r="J224" s="82" t="s">
        <v>2174</v>
      </c>
      <c r="K224" s="82" t="s">
        <v>2173</v>
      </c>
      <c r="L224" s="82" t="s">
        <v>1946</v>
      </c>
      <c r="M224" s="82" t="s">
        <v>2090</v>
      </c>
      <c r="N224" s="82" t="s">
        <v>1946</v>
      </c>
      <c r="O224" s="82" t="s">
        <v>2173</v>
      </c>
    </row>
    <row r="225" spans="1:15" ht="15.75" hidden="1" x14ac:dyDescent="0.25">
      <c r="A225" t="str">
        <f t="shared" si="3"/>
        <v>ALR_CONDIZIONE_DA_FIBROLASER_E_SENSORI_ARIA_ATTIVA-Allarme condizione da fibrolaser e sensori aria attiva</v>
      </c>
      <c r="C225" s="82" t="s">
        <v>2283</v>
      </c>
      <c r="D225" s="82" t="s">
        <v>2284</v>
      </c>
      <c r="E225" s="82" t="s">
        <v>2163</v>
      </c>
      <c r="F225" s="82" t="s">
        <v>2283</v>
      </c>
      <c r="G225" s="82" t="s">
        <v>1946</v>
      </c>
      <c r="H225" s="82" t="s">
        <v>2165</v>
      </c>
      <c r="I225" s="82" t="s">
        <v>33</v>
      </c>
      <c r="J225" s="82" t="s">
        <v>2174</v>
      </c>
      <c r="K225" s="82" t="s">
        <v>2173</v>
      </c>
      <c r="L225" s="82" t="s">
        <v>1946</v>
      </c>
      <c r="M225" s="82" t="s">
        <v>2090</v>
      </c>
      <c r="N225" s="82" t="s">
        <v>1946</v>
      </c>
      <c r="O225" s="82" t="s">
        <v>2173</v>
      </c>
    </row>
    <row r="226" spans="1:15" ht="15.75" hidden="1" x14ac:dyDescent="0.25">
      <c r="A226" t="str">
        <f t="shared" si="3"/>
        <v>ALR_CONDIZIONE_DA_FIBROLASER_O_SENSORI_ARIA_ATTIVA-Allarme condizione da fibrolaser o sensori aria attiva</v>
      </c>
      <c r="C226" s="82" t="s">
        <v>2285</v>
      </c>
      <c r="D226" s="82" t="s">
        <v>2286</v>
      </c>
      <c r="E226" s="82" t="s">
        <v>2163</v>
      </c>
      <c r="F226" s="82" t="s">
        <v>2285</v>
      </c>
      <c r="G226" s="82" t="s">
        <v>1946</v>
      </c>
      <c r="H226" s="82" t="s">
        <v>2165</v>
      </c>
      <c r="I226" s="82" t="s">
        <v>33</v>
      </c>
      <c r="J226" s="82" t="s">
        <v>2174</v>
      </c>
      <c r="K226" s="82" t="s">
        <v>2173</v>
      </c>
      <c r="L226" s="82" t="s">
        <v>1946</v>
      </c>
      <c r="M226" s="82" t="s">
        <v>2090</v>
      </c>
      <c r="N226" s="82" t="s">
        <v>1946</v>
      </c>
      <c r="O226" s="82" t="s">
        <v>2173</v>
      </c>
    </row>
    <row r="227" spans="1:15" ht="15.75" hidden="1" x14ac:dyDescent="0.25">
      <c r="A227" t="str">
        <f t="shared" si="3"/>
        <v>ALR_CONDIZIONE_DA_SENSORI_ARIA_ATTIVA-Allarme condizione da sensori aria attiva</v>
      </c>
      <c r="C227" s="82" t="s">
        <v>2287</v>
      </c>
      <c r="D227" s="82" t="s">
        <v>2288</v>
      </c>
      <c r="E227" s="82" t="s">
        <v>2163</v>
      </c>
      <c r="F227" s="82" t="s">
        <v>2287</v>
      </c>
      <c r="G227" s="82" t="s">
        <v>1946</v>
      </c>
      <c r="H227" s="82" t="s">
        <v>2165</v>
      </c>
      <c r="I227" s="82" t="s">
        <v>33</v>
      </c>
      <c r="J227" s="82" t="s">
        <v>2174</v>
      </c>
      <c r="K227" s="82" t="s">
        <v>2173</v>
      </c>
      <c r="L227" s="82" t="s">
        <v>1946</v>
      </c>
      <c r="M227" s="82" t="s">
        <v>2090</v>
      </c>
      <c r="N227" s="82" t="s">
        <v>1946</v>
      </c>
      <c r="O227" s="82" t="s">
        <v>2173</v>
      </c>
    </row>
    <row r="228" spans="1:15" ht="15.75" hidden="1" x14ac:dyDescent="0.25">
      <c r="A228" t="str">
        <f t="shared" si="3"/>
        <v>ALR_CONFIGURATA-Allarme configurazione mancante</v>
      </c>
      <c r="C228" s="82" t="s">
        <v>261</v>
      </c>
      <c r="D228" s="82" t="s">
        <v>262</v>
      </c>
      <c r="E228" s="82" t="s">
        <v>2163</v>
      </c>
      <c r="F228" s="82" t="s">
        <v>261</v>
      </c>
      <c r="G228" s="82" t="s">
        <v>1946</v>
      </c>
      <c r="H228" s="82" t="s">
        <v>2165</v>
      </c>
      <c r="I228" s="82" t="s">
        <v>24</v>
      </c>
      <c r="J228" s="82" t="s">
        <v>2171</v>
      </c>
      <c r="K228" s="82" t="s">
        <v>2167</v>
      </c>
      <c r="L228" s="82" t="s">
        <v>1946</v>
      </c>
      <c r="M228" s="82" t="s">
        <v>2090</v>
      </c>
      <c r="N228" s="82" t="s">
        <v>1946</v>
      </c>
      <c r="O228" s="82" t="s">
        <v>2173</v>
      </c>
    </row>
    <row r="229" spans="1:15" ht="15.75" hidden="1" x14ac:dyDescent="0.25">
      <c r="A229" t="str">
        <f t="shared" si="3"/>
        <v>ALR_CONFLITTO_IP-Allarme allarme conflitto IP</v>
      </c>
      <c r="C229" s="82" t="s">
        <v>1235</v>
      </c>
      <c r="D229" s="82" t="s">
        <v>1236</v>
      </c>
      <c r="E229" s="82" t="s">
        <v>2163</v>
      </c>
      <c r="F229" s="82" t="s">
        <v>1235</v>
      </c>
      <c r="G229" s="82" t="s">
        <v>1946</v>
      </c>
      <c r="H229" s="82" t="s">
        <v>2165</v>
      </c>
      <c r="I229" s="82" t="s">
        <v>24</v>
      </c>
      <c r="J229" s="82" t="s">
        <v>2171</v>
      </c>
      <c r="K229" s="82" t="s">
        <v>2167</v>
      </c>
      <c r="L229" s="82" t="s">
        <v>1946</v>
      </c>
      <c r="M229" s="82" t="s">
        <v>2090</v>
      </c>
      <c r="N229" s="82" t="s">
        <v>1946</v>
      </c>
      <c r="O229" s="82" t="s">
        <v>2173</v>
      </c>
    </row>
    <row r="230" spans="1:15" ht="15.75" hidden="1" x14ac:dyDescent="0.25">
      <c r="A230" t="str">
        <f t="shared" si="3"/>
        <v>ALR_CONGIUNTORE-Allarme congiuntore</v>
      </c>
      <c r="C230" s="82" t="s">
        <v>264</v>
      </c>
      <c r="D230" s="82" t="s">
        <v>265</v>
      </c>
      <c r="E230" s="82" t="s">
        <v>2163</v>
      </c>
      <c r="F230" s="82" t="s">
        <v>264</v>
      </c>
      <c r="G230" s="82" t="s">
        <v>1946</v>
      </c>
      <c r="H230" s="82" t="s">
        <v>2165</v>
      </c>
      <c r="I230" s="82" t="s">
        <v>24</v>
      </c>
      <c r="J230" s="82" t="s">
        <v>2171</v>
      </c>
      <c r="K230" s="82" t="s">
        <v>2167</v>
      </c>
      <c r="L230" s="82" t="s">
        <v>1946</v>
      </c>
      <c r="M230" s="82" t="s">
        <v>2090</v>
      </c>
      <c r="N230" s="82" t="s">
        <v>1946</v>
      </c>
      <c r="O230" s="82" t="s">
        <v>2173</v>
      </c>
    </row>
    <row r="231" spans="1:15" ht="15.75" hidden="1" x14ac:dyDescent="0.25">
      <c r="A231" t="str">
        <f t="shared" si="3"/>
        <v>ALR_CORRENTE_MAX-Allarme corrente massima Gruppo Elettrogeno</v>
      </c>
      <c r="C231" s="82" t="s">
        <v>267</v>
      </c>
      <c r="D231" s="82" t="s">
        <v>268</v>
      </c>
      <c r="E231" s="82" t="s">
        <v>2163</v>
      </c>
      <c r="F231" s="82" t="s">
        <v>267</v>
      </c>
      <c r="G231" s="82" t="s">
        <v>1946</v>
      </c>
      <c r="H231" s="82" t="s">
        <v>2165</v>
      </c>
      <c r="I231" s="82" t="s">
        <v>24</v>
      </c>
      <c r="J231" s="82" t="s">
        <v>2171</v>
      </c>
      <c r="K231" s="82" t="s">
        <v>2167</v>
      </c>
      <c r="L231" s="82" t="s">
        <v>1946</v>
      </c>
      <c r="M231" s="82" t="s">
        <v>2090</v>
      </c>
      <c r="N231" s="82" t="s">
        <v>1946</v>
      </c>
      <c r="O231" s="82" t="s">
        <v>2173</v>
      </c>
    </row>
    <row r="232" spans="1:15" ht="15.75" hidden="1" x14ac:dyDescent="0.25">
      <c r="A232" t="str">
        <f t="shared" si="3"/>
        <v>ALR_CORRENTE_MIN-Allarme corrente minima</v>
      </c>
      <c r="C232" s="82" t="s">
        <v>269</v>
      </c>
      <c r="D232" s="82" t="s">
        <v>270</v>
      </c>
      <c r="E232" s="82" t="s">
        <v>2163</v>
      </c>
      <c r="F232" s="82" t="s">
        <v>269</v>
      </c>
      <c r="G232" s="82" t="s">
        <v>1946</v>
      </c>
      <c r="H232" s="82" t="s">
        <v>2165</v>
      </c>
      <c r="I232" s="82" t="s">
        <v>24</v>
      </c>
      <c r="J232" s="82" t="s">
        <v>2171</v>
      </c>
      <c r="K232" s="82" t="s">
        <v>2167</v>
      </c>
      <c r="L232" s="82" t="s">
        <v>1946</v>
      </c>
      <c r="M232" s="82" t="s">
        <v>2090</v>
      </c>
      <c r="N232" s="82" t="s">
        <v>1946</v>
      </c>
      <c r="O232" s="82" t="s">
        <v>2173</v>
      </c>
    </row>
    <row r="233" spans="1:15" ht="15.75" hidden="1" x14ac:dyDescent="0.25">
      <c r="A233" t="str">
        <f t="shared" si="3"/>
        <v>ALR_CORSIA_LENTA_CONFIGURATA-Allarme configurata corsia lenta</v>
      </c>
      <c r="C233" s="82" t="s">
        <v>2289</v>
      </c>
      <c r="D233" s="82" t="s">
        <v>2290</v>
      </c>
      <c r="E233" s="82" t="s">
        <v>2163</v>
      </c>
      <c r="F233" s="82" t="s">
        <v>2289</v>
      </c>
      <c r="G233" s="82" t="s">
        <v>1946</v>
      </c>
      <c r="H233" s="82" t="s">
        <v>2165</v>
      </c>
      <c r="I233" s="82" t="s">
        <v>24</v>
      </c>
      <c r="J233" s="82" t="s">
        <v>2171</v>
      </c>
      <c r="K233" s="82" t="s">
        <v>2167</v>
      </c>
      <c r="L233" s="82" t="s">
        <v>1946</v>
      </c>
      <c r="M233" s="82" t="s">
        <v>2090</v>
      </c>
      <c r="N233" s="82" t="s">
        <v>1946</v>
      </c>
      <c r="O233" s="82" t="s">
        <v>2173</v>
      </c>
    </row>
    <row r="234" spans="1:15" ht="15.75" hidden="1" x14ac:dyDescent="0.25">
      <c r="A234" t="str">
        <f t="shared" si="3"/>
        <v>ALR_CORSIA_NORMALE_CONFIGURATA-Allarme configurata corsia normale</v>
      </c>
      <c r="C234" s="82" t="s">
        <v>2291</v>
      </c>
      <c r="D234" s="82" t="s">
        <v>2292</v>
      </c>
      <c r="E234" s="82" t="s">
        <v>2163</v>
      </c>
      <c r="F234" s="82" t="s">
        <v>2291</v>
      </c>
      <c r="G234" s="82" t="s">
        <v>1946</v>
      </c>
      <c r="H234" s="82" t="s">
        <v>2165</v>
      </c>
      <c r="I234" s="82" t="s">
        <v>24</v>
      </c>
      <c r="J234" s="82" t="s">
        <v>2171</v>
      </c>
      <c r="K234" s="82" t="s">
        <v>2167</v>
      </c>
      <c r="L234" s="82" t="s">
        <v>1946</v>
      </c>
      <c r="M234" s="82" t="s">
        <v>2090</v>
      </c>
      <c r="N234" s="82" t="s">
        <v>1946</v>
      </c>
      <c r="O234" s="82" t="s">
        <v>2173</v>
      </c>
    </row>
    <row r="235" spans="1:15" ht="15.75" hidden="1" x14ac:dyDescent="0.25">
      <c r="A235" t="str">
        <f t="shared" si="3"/>
        <v>ALR_CORSIA_VELOCE_CONFIGURATA-Allarme configurata corsia veloce</v>
      </c>
      <c r="C235" s="82" t="s">
        <v>2293</v>
      </c>
      <c r="D235" s="82" t="s">
        <v>2294</v>
      </c>
      <c r="E235" s="82" t="s">
        <v>2163</v>
      </c>
      <c r="F235" s="82" t="s">
        <v>2293</v>
      </c>
      <c r="G235" s="82" t="s">
        <v>1946</v>
      </c>
      <c r="H235" s="82" t="s">
        <v>2165</v>
      </c>
      <c r="I235" s="82" t="s">
        <v>24</v>
      </c>
      <c r="J235" s="82" t="s">
        <v>2171</v>
      </c>
      <c r="K235" s="82" t="s">
        <v>2167</v>
      </c>
      <c r="L235" s="82" t="s">
        <v>1946</v>
      </c>
      <c r="M235" s="82" t="s">
        <v>2090</v>
      </c>
      <c r="N235" s="82" t="s">
        <v>1946</v>
      </c>
      <c r="O235" s="82" t="s">
        <v>2173</v>
      </c>
    </row>
    <row r="236" spans="1:15" ht="15.75" hidden="1" x14ac:dyDescent="0.25">
      <c r="A236" t="str">
        <f t="shared" si="3"/>
        <v>ALR_CORTOCIRCUITO-Allarme errore cortocircuito</v>
      </c>
      <c r="C236" s="82" t="s">
        <v>2295</v>
      </c>
      <c r="D236" s="82" t="s">
        <v>2296</v>
      </c>
      <c r="E236" s="82" t="s">
        <v>2163</v>
      </c>
      <c r="F236" s="82" t="s">
        <v>2295</v>
      </c>
      <c r="G236" s="82" t="s">
        <v>1946</v>
      </c>
      <c r="H236" s="82" t="s">
        <v>2165</v>
      </c>
      <c r="I236" s="82" t="s">
        <v>24</v>
      </c>
      <c r="J236" s="82" t="s">
        <v>2171</v>
      </c>
      <c r="K236" s="82" t="s">
        <v>2167</v>
      </c>
      <c r="L236" s="82" t="s">
        <v>1946</v>
      </c>
      <c r="M236" s="82" t="s">
        <v>2090</v>
      </c>
      <c r="N236" s="82" t="s">
        <v>1946</v>
      </c>
      <c r="O236" s="82" t="s">
        <v>2173</v>
      </c>
    </row>
    <row r="237" spans="1:15" ht="15.75" hidden="1" x14ac:dyDescent="0.25">
      <c r="A237" t="str">
        <f t="shared" si="3"/>
        <v>ALR_CO_DIR_NORD_CASO_A-Allarme CO caso A dir. nord</v>
      </c>
      <c r="C237" s="82" t="s">
        <v>214</v>
      </c>
      <c r="D237" s="82" t="s">
        <v>215</v>
      </c>
      <c r="E237" s="82" t="s">
        <v>2163</v>
      </c>
      <c r="F237" s="82" t="s">
        <v>214</v>
      </c>
      <c r="G237" s="82" t="s">
        <v>1946</v>
      </c>
      <c r="H237" s="82" t="s">
        <v>2165</v>
      </c>
      <c r="I237" s="82" t="s">
        <v>24</v>
      </c>
      <c r="J237" s="82" t="s">
        <v>2171</v>
      </c>
      <c r="K237" s="82" t="s">
        <v>2167</v>
      </c>
      <c r="L237" s="82" t="s">
        <v>1946</v>
      </c>
      <c r="M237" s="82" t="s">
        <v>2176</v>
      </c>
      <c r="N237" s="82" t="s">
        <v>2188</v>
      </c>
      <c r="O237" s="82" t="s">
        <v>2173</v>
      </c>
    </row>
    <row r="238" spans="1:15" ht="15.75" hidden="1" x14ac:dyDescent="0.25">
      <c r="A238" t="str">
        <f t="shared" si="3"/>
        <v>ALR_CO_DIR_NORD_CASO_B-Allarme CO caso B dir. nord</v>
      </c>
      <c r="C238" s="82" t="s">
        <v>216</v>
      </c>
      <c r="D238" s="82" t="s">
        <v>217</v>
      </c>
      <c r="E238" s="82" t="s">
        <v>2163</v>
      </c>
      <c r="F238" s="82" t="s">
        <v>216</v>
      </c>
      <c r="G238" s="82" t="s">
        <v>1946</v>
      </c>
      <c r="H238" s="82" t="s">
        <v>2165</v>
      </c>
      <c r="I238" s="82" t="s">
        <v>157</v>
      </c>
      <c r="J238" s="82" t="s">
        <v>2181</v>
      </c>
      <c r="K238" s="82" t="s">
        <v>2167</v>
      </c>
      <c r="L238" s="82" t="s">
        <v>1946</v>
      </c>
      <c r="M238" s="82" t="s">
        <v>2176</v>
      </c>
      <c r="N238" s="82" t="s">
        <v>2188</v>
      </c>
      <c r="O238" s="82" t="s">
        <v>2173</v>
      </c>
    </row>
    <row r="239" spans="1:15" ht="15.75" hidden="1" x14ac:dyDescent="0.25">
      <c r="A239" t="str">
        <f t="shared" si="3"/>
        <v>ALR_CO_DIR_NORD_CASO_C-Allarme CO caso C dir. nord</v>
      </c>
      <c r="C239" s="82" t="s">
        <v>218</v>
      </c>
      <c r="D239" s="82" t="s">
        <v>219</v>
      </c>
      <c r="E239" s="82" t="s">
        <v>2163</v>
      </c>
      <c r="F239" s="82" t="s">
        <v>218</v>
      </c>
      <c r="G239" s="82" t="s">
        <v>1946</v>
      </c>
      <c r="H239" s="82" t="s">
        <v>2165</v>
      </c>
      <c r="I239" s="82" t="s">
        <v>45</v>
      </c>
      <c r="J239" s="82" t="s">
        <v>2178</v>
      </c>
      <c r="K239" s="82" t="s">
        <v>2173</v>
      </c>
      <c r="L239" s="82" t="s">
        <v>1946</v>
      </c>
      <c r="M239" s="82" t="s">
        <v>2176</v>
      </c>
      <c r="N239" s="82" t="s">
        <v>2180</v>
      </c>
      <c r="O239" s="82" t="s">
        <v>2173</v>
      </c>
    </row>
    <row r="240" spans="1:15" ht="15.75" hidden="1" x14ac:dyDescent="0.25">
      <c r="A240" t="str">
        <f t="shared" si="3"/>
        <v>ALR_CO_DIR_SUD_CASO_A-Allarme CO caso A dir. sud</v>
      </c>
      <c r="C240" s="82" t="s">
        <v>220</v>
      </c>
      <c r="D240" s="82" t="s">
        <v>221</v>
      </c>
      <c r="E240" s="82" t="s">
        <v>2163</v>
      </c>
      <c r="F240" s="82" t="s">
        <v>220</v>
      </c>
      <c r="G240" s="82" t="s">
        <v>1946</v>
      </c>
      <c r="H240" s="82" t="s">
        <v>2165</v>
      </c>
      <c r="I240" s="82" t="s">
        <v>24</v>
      </c>
      <c r="J240" s="82" t="s">
        <v>2171</v>
      </c>
      <c r="K240" s="82" t="s">
        <v>2167</v>
      </c>
      <c r="L240" s="82" t="s">
        <v>1946</v>
      </c>
      <c r="M240" s="82" t="s">
        <v>2176</v>
      </c>
      <c r="N240" s="82" t="s">
        <v>2188</v>
      </c>
      <c r="O240" s="82" t="s">
        <v>2173</v>
      </c>
    </row>
    <row r="241" spans="1:15" ht="15.75" hidden="1" x14ac:dyDescent="0.25">
      <c r="A241" t="str">
        <f t="shared" si="3"/>
        <v>ALR_CO_DIR_SUD_CASO_B-Allarme CO caso B dir. sud</v>
      </c>
      <c r="C241" s="82" t="s">
        <v>222</v>
      </c>
      <c r="D241" s="82" t="s">
        <v>223</v>
      </c>
      <c r="E241" s="82" t="s">
        <v>2163</v>
      </c>
      <c r="F241" s="82" t="s">
        <v>222</v>
      </c>
      <c r="G241" s="82" t="s">
        <v>1946</v>
      </c>
      <c r="H241" s="82" t="s">
        <v>2165</v>
      </c>
      <c r="I241" s="82" t="s">
        <v>157</v>
      </c>
      <c r="J241" s="82" t="s">
        <v>2181</v>
      </c>
      <c r="K241" s="82" t="s">
        <v>2167</v>
      </c>
      <c r="L241" s="82" t="s">
        <v>1946</v>
      </c>
      <c r="M241" s="82" t="s">
        <v>2176</v>
      </c>
      <c r="N241" s="82" t="s">
        <v>2188</v>
      </c>
      <c r="O241" s="82" t="s">
        <v>2173</v>
      </c>
    </row>
    <row r="242" spans="1:15" ht="15.75" hidden="1" x14ac:dyDescent="0.25">
      <c r="A242" t="str">
        <f t="shared" si="3"/>
        <v>ALR_CO_DIR_SUD_CASO_C-Allarme CO caso C dir. sud</v>
      </c>
      <c r="C242" s="82" t="s">
        <v>224</v>
      </c>
      <c r="D242" s="82" t="s">
        <v>225</v>
      </c>
      <c r="E242" s="82" t="s">
        <v>2163</v>
      </c>
      <c r="F242" s="82" t="s">
        <v>224</v>
      </c>
      <c r="G242" s="82" t="s">
        <v>1946</v>
      </c>
      <c r="H242" s="82" t="s">
        <v>2165</v>
      </c>
      <c r="I242" s="82" t="s">
        <v>45</v>
      </c>
      <c r="J242" s="82" t="s">
        <v>2178</v>
      </c>
      <c r="K242" s="82" t="s">
        <v>2173</v>
      </c>
      <c r="L242" s="82" t="s">
        <v>1946</v>
      </c>
      <c r="M242" s="82" t="s">
        <v>2176</v>
      </c>
      <c r="N242" s="82" t="s">
        <v>2180</v>
      </c>
      <c r="O242" s="82" t="s">
        <v>2173</v>
      </c>
    </row>
    <row r="243" spans="1:15" ht="15.75" hidden="1" x14ac:dyDescent="0.25">
      <c r="A243" t="str">
        <f t="shared" si="3"/>
        <v>ALR_CO_OP_DIR_NORD_CASO_A-Allarme CO-OP caso A dir. nord</v>
      </c>
      <c r="C243" s="82" t="s">
        <v>226</v>
      </c>
      <c r="D243" s="82" t="s">
        <v>227</v>
      </c>
      <c r="E243" s="82" t="s">
        <v>2163</v>
      </c>
      <c r="F243" s="82" t="s">
        <v>226</v>
      </c>
      <c r="G243" s="82" t="s">
        <v>1946</v>
      </c>
      <c r="H243" s="82" t="s">
        <v>2165</v>
      </c>
      <c r="I243" s="82" t="s">
        <v>24</v>
      </c>
      <c r="J243" s="82" t="s">
        <v>2171</v>
      </c>
      <c r="K243" s="82" t="s">
        <v>2167</v>
      </c>
      <c r="L243" s="82" t="s">
        <v>1946</v>
      </c>
      <c r="M243" s="82" t="s">
        <v>2176</v>
      </c>
      <c r="N243" s="82" t="s">
        <v>2188</v>
      </c>
      <c r="O243" s="82" t="s">
        <v>2173</v>
      </c>
    </row>
    <row r="244" spans="1:15" ht="15.75" hidden="1" x14ac:dyDescent="0.25">
      <c r="A244" t="str">
        <f t="shared" si="3"/>
        <v>ALR_CO_OP_DIR_NORD_CASO_B-Allarme CO-OP caso B dir. nord</v>
      </c>
      <c r="C244" s="82" t="s">
        <v>229</v>
      </c>
      <c r="D244" s="82" t="s">
        <v>230</v>
      </c>
      <c r="E244" s="82" t="s">
        <v>2163</v>
      </c>
      <c r="F244" s="82" t="s">
        <v>229</v>
      </c>
      <c r="G244" s="82" t="s">
        <v>1946</v>
      </c>
      <c r="H244" s="82" t="s">
        <v>2165</v>
      </c>
      <c r="I244" s="82" t="s">
        <v>157</v>
      </c>
      <c r="J244" s="82" t="s">
        <v>2181</v>
      </c>
      <c r="K244" s="82" t="s">
        <v>2167</v>
      </c>
      <c r="L244" s="82" t="s">
        <v>1946</v>
      </c>
      <c r="M244" s="82" t="s">
        <v>2176</v>
      </c>
      <c r="N244" s="82" t="s">
        <v>2188</v>
      </c>
      <c r="O244" s="82" t="s">
        <v>2173</v>
      </c>
    </row>
    <row r="245" spans="1:15" ht="15.75" hidden="1" x14ac:dyDescent="0.25">
      <c r="A245" t="str">
        <f t="shared" si="3"/>
        <v>ALR_CO_OP_DIR_NORD_CASO_C-Allarme CO-OP caso C dir. nord</v>
      </c>
      <c r="C245" s="82" t="s">
        <v>231</v>
      </c>
      <c r="D245" s="82" t="s">
        <v>232</v>
      </c>
      <c r="E245" s="82" t="s">
        <v>2163</v>
      </c>
      <c r="F245" s="82" t="s">
        <v>231</v>
      </c>
      <c r="G245" s="82" t="s">
        <v>1946</v>
      </c>
      <c r="H245" s="82" t="s">
        <v>2165</v>
      </c>
      <c r="I245" s="82" t="s">
        <v>45</v>
      </c>
      <c r="J245" s="82" t="s">
        <v>2178</v>
      </c>
      <c r="K245" s="82" t="s">
        <v>2173</v>
      </c>
      <c r="L245" s="82" t="s">
        <v>1946</v>
      </c>
      <c r="M245" s="82" t="s">
        <v>2176</v>
      </c>
      <c r="N245" s="82" t="s">
        <v>2180</v>
      </c>
      <c r="O245" s="82" t="s">
        <v>2173</v>
      </c>
    </row>
    <row r="246" spans="1:15" ht="15.75" hidden="1" x14ac:dyDescent="0.25">
      <c r="A246" t="str">
        <f t="shared" si="3"/>
        <v>ALR_CO_OP_DIR_SUD_CASO_A-Allarme CO-OP caso A dir. sud</v>
      </c>
      <c r="C246" s="82" t="s">
        <v>233</v>
      </c>
      <c r="D246" s="82" t="s">
        <v>234</v>
      </c>
      <c r="E246" s="82" t="s">
        <v>2163</v>
      </c>
      <c r="F246" s="82" t="s">
        <v>233</v>
      </c>
      <c r="G246" s="82" t="s">
        <v>1946</v>
      </c>
      <c r="H246" s="82" t="s">
        <v>2165</v>
      </c>
      <c r="I246" s="82" t="s">
        <v>24</v>
      </c>
      <c r="J246" s="82" t="s">
        <v>2171</v>
      </c>
      <c r="K246" s="82" t="s">
        <v>2167</v>
      </c>
      <c r="L246" s="82" t="s">
        <v>1946</v>
      </c>
      <c r="M246" s="82" t="s">
        <v>2176</v>
      </c>
      <c r="N246" s="82" t="s">
        <v>2188</v>
      </c>
      <c r="O246" s="82" t="s">
        <v>2173</v>
      </c>
    </row>
    <row r="247" spans="1:15" ht="15.75" hidden="1" x14ac:dyDescent="0.25">
      <c r="A247" t="str">
        <f t="shared" si="3"/>
        <v>ALR_CO_OP_DIR_SUD_CASO_B-Allarme CO-OP caso B dir. sud</v>
      </c>
      <c r="C247" s="82" t="s">
        <v>235</v>
      </c>
      <c r="D247" s="82" t="s">
        <v>236</v>
      </c>
      <c r="E247" s="82" t="s">
        <v>2163</v>
      </c>
      <c r="F247" s="82" t="s">
        <v>235</v>
      </c>
      <c r="G247" s="82" t="s">
        <v>1946</v>
      </c>
      <c r="H247" s="82" t="s">
        <v>2165</v>
      </c>
      <c r="I247" s="82" t="s">
        <v>157</v>
      </c>
      <c r="J247" s="82" t="s">
        <v>2181</v>
      </c>
      <c r="K247" s="82" t="s">
        <v>2167</v>
      </c>
      <c r="L247" s="82" t="s">
        <v>1946</v>
      </c>
      <c r="M247" s="82" t="s">
        <v>2176</v>
      </c>
      <c r="N247" s="82" t="s">
        <v>2188</v>
      </c>
      <c r="O247" s="82" t="s">
        <v>2173</v>
      </c>
    </row>
    <row r="248" spans="1:15" ht="15.75" hidden="1" x14ac:dyDescent="0.25">
      <c r="A248" t="str">
        <f t="shared" si="3"/>
        <v>ALR_CO_OP_DIR_SUD_CASO_C-Allarme CO-OP caso C dir. sud</v>
      </c>
      <c r="C248" s="82" t="s">
        <v>237</v>
      </c>
      <c r="D248" s="82" t="s">
        <v>238</v>
      </c>
      <c r="E248" s="82" t="s">
        <v>2163</v>
      </c>
      <c r="F248" s="82" t="s">
        <v>237</v>
      </c>
      <c r="G248" s="82" t="s">
        <v>1946</v>
      </c>
      <c r="H248" s="82" t="s">
        <v>2165</v>
      </c>
      <c r="I248" s="82" t="s">
        <v>45</v>
      </c>
      <c r="J248" s="82" t="s">
        <v>2178</v>
      </c>
      <c r="K248" s="82" t="s">
        <v>2173</v>
      </c>
      <c r="L248" s="82" t="s">
        <v>1946</v>
      </c>
      <c r="M248" s="82" t="s">
        <v>2176</v>
      </c>
      <c r="N248" s="82" t="s">
        <v>2180</v>
      </c>
      <c r="O248" s="82" t="s">
        <v>2173</v>
      </c>
    </row>
    <row r="249" spans="1:15" ht="15.75" hidden="1" x14ac:dyDescent="0.25">
      <c r="A249" t="str">
        <f t="shared" si="3"/>
        <v>ALR_CPU-Allarme CPU</v>
      </c>
      <c r="C249" s="82" t="s">
        <v>1874</v>
      </c>
      <c r="D249" s="82" t="s">
        <v>1875</v>
      </c>
      <c r="E249" s="82" t="s">
        <v>2163</v>
      </c>
      <c r="F249" s="82" t="s">
        <v>1874</v>
      </c>
      <c r="G249" s="82" t="s">
        <v>1946</v>
      </c>
      <c r="H249" s="82" t="s">
        <v>2165</v>
      </c>
      <c r="I249" s="82" t="s">
        <v>157</v>
      </c>
      <c r="J249" s="82" t="s">
        <v>2181</v>
      </c>
      <c r="K249" s="82" t="s">
        <v>2173</v>
      </c>
      <c r="L249" s="82" t="s">
        <v>1946</v>
      </c>
      <c r="M249" s="82" t="s">
        <v>2183</v>
      </c>
      <c r="N249" s="82" t="s">
        <v>1946</v>
      </c>
      <c r="O249" s="82" t="s">
        <v>2173</v>
      </c>
    </row>
    <row r="250" spans="1:15" ht="15.75" hidden="1" x14ac:dyDescent="0.25">
      <c r="A250" t="str">
        <f t="shared" si="3"/>
        <v>ALR_CUMULATIVO-Allarme cumulativo serranda</v>
      </c>
      <c r="C250" s="82" t="s">
        <v>272</v>
      </c>
      <c r="D250" s="82" t="s">
        <v>273</v>
      </c>
      <c r="E250" s="82" t="s">
        <v>2163</v>
      </c>
      <c r="F250" s="82" t="s">
        <v>272</v>
      </c>
      <c r="G250" s="82" t="s">
        <v>1946</v>
      </c>
      <c r="H250" s="82" t="s">
        <v>2165</v>
      </c>
      <c r="I250" s="82" t="s">
        <v>24</v>
      </c>
      <c r="J250" s="82" t="s">
        <v>2171</v>
      </c>
      <c r="K250" s="82" t="s">
        <v>2167</v>
      </c>
      <c r="L250" s="82" t="s">
        <v>1946</v>
      </c>
      <c r="M250" s="82" t="s">
        <v>2090</v>
      </c>
      <c r="N250" s="82" t="s">
        <v>1946</v>
      </c>
      <c r="O250" s="82" t="s">
        <v>2173</v>
      </c>
    </row>
    <row r="251" spans="1:15" ht="15.75" hidden="1" x14ac:dyDescent="0.25">
      <c r="A251" t="str">
        <f t="shared" si="3"/>
        <v>ALR_CUMULATIVO_CONTATTORE-Allarme cumulativo contattore</v>
      </c>
      <c r="C251" s="82" t="s">
        <v>1238</v>
      </c>
      <c r="D251" s="82" t="s">
        <v>1239</v>
      </c>
      <c r="E251" s="82" t="s">
        <v>2163</v>
      </c>
      <c r="F251" s="82" t="s">
        <v>1238</v>
      </c>
      <c r="G251" s="82" t="s">
        <v>1946</v>
      </c>
      <c r="H251" s="82" t="s">
        <v>2165</v>
      </c>
      <c r="I251" s="82" t="s">
        <v>24</v>
      </c>
      <c r="J251" s="82" t="s">
        <v>2171</v>
      </c>
      <c r="K251" s="82" t="s">
        <v>2167</v>
      </c>
      <c r="L251" s="82" t="s">
        <v>1946</v>
      </c>
      <c r="M251" s="82" t="s">
        <v>2090</v>
      </c>
      <c r="N251" s="82" t="s">
        <v>1946</v>
      </c>
      <c r="O251" s="82" t="s">
        <v>2173</v>
      </c>
    </row>
    <row r="252" spans="1:15" ht="15.75" hidden="1" x14ac:dyDescent="0.25">
      <c r="A252" t="str">
        <f t="shared" si="3"/>
        <v>ALR_CUMULATIVO_ELETTROVALVOLA-Allarme cumulativo elettrovalvola</v>
      </c>
      <c r="C252" s="82" t="s">
        <v>1240</v>
      </c>
      <c r="D252" s="82" t="s">
        <v>1241</v>
      </c>
      <c r="E252" s="82" t="s">
        <v>2163</v>
      </c>
      <c r="F252" s="82" t="s">
        <v>1240</v>
      </c>
      <c r="G252" s="82" t="s">
        <v>1946</v>
      </c>
      <c r="H252" s="82" t="s">
        <v>2165</v>
      </c>
      <c r="I252" s="82" t="s">
        <v>24</v>
      </c>
      <c r="J252" s="82" t="s">
        <v>2171</v>
      </c>
      <c r="K252" s="82" t="s">
        <v>2167</v>
      </c>
      <c r="L252" s="82" t="s">
        <v>1946</v>
      </c>
      <c r="M252" s="82" t="s">
        <v>2090</v>
      </c>
      <c r="N252" s="82" t="s">
        <v>1946</v>
      </c>
      <c r="O252" s="82" t="s">
        <v>2173</v>
      </c>
    </row>
    <row r="253" spans="1:15" ht="15.75" hidden="1" x14ac:dyDescent="0.25">
      <c r="A253" t="str">
        <f t="shared" si="3"/>
        <v>ALR_CUMULATIVO_EMERGENZA_DIR_NORD_1-Allarme emergenza bypass 1 dir. nord</v>
      </c>
      <c r="C253" s="82" t="s">
        <v>1243</v>
      </c>
      <c r="D253" s="82" t="s">
        <v>1244</v>
      </c>
      <c r="E253" s="82" t="s">
        <v>2163</v>
      </c>
      <c r="F253" s="82" t="s">
        <v>1243</v>
      </c>
      <c r="G253" s="82" t="s">
        <v>1946</v>
      </c>
      <c r="H253" s="82" t="s">
        <v>2165</v>
      </c>
      <c r="I253" s="82" t="s">
        <v>24</v>
      </c>
      <c r="J253" s="82" t="s">
        <v>2171</v>
      </c>
      <c r="K253" s="82" t="s">
        <v>2167</v>
      </c>
      <c r="L253" s="82" t="s">
        <v>1946</v>
      </c>
      <c r="M253" s="82" t="s">
        <v>2090</v>
      </c>
      <c r="N253" s="82" t="s">
        <v>1946</v>
      </c>
      <c r="O253" s="82" t="s">
        <v>2173</v>
      </c>
    </row>
    <row r="254" spans="1:15" ht="15.75" hidden="1" x14ac:dyDescent="0.25">
      <c r="A254" t="str">
        <f t="shared" si="3"/>
        <v>ALR_CUMULATIVO_EMERGENZA_DIR_NORD_2-Allarme emergenza bypass 2 dir. nord</v>
      </c>
      <c r="C254" s="82" t="s">
        <v>1246</v>
      </c>
      <c r="D254" s="82" t="s">
        <v>1247</v>
      </c>
      <c r="E254" s="82" t="s">
        <v>2163</v>
      </c>
      <c r="F254" s="82" t="s">
        <v>1246</v>
      </c>
      <c r="G254" s="82" t="s">
        <v>1946</v>
      </c>
      <c r="H254" s="82" t="s">
        <v>2165</v>
      </c>
      <c r="I254" s="82" t="s">
        <v>24</v>
      </c>
      <c r="J254" s="82" t="s">
        <v>2171</v>
      </c>
      <c r="K254" s="82" t="s">
        <v>2167</v>
      </c>
      <c r="L254" s="82" t="s">
        <v>1946</v>
      </c>
      <c r="M254" s="82" t="s">
        <v>2090</v>
      </c>
      <c r="N254" s="82" t="s">
        <v>1946</v>
      </c>
      <c r="O254" s="82" t="s">
        <v>2173</v>
      </c>
    </row>
    <row r="255" spans="1:15" ht="15.75" hidden="1" x14ac:dyDescent="0.25">
      <c r="A255" t="str">
        <f t="shared" si="3"/>
        <v>ALR_CUMULATIVO_EMERGENZA_DIR_NORD_3-Allarme emergenza bypass 3 dir. nord</v>
      </c>
      <c r="C255" s="82" t="s">
        <v>1248</v>
      </c>
      <c r="D255" s="82" t="s">
        <v>1249</v>
      </c>
      <c r="E255" s="82" t="s">
        <v>2163</v>
      </c>
      <c r="F255" s="82" t="s">
        <v>1248</v>
      </c>
      <c r="G255" s="82" t="s">
        <v>1946</v>
      </c>
      <c r="H255" s="82" t="s">
        <v>2165</v>
      </c>
      <c r="I255" s="82" t="s">
        <v>24</v>
      </c>
      <c r="J255" s="82" t="s">
        <v>2171</v>
      </c>
      <c r="K255" s="82" t="s">
        <v>2167</v>
      </c>
      <c r="L255" s="82" t="s">
        <v>1946</v>
      </c>
      <c r="M255" s="82" t="s">
        <v>2090</v>
      </c>
      <c r="N255" s="82" t="s">
        <v>1946</v>
      </c>
      <c r="O255" s="82" t="s">
        <v>2173</v>
      </c>
    </row>
    <row r="256" spans="1:15" ht="15.75" hidden="1" x14ac:dyDescent="0.25">
      <c r="A256" t="str">
        <f t="shared" si="3"/>
        <v>ALR_CUMULATIVO_EMERGENZA_DIR_SUD_1-Allarme emergenza bypass 1 dir. sud</v>
      </c>
      <c r="C256" s="82" t="s">
        <v>1250</v>
      </c>
      <c r="D256" s="82" t="s">
        <v>1251</v>
      </c>
      <c r="E256" s="82" t="s">
        <v>2163</v>
      </c>
      <c r="F256" s="82" t="s">
        <v>1250</v>
      </c>
      <c r="G256" s="82" t="s">
        <v>1946</v>
      </c>
      <c r="H256" s="82" t="s">
        <v>2165</v>
      </c>
      <c r="I256" s="82" t="s">
        <v>24</v>
      </c>
      <c r="J256" s="82" t="s">
        <v>2171</v>
      </c>
      <c r="K256" s="82" t="s">
        <v>2167</v>
      </c>
      <c r="L256" s="82" t="s">
        <v>1946</v>
      </c>
      <c r="M256" s="82" t="s">
        <v>2090</v>
      </c>
      <c r="N256" s="82" t="s">
        <v>1946</v>
      </c>
      <c r="O256" s="82" t="s">
        <v>2173</v>
      </c>
    </row>
    <row r="257" spans="1:15" ht="15.75" hidden="1" x14ac:dyDescent="0.25">
      <c r="A257" t="str">
        <f t="shared" si="3"/>
        <v>ALR_CUMULATIVO_EMERGENZA_DIR_SUD_2-Allarme emergenza bypass 2 dir. sud</v>
      </c>
      <c r="C257" s="82" t="s">
        <v>1252</v>
      </c>
      <c r="D257" s="82" t="s">
        <v>1253</v>
      </c>
      <c r="E257" s="82" t="s">
        <v>2163</v>
      </c>
      <c r="F257" s="82" t="s">
        <v>1252</v>
      </c>
      <c r="G257" s="82" t="s">
        <v>1946</v>
      </c>
      <c r="H257" s="82" t="s">
        <v>2165</v>
      </c>
      <c r="I257" s="82" t="s">
        <v>24</v>
      </c>
      <c r="J257" s="82" t="s">
        <v>2171</v>
      </c>
      <c r="K257" s="82" t="s">
        <v>2167</v>
      </c>
      <c r="L257" s="82" t="s">
        <v>1946</v>
      </c>
      <c r="M257" s="82" t="s">
        <v>2090</v>
      </c>
      <c r="N257" s="82" t="s">
        <v>1946</v>
      </c>
      <c r="O257" s="82" t="s">
        <v>2173</v>
      </c>
    </row>
    <row r="258" spans="1:15" ht="15.75" hidden="1" x14ac:dyDescent="0.25">
      <c r="A258" t="str">
        <f t="shared" si="3"/>
        <v>ALR_CUMULATIVO_EMERGENZA_DIR_SUD_3-Allarme emergenza bypass 3 dir. sud</v>
      </c>
      <c r="C258" s="82" t="s">
        <v>1254</v>
      </c>
      <c r="D258" s="82" t="s">
        <v>1255</v>
      </c>
      <c r="E258" s="82" t="s">
        <v>2163</v>
      </c>
      <c r="F258" s="82" t="s">
        <v>1254</v>
      </c>
      <c r="G258" s="82" t="s">
        <v>1946</v>
      </c>
      <c r="H258" s="82" t="s">
        <v>2165</v>
      </c>
      <c r="I258" s="82" t="s">
        <v>24</v>
      </c>
      <c r="J258" s="82" t="s">
        <v>2171</v>
      </c>
      <c r="K258" s="82" t="s">
        <v>2167</v>
      </c>
      <c r="L258" s="82" t="s">
        <v>1946</v>
      </c>
      <c r="M258" s="82" t="s">
        <v>2090</v>
      </c>
      <c r="N258" s="82" t="s">
        <v>1946</v>
      </c>
      <c r="O258" s="82" t="s">
        <v>2173</v>
      </c>
    </row>
    <row r="259" spans="1:15" ht="15.75" hidden="1" x14ac:dyDescent="0.25">
      <c r="A259" t="str">
        <f t="shared" ref="A259:A322" si="4">CONCATENATE(F259,"-",D259)</f>
        <v>ALR_CUMULATIVO_GE-Allarme cumulativo GE</v>
      </c>
      <c r="C259" s="82" t="s">
        <v>276</v>
      </c>
      <c r="D259" s="82" t="s">
        <v>277</v>
      </c>
      <c r="E259" s="82" t="s">
        <v>2163</v>
      </c>
      <c r="F259" s="82" t="s">
        <v>276</v>
      </c>
      <c r="G259" s="82" t="s">
        <v>1946</v>
      </c>
      <c r="H259" s="82" t="s">
        <v>2165</v>
      </c>
      <c r="I259" s="82" t="s">
        <v>24</v>
      </c>
      <c r="J259" s="82" t="s">
        <v>2171</v>
      </c>
      <c r="K259" s="82" t="s">
        <v>2167</v>
      </c>
      <c r="L259" s="82" t="s">
        <v>1946</v>
      </c>
      <c r="M259" s="82" t="s">
        <v>2090</v>
      </c>
      <c r="N259" s="82" t="s">
        <v>1946</v>
      </c>
      <c r="O259" s="82" t="s">
        <v>2173</v>
      </c>
    </row>
    <row r="260" spans="1:15" ht="15.75" hidden="1" x14ac:dyDescent="0.25">
      <c r="A260" t="str">
        <f t="shared" si="4"/>
        <v>ALR_CUMULATIVO_INCENDIO-Allarme cumulativo incendio</v>
      </c>
      <c r="C260" s="82" t="s">
        <v>1256</v>
      </c>
      <c r="D260" s="82" t="s">
        <v>1257</v>
      </c>
      <c r="E260" s="82" t="s">
        <v>2163</v>
      </c>
      <c r="F260" s="82" t="s">
        <v>1256</v>
      </c>
      <c r="G260" s="82" t="s">
        <v>1946</v>
      </c>
      <c r="H260" s="82" t="s">
        <v>2165</v>
      </c>
      <c r="I260" s="82" t="s">
        <v>45</v>
      </c>
      <c r="J260" s="82" t="s">
        <v>2178</v>
      </c>
      <c r="K260" s="82" t="s">
        <v>2173</v>
      </c>
      <c r="L260" s="82" t="s">
        <v>2175</v>
      </c>
      <c r="M260" s="82" t="s">
        <v>2176</v>
      </c>
      <c r="N260" s="82" t="s">
        <v>2180</v>
      </c>
      <c r="O260" s="82" t="s">
        <v>2173</v>
      </c>
    </row>
    <row r="261" spans="1:15" ht="15.75" hidden="1" x14ac:dyDescent="0.25">
      <c r="A261" t="str">
        <f t="shared" si="4"/>
        <v>ALR_CUMULATIVO_INCENDIO_CABINA_CANNA_NORD-Allarme cumulativo incendio cabina canna nord</v>
      </c>
      <c r="C261" s="82" t="s">
        <v>1259</v>
      </c>
      <c r="D261" s="82" t="s">
        <v>1260</v>
      </c>
      <c r="E261" s="82" t="s">
        <v>2163</v>
      </c>
      <c r="F261" s="82" t="s">
        <v>1259</v>
      </c>
      <c r="G261" s="82" t="s">
        <v>1946</v>
      </c>
      <c r="H261" s="82" t="s">
        <v>2165</v>
      </c>
      <c r="I261" s="82" t="s">
        <v>45</v>
      </c>
      <c r="J261" s="82" t="s">
        <v>2178</v>
      </c>
      <c r="K261" s="82" t="s">
        <v>2173</v>
      </c>
      <c r="L261" s="82" t="s">
        <v>2175</v>
      </c>
      <c r="M261" s="82" t="s">
        <v>2176</v>
      </c>
      <c r="N261" s="82" t="s">
        <v>2180</v>
      </c>
      <c r="O261" s="82" t="s">
        <v>2173</v>
      </c>
    </row>
    <row r="262" spans="1:15" ht="15.75" hidden="1" x14ac:dyDescent="0.25">
      <c r="A262" t="str">
        <f t="shared" si="4"/>
        <v>ALR_CUMULATIVO_INCENDIO_CABINA_CANNA_SUD-Allarme cumulativo incendio cabina canna sud</v>
      </c>
      <c r="C262" s="82" t="s">
        <v>1261</v>
      </c>
      <c r="D262" s="82" t="s">
        <v>1262</v>
      </c>
      <c r="E262" s="82" t="s">
        <v>2163</v>
      </c>
      <c r="F262" s="82" t="s">
        <v>1261</v>
      </c>
      <c r="G262" s="82" t="s">
        <v>1946</v>
      </c>
      <c r="H262" s="82" t="s">
        <v>2165</v>
      </c>
      <c r="I262" s="82" t="s">
        <v>45</v>
      </c>
      <c r="J262" s="82" t="s">
        <v>2178</v>
      </c>
      <c r="K262" s="82" t="s">
        <v>2173</v>
      </c>
      <c r="L262" s="82" t="s">
        <v>2175</v>
      </c>
      <c r="M262" s="82" t="s">
        <v>2176</v>
      </c>
      <c r="N262" s="82" t="s">
        <v>2180</v>
      </c>
      <c r="O262" s="82" t="s">
        <v>2173</v>
      </c>
    </row>
    <row r="263" spans="1:15" ht="15.75" hidden="1" x14ac:dyDescent="0.25">
      <c r="A263" t="str">
        <f t="shared" si="4"/>
        <v>ALR_CUMULATIVO_INCENDIO_CANNA_NORD-Allarme cumulativo incendio canna nord</v>
      </c>
      <c r="C263" s="82" t="s">
        <v>1263</v>
      </c>
      <c r="D263" s="82" t="s">
        <v>1264</v>
      </c>
      <c r="E263" s="82" t="s">
        <v>2163</v>
      </c>
      <c r="F263" s="82" t="s">
        <v>1263</v>
      </c>
      <c r="G263" s="82" t="s">
        <v>1946</v>
      </c>
      <c r="H263" s="82" t="s">
        <v>2165</v>
      </c>
      <c r="I263" s="82" t="s">
        <v>45</v>
      </c>
      <c r="J263" s="82" t="s">
        <v>2178</v>
      </c>
      <c r="K263" s="82" t="s">
        <v>2173</v>
      </c>
      <c r="L263" s="82" t="s">
        <v>2175</v>
      </c>
      <c r="M263" s="82" t="s">
        <v>2176</v>
      </c>
      <c r="N263" s="82" t="s">
        <v>2180</v>
      </c>
      <c r="O263" s="82" t="s">
        <v>2173</v>
      </c>
    </row>
    <row r="264" spans="1:15" ht="15.75" hidden="1" x14ac:dyDescent="0.25">
      <c r="A264" t="str">
        <f t="shared" si="4"/>
        <v>ALR_CUMULATIVO_INCENDIO_CANNA_SUD-Allarme cumulativo incendio canna sud</v>
      </c>
      <c r="C264" s="82" t="s">
        <v>1265</v>
      </c>
      <c r="D264" s="82" t="s">
        <v>1266</v>
      </c>
      <c r="E264" s="82" t="s">
        <v>2163</v>
      </c>
      <c r="F264" s="82" t="s">
        <v>1265</v>
      </c>
      <c r="G264" s="82" t="s">
        <v>1946</v>
      </c>
      <c r="H264" s="82" t="s">
        <v>2165</v>
      </c>
      <c r="I264" s="82" t="s">
        <v>45</v>
      </c>
      <c r="J264" s="82" t="s">
        <v>2178</v>
      </c>
      <c r="K264" s="82" t="s">
        <v>2173</v>
      </c>
      <c r="L264" s="82" t="s">
        <v>2175</v>
      </c>
      <c r="M264" s="82" t="s">
        <v>2176</v>
      </c>
      <c r="N264" s="82" t="s">
        <v>2180</v>
      </c>
      <c r="O264" s="82" t="s">
        <v>2173</v>
      </c>
    </row>
    <row r="265" spans="1:15" ht="15.75" hidden="1" x14ac:dyDescent="0.25">
      <c r="A265" t="str">
        <f t="shared" si="4"/>
        <v>ALR_CUMULATIVO_INTERRUTTORE-Allarme cumulativo interruttore</v>
      </c>
      <c r="C265" s="82" t="s">
        <v>1267</v>
      </c>
      <c r="D265" s="82" t="s">
        <v>1268</v>
      </c>
      <c r="E265" s="82" t="s">
        <v>2163</v>
      </c>
      <c r="F265" s="82" t="s">
        <v>1267</v>
      </c>
      <c r="G265" s="82" t="s">
        <v>1946</v>
      </c>
      <c r="H265" s="82" t="s">
        <v>2165</v>
      </c>
      <c r="I265" s="82" t="s">
        <v>24</v>
      </c>
      <c r="J265" s="82" t="s">
        <v>2171</v>
      </c>
      <c r="K265" s="82" t="s">
        <v>2167</v>
      </c>
      <c r="L265" s="82" t="s">
        <v>1946</v>
      </c>
      <c r="M265" s="82" t="s">
        <v>2090</v>
      </c>
      <c r="N265" s="82" t="s">
        <v>1946</v>
      </c>
      <c r="O265" s="82" t="s">
        <v>2173</v>
      </c>
    </row>
    <row r="266" spans="1:15" ht="15.75" hidden="1" x14ac:dyDescent="0.25">
      <c r="A266" t="str">
        <f t="shared" si="4"/>
        <v>ALR_CUMULATIVO_SOFT_START-Allarme cumulativo soft star</v>
      </c>
      <c r="C266" s="82" t="s">
        <v>278</v>
      </c>
      <c r="D266" s="82" t="s">
        <v>279</v>
      </c>
      <c r="E266" s="82" t="s">
        <v>2163</v>
      </c>
      <c r="F266" s="82" t="s">
        <v>278</v>
      </c>
      <c r="G266" s="82" t="s">
        <v>1946</v>
      </c>
      <c r="H266" s="82" t="s">
        <v>2165</v>
      </c>
      <c r="I266" s="82" t="s">
        <v>24</v>
      </c>
      <c r="J266" s="82" t="s">
        <v>2171</v>
      </c>
      <c r="K266" s="82" t="s">
        <v>2167</v>
      </c>
      <c r="L266" s="82" t="s">
        <v>1946</v>
      </c>
      <c r="M266" s="82" t="s">
        <v>2090</v>
      </c>
      <c r="N266" s="82" t="s">
        <v>1946</v>
      </c>
      <c r="O266" s="82" t="s">
        <v>2173</v>
      </c>
    </row>
    <row r="267" spans="1:15" ht="15.75" hidden="1" x14ac:dyDescent="0.25">
      <c r="A267" t="str">
        <f t="shared" si="4"/>
        <v>ALR_CUMULATIVO_VENTILATORE-Allarme cumulativo ventilatore</v>
      </c>
      <c r="C267" s="82" t="s">
        <v>281</v>
      </c>
      <c r="D267" s="82" t="s">
        <v>282</v>
      </c>
      <c r="E267" s="82" t="s">
        <v>2163</v>
      </c>
      <c r="F267" s="82" t="s">
        <v>281</v>
      </c>
      <c r="G267" s="82" t="s">
        <v>1946</v>
      </c>
      <c r="H267" s="82" t="s">
        <v>2165</v>
      </c>
      <c r="I267" s="82" t="s">
        <v>24</v>
      </c>
      <c r="J267" s="82" t="s">
        <v>2171</v>
      </c>
      <c r="K267" s="82" t="s">
        <v>2167</v>
      </c>
      <c r="L267" s="82" t="s">
        <v>1946</v>
      </c>
      <c r="M267" s="82" t="s">
        <v>2090</v>
      </c>
      <c r="N267" s="82" t="s">
        <v>1946</v>
      </c>
      <c r="O267" s="82" t="s">
        <v>2173</v>
      </c>
    </row>
    <row r="268" spans="1:15" ht="15.75" hidden="1" x14ac:dyDescent="0.25">
      <c r="A268" t="str">
        <f t="shared" si="4"/>
        <v>ALR_CUSCINETTO-Allarme cuscinetto</v>
      </c>
      <c r="C268" s="82" t="s">
        <v>283</v>
      </c>
      <c r="D268" s="82" t="s">
        <v>284</v>
      </c>
      <c r="E268" s="82" t="s">
        <v>2163</v>
      </c>
      <c r="F268" s="82" t="s">
        <v>283</v>
      </c>
      <c r="G268" s="82" t="s">
        <v>1946</v>
      </c>
      <c r="H268" s="82" t="s">
        <v>2165</v>
      </c>
      <c r="I268" s="82" t="s">
        <v>24</v>
      </c>
      <c r="J268" s="82" t="s">
        <v>2171</v>
      </c>
      <c r="K268" s="82" t="s">
        <v>2167</v>
      </c>
      <c r="L268" s="82" t="s">
        <v>1946</v>
      </c>
      <c r="M268" s="82" t="s">
        <v>2090</v>
      </c>
      <c r="N268" s="82" t="s">
        <v>1946</v>
      </c>
      <c r="O268" s="82" t="s">
        <v>2173</v>
      </c>
    </row>
    <row r="269" spans="1:15" ht="15.75" hidden="1" x14ac:dyDescent="0.25">
      <c r="A269" t="str">
        <f t="shared" si="4"/>
        <v>ALR_CUSCINETTO_2-Allarme cuscinetto 2</v>
      </c>
      <c r="C269" s="82" t="s">
        <v>285</v>
      </c>
      <c r="D269" s="82" t="s">
        <v>286</v>
      </c>
      <c r="E269" s="82" t="s">
        <v>2163</v>
      </c>
      <c r="F269" s="82" t="s">
        <v>285</v>
      </c>
      <c r="G269" s="82" t="s">
        <v>1946</v>
      </c>
      <c r="H269" s="82" t="s">
        <v>2165</v>
      </c>
      <c r="I269" s="82" t="s">
        <v>24</v>
      </c>
      <c r="J269" s="82" t="s">
        <v>2171</v>
      </c>
      <c r="K269" s="82" t="s">
        <v>2167</v>
      </c>
      <c r="L269" s="82" t="s">
        <v>1946</v>
      </c>
      <c r="M269" s="82" t="s">
        <v>2090</v>
      </c>
      <c r="N269" s="82" t="s">
        <v>1946</v>
      </c>
      <c r="O269" s="82" t="s">
        <v>2173</v>
      </c>
    </row>
    <row r="270" spans="1:15" ht="15.75" hidden="1" x14ac:dyDescent="0.25">
      <c r="A270" t="str">
        <f t="shared" si="4"/>
        <v>ALR_DIAGNOSTICA_IN_ERR-Allarme diagnostica in errore</v>
      </c>
      <c r="C270" s="82" t="s">
        <v>287</v>
      </c>
      <c r="D270" s="82" t="s">
        <v>288</v>
      </c>
      <c r="E270" s="82" t="s">
        <v>2163</v>
      </c>
      <c r="F270" s="82" t="s">
        <v>287</v>
      </c>
      <c r="G270" s="82" t="s">
        <v>1946</v>
      </c>
      <c r="H270" s="82" t="s">
        <v>2165</v>
      </c>
      <c r="I270" s="82" t="s">
        <v>24</v>
      </c>
      <c r="J270" s="82" t="s">
        <v>2171</v>
      </c>
      <c r="K270" s="82" t="s">
        <v>2167</v>
      </c>
      <c r="L270" s="82" t="s">
        <v>1946</v>
      </c>
      <c r="M270" s="82" t="s">
        <v>2090</v>
      </c>
      <c r="N270" s="82" t="s">
        <v>1946</v>
      </c>
      <c r="O270" s="82" t="s">
        <v>2173</v>
      </c>
    </row>
    <row r="271" spans="1:15" ht="15.75" hidden="1" x14ac:dyDescent="0.25">
      <c r="A271" t="str">
        <f t="shared" si="4"/>
        <v>ALR_DIFFERENZIALE-Allarme differenziale</v>
      </c>
      <c r="C271" s="82" t="s">
        <v>289</v>
      </c>
      <c r="D271" s="82" t="s">
        <v>290</v>
      </c>
      <c r="E271" s="82" t="s">
        <v>2163</v>
      </c>
      <c r="F271" s="82" t="s">
        <v>289</v>
      </c>
      <c r="G271" s="82" t="s">
        <v>1946</v>
      </c>
      <c r="H271" s="82" t="s">
        <v>2165</v>
      </c>
      <c r="I271" s="82" t="s">
        <v>24</v>
      </c>
      <c r="J271" s="82" t="s">
        <v>2171</v>
      </c>
      <c r="K271" s="82" t="s">
        <v>2167</v>
      </c>
      <c r="L271" s="82" t="s">
        <v>1946</v>
      </c>
      <c r="M271" s="82" t="s">
        <v>2090</v>
      </c>
      <c r="N271" s="82" t="s">
        <v>1946</v>
      </c>
      <c r="O271" s="82" t="s">
        <v>2173</v>
      </c>
    </row>
    <row r="272" spans="1:15" ht="15.75" hidden="1" x14ac:dyDescent="0.25">
      <c r="A272" t="str">
        <f t="shared" si="4"/>
        <v>ALR_DIFFERENZIALE_SCATTATO-Allarme differenziale scattato</v>
      </c>
      <c r="C272" s="82" t="s">
        <v>1269</v>
      </c>
      <c r="D272" s="82" t="s">
        <v>1270</v>
      </c>
      <c r="E272" s="82" t="s">
        <v>2163</v>
      </c>
      <c r="F272" s="82" t="s">
        <v>1269</v>
      </c>
      <c r="G272" s="82" t="s">
        <v>1946</v>
      </c>
      <c r="H272" s="82" t="s">
        <v>2165</v>
      </c>
      <c r="I272" s="82" t="s">
        <v>24</v>
      </c>
      <c r="J272" s="82" t="s">
        <v>2171</v>
      </c>
      <c r="K272" s="82" t="s">
        <v>2167</v>
      </c>
      <c r="L272" s="82" t="s">
        <v>1946</v>
      </c>
      <c r="M272" s="82" t="s">
        <v>2090</v>
      </c>
      <c r="N272" s="82" t="s">
        <v>1946</v>
      </c>
      <c r="O272" s="82" t="s">
        <v>2173</v>
      </c>
    </row>
    <row r="273" spans="1:15" ht="15.75" hidden="1" x14ac:dyDescent="0.25">
      <c r="A273" t="str">
        <f t="shared" si="4"/>
        <v>ALR_DIRETTI-Allarmi diretti: Sala pompe</v>
      </c>
      <c r="C273" s="82" t="s">
        <v>292</v>
      </c>
      <c r="D273" s="82" t="s">
        <v>293</v>
      </c>
      <c r="E273" s="82" t="s">
        <v>2163</v>
      </c>
      <c r="F273" s="82" t="s">
        <v>292</v>
      </c>
      <c r="G273" s="82" t="s">
        <v>1946</v>
      </c>
      <c r="H273" s="82" t="s">
        <v>2165</v>
      </c>
      <c r="I273" s="82" t="s">
        <v>157</v>
      </c>
      <c r="J273" s="82" t="s">
        <v>2181</v>
      </c>
      <c r="K273" s="82" t="s">
        <v>2167</v>
      </c>
      <c r="L273" s="82" t="s">
        <v>1946</v>
      </c>
      <c r="M273" s="82" t="s">
        <v>2090</v>
      </c>
      <c r="N273" s="82" t="s">
        <v>1946</v>
      </c>
      <c r="O273" s="82" t="s">
        <v>2173</v>
      </c>
    </row>
    <row r="274" spans="1:15" ht="15.75" hidden="1" x14ac:dyDescent="0.25">
      <c r="A274" t="str">
        <f t="shared" si="4"/>
        <v>ALR_DIREZIONE_AN_SOPRA_SOGLIA-Allarme direzione AN sopra soglia</v>
      </c>
      <c r="C274" s="82" t="s">
        <v>1271</v>
      </c>
      <c r="D274" s="82" t="s">
        <v>1272</v>
      </c>
      <c r="E274" s="82" t="s">
        <v>2163</v>
      </c>
      <c r="F274" s="82" t="s">
        <v>1271</v>
      </c>
      <c r="G274" s="82" t="s">
        <v>1946</v>
      </c>
      <c r="H274" s="82" t="s">
        <v>2165</v>
      </c>
      <c r="I274" s="82" t="s">
        <v>24</v>
      </c>
      <c r="J274" s="82" t="s">
        <v>2171</v>
      </c>
      <c r="K274" s="82" t="s">
        <v>2167</v>
      </c>
      <c r="L274" s="82" t="s">
        <v>1946</v>
      </c>
      <c r="M274" s="82" t="s">
        <v>2090</v>
      </c>
      <c r="N274" s="82" t="s">
        <v>1946</v>
      </c>
      <c r="O274" s="82" t="s">
        <v>2173</v>
      </c>
    </row>
    <row r="275" spans="1:15" ht="15.75" hidden="1" x14ac:dyDescent="0.25">
      <c r="A275" t="str">
        <f t="shared" si="4"/>
        <v>ALR_DIREZIONE_AN_SOTTO_SOGLIA-Allarme direzione AN sotto soglia</v>
      </c>
      <c r="C275" s="82" t="s">
        <v>1273</v>
      </c>
      <c r="D275" s="82" t="s">
        <v>1274</v>
      </c>
      <c r="E275" s="82" t="s">
        <v>2163</v>
      </c>
      <c r="F275" s="82" t="s">
        <v>1273</v>
      </c>
      <c r="G275" s="82" t="s">
        <v>1946</v>
      </c>
      <c r="H275" s="82" t="s">
        <v>2165</v>
      </c>
      <c r="I275" s="82" t="s">
        <v>24</v>
      </c>
      <c r="J275" s="82" t="s">
        <v>2171</v>
      </c>
      <c r="K275" s="82" t="s">
        <v>2167</v>
      </c>
      <c r="L275" s="82" t="s">
        <v>1946</v>
      </c>
      <c r="M275" s="82" t="s">
        <v>2090</v>
      </c>
      <c r="N275" s="82" t="s">
        <v>1946</v>
      </c>
      <c r="O275" s="82" t="s">
        <v>2173</v>
      </c>
    </row>
    <row r="276" spans="1:15" ht="15.75" hidden="1" x14ac:dyDescent="0.25">
      <c r="A276" t="str">
        <f t="shared" si="4"/>
        <v>ALR_DISCONNESSO-Allarme sensore disconnesso</v>
      </c>
      <c r="C276" s="82" t="s">
        <v>294</v>
      </c>
      <c r="D276" s="82" t="s">
        <v>295</v>
      </c>
      <c r="E276" s="82" t="s">
        <v>2163</v>
      </c>
      <c r="F276" s="82" t="s">
        <v>294</v>
      </c>
      <c r="G276" s="82" t="s">
        <v>1946</v>
      </c>
      <c r="H276" s="82" t="s">
        <v>2165</v>
      </c>
      <c r="I276" s="82" t="s">
        <v>24</v>
      </c>
      <c r="J276" s="82" t="s">
        <v>2171</v>
      </c>
      <c r="K276" s="82" t="s">
        <v>2167</v>
      </c>
      <c r="L276" s="82" t="s">
        <v>1946</v>
      </c>
      <c r="M276" s="82" t="s">
        <v>2090</v>
      </c>
      <c r="N276" s="82" t="s">
        <v>1946</v>
      </c>
      <c r="O276" s="82" t="s">
        <v>2173</v>
      </c>
    </row>
    <row r="277" spans="1:15" ht="15.75" hidden="1" x14ac:dyDescent="0.25">
      <c r="A277" t="str">
        <f t="shared" si="4"/>
        <v>ALR_DISINSERIMENTO-Allarme disinserimento</v>
      </c>
      <c r="C277" s="82" t="s">
        <v>2297</v>
      </c>
      <c r="D277" s="82" t="s">
        <v>2298</v>
      </c>
      <c r="E277" s="82" t="s">
        <v>2163</v>
      </c>
      <c r="F277" s="82" t="s">
        <v>2297</v>
      </c>
      <c r="G277" s="82" t="s">
        <v>2182</v>
      </c>
      <c r="H277" s="82" t="s">
        <v>2165</v>
      </c>
      <c r="I277" s="82" t="s">
        <v>24</v>
      </c>
      <c r="J277" s="82" t="s">
        <v>2171</v>
      </c>
      <c r="K277" s="82" t="s">
        <v>2167</v>
      </c>
      <c r="L277" s="82" t="s">
        <v>1946</v>
      </c>
      <c r="M277" s="82" t="s">
        <v>2183</v>
      </c>
      <c r="N277" s="82" t="s">
        <v>1946</v>
      </c>
      <c r="O277" s="82" t="s">
        <v>2173</v>
      </c>
    </row>
    <row r="278" spans="1:15" ht="15.75" x14ac:dyDescent="0.25">
      <c r="A278" t="str">
        <f t="shared" si="4"/>
        <v>ALR_DISPOSITIVO_BLOCCATO-Allarme dispositivo bloccato/non disponibile</v>
      </c>
      <c r="C278" s="82" t="s">
        <v>1932</v>
      </c>
      <c r="D278" s="85" t="s">
        <v>2299</v>
      </c>
      <c r="E278" s="82" t="s">
        <v>2163</v>
      </c>
      <c r="F278" s="82" t="s">
        <v>1932</v>
      </c>
      <c r="G278" s="82" t="s">
        <v>2182</v>
      </c>
      <c r="H278" s="82" t="s">
        <v>2165</v>
      </c>
      <c r="I278" s="82" t="s">
        <v>24</v>
      </c>
      <c r="J278" s="82" t="s">
        <v>2171</v>
      </c>
      <c r="K278" s="82" t="s">
        <v>2167</v>
      </c>
      <c r="L278" s="82" t="s">
        <v>2182</v>
      </c>
      <c r="M278" s="82" t="s">
        <v>2183</v>
      </c>
      <c r="N278" s="82" t="s">
        <v>1946</v>
      </c>
      <c r="O278" s="82" t="s">
        <v>2173</v>
      </c>
    </row>
    <row r="279" spans="1:15" ht="15.75" hidden="1" x14ac:dyDescent="0.25">
      <c r="A279" t="str">
        <f t="shared" si="4"/>
        <v>ALR_DISP_SCADA-Allarme dispositivo Scada</v>
      </c>
      <c r="C279" s="82" t="s">
        <v>2300</v>
      </c>
      <c r="D279" s="82" t="s">
        <v>2301</v>
      </c>
      <c r="E279" s="82" t="s">
        <v>2163</v>
      </c>
      <c r="F279" s="82" t="s">
        <v>2300</v>
      </c>
      <c r="G279" s="82" t="s">
        <v>1946</v>
      </c>
      <c r="H279" s="82" t="s">
        <v>2165</v>
      </c>
      <c r="I279" s="82" t="s">
        <v>24</v>
      </c>
      <c r="J279" s="82" t="s">
        <v>2171</v>
      </c>
      <c r="K279" s="82" t="s">
        <v>2167</v>
      </c>
      <c r="L279" s="82" t="s">
        <v>1946</v>
      </c>
      <c r="M279" s="82" t="s">
        <v>2090</v>
      </c>
      <c r="N279" s="82" t="s">
        <v>1946</v>
      </c>
      <c r="O279" s="82" t="s">
        <v>2173</v>
      </c>
    </row>
    <row r="280" spans="1:15" ht="15.75" hidden="1" x14ac:dyDescent="0.25">
      <c r="A280" t="str">
        <f t="shared" si="4"/>
        <v>ALR_DISTACCO_TRAFO-Allarme distacco trafo</v>
      </c>
      <c r="C280" s="82" t="s">
        <v>296</v>
      </c>
      <c r="D280" s="82" t="s">
        <v>297</v>
      </c>
      <c r="E280" s="82" t="s">
        <v>2163</v>
      </c>
      <c r="F280" s="82" t="s">
        <v>296</v>
      </c>
      <c r="G280" s="82" t="s">
        <v>1946</v>
      </c>
      <c r="H280" s="82" t="s">
        <v>2165</v>
      </c>
      <c r="I280" s="82" t="s">
        <v>24</v>
      </c>
      <c r="J280" s="82" t="s">
        <v>2171</v>
      </c>
      <c r="K280" s="82" t="s">
        <v>2167</v>
      </c>
      <c r="L280" s="82" t="s">
        <v>1946</v>
      </c>
      <c r="M280" s="82" t="s">
        <v>2090</v>
      </c>
      <c r="N280" s="82" t="s">
        <v>1946</v>
      </c>
      <c r="O280" s="82" t="s">
        <v>2173</v>
      </c>
    </row>
    <row r="281" spans="1:15" ht="15.75" hidden="1" x14ac:dyDescent="0.25">
      <c r="A281" t="str">
        <f t="shared" si="4"/>
        <v>ALR_DOSSENA_1-Allarme Dossena 1</v>
      </c>
      <c r="C281" s="82" t="s">
        <v>1275</v>
      </c>
      <c r="D281" s="82" t="s">
        <v>1276</v>
      </c>
      <c r="E281" s="82" t="s">
        <v>2163</v>
      </c>
      <c r="F281" s="82" t="s">
        <v>1275</v>
      </c>
      <c r="G281" s="82" t="s">
        <v>1946</v>
      </c>
      <c r="H281" s="82" t="s">
        <v>2165</v>
      </c>
      <c r="I281" s="82" t="s">
        <v>24</v>
      </c>
      <c r="J281" s="82" t="s">
        <v>2171</v>
      </c>
      <c r="K281" s="82" t="s">
        <v>2167</v>
      </c>
      <c r="L281" s="82" t="s">
        <v>1946</v>
      </c>
      <c r="M281" s="82" t="s">
        <v>2090</v>
      </c>
      <c r="N281" s="82" t="s">
        <v>1946</v>
      </c>
      <c r="O281" s="82" t="s">
        <v>2173</v>
      </c>
    </row>
    <row r="282" spans="1:15" ht="15.75" hidden="1" x14ac:dyDescent="0.25">
      <c r="A282" t="str">
        <f t="shared" si="4"/>
        <v>ALR_DOSSENA_2-Allarme Dossena 2</v>
      </c>
      <c r="C282" s="82" t="s">
        <v>1277</v>
      </c>
      <c r="D282" s="82" t="s">
        <v>1278</v>
      </c>
      <c r="E282" s="82" t="s">
        <v>2163</v>
      </c>
      <c r="F282" s="82" t="s">
        <v>1277</v>
      </c>
      <c r="G282" s="82" t="s">
        <v>1946</v>
      </c>
      <c r="H282" s="82" t="s">
        <v>2165</v>
      </c>
      <c r="I282" s="82" t="s">
        <v>24</v>
      </c>
      <c r="J282" s="82" t="s">
        <v>2171</v>
      </c>
      <c r="K282" s="82" t="s">
        <v>2167</v>
      </c>
      <c r="L282" s="82" t="s">
        <v>1946</v>
      </c>
      <c r="M282" s="82" t="s">
        <v>2090</v>
      </c>
      <c r="N282" s="82" t="s">
        <v>1946</v>
      </c>
      <c r="O282" s="82" t="s">
        <v>2173</v>
      </c>
    </row>
    <row r="283" spans="1:15" ht="15.75" hidden="1" x14ac:dyDescent="0.25">
      <c r="A283" t="str">
        <f t="shared" si="4"/>
        <v>ALR_ELETTROPOMPA_AVVIATA-Allarme elettropompa avviata</v>
      </c>
      <c r="C283" s="82" t="s">
        <v>299</v>
      </c>
      <c r="D283" s="82" t="s">
        <v>300</v>
      </c>
      <c r="E283" s="82" t="s">
        <v>2163</v>
      </c>
      <c r="F283" s="82" t="s">
        <v>299</v>
      </c>
      <c r="G283" s="82" t="s">
        <v>1946</v>
      </c>
      <c r="H283" s="82" t="s">
        <v>2165</v>
      </c>
      <c r="I283" s="82" t="s">
        <v>33</v>
      </c>
      <c r="J283" s="82" t="s">
        <v>2174</v>
      </c>
      <c r="K283" s="82" t="s">
        <v>2173</v>
      </c>
      <c r="L283" s="82" t="s">
        <v>1946</v>
      </c>
      <c r="M283" s="82" t="s">
        <v>2176</v>
      </c>
      <c r="N283" s="82" t="s">
        <v>2180</v>
      </c>
      <c r="O283" s="82" t="s">
        <v>2173</v>
      </c>
    </row>
    <row r="284" spans="1:15" ht="15.75" hidden="1" x14ac:dyDescent="0.25">
      <c r="A284" t="str">
        <f t="shared" si="4"/>
        <v>ALR_ELETTROVALVOLA_APERTA-Allarme elettrovalvola antincendio aperta</v>
      </c>
      <c r="C284" s="82" t="s">
        <v>302</v>
      </c>
      <c r="D284" s="82" t="s">
        <v>303</v>
      </c>
      <c r="E284" s="82" t="s">
        <v>2163</v>
      </c>
      <c r="F284" s="82" t="s">
        <v>302</v>
      </c>
      <c r="G284" s="82" t="s">
        <v>1946</v>
      </c>
      <c r="H284" s="82" t="s">
        <v>2165</v>
      </c>
      <c r="I284" s="82" t="s">
        <v>24</v>
      </c>
      <c r="J284" s="82" t="s">
        <v>2171</v>
      </c>
      <c r="K284" s="82" t="s">
        <v>2167</v>
      </c>
      <c r="L284" s="82" t="s">
        <v>1946</v>
      </c>
      <c r="M284" s="82" t="s">
        <v>2090</v>
      </c>
      <c r="N284" s="82" t="s">
        <v>1946</v>
      </c>
      <c r="O284" s="82" t="s">
        <v>2173</v>
      </c>
    </row>
    <row r="285" spans="1:15" ht="15.75" hidden="1" x14ac:dyDescent="0.25">
      <c r="A285" t="str">
        <f t="shared" si="4"/>
        <v>ALR_ELETTROVALVOLA_BLOCCATA-Allarme elettrovalvola antincendio bloccata</v>
      </c>
      <c r="C285" s="82" t="s">
        <v>2302</v>
      </c>
      <c r="D285" s="82" t="s">
        <v>2303</v>
      </c>
      <c r="E285" s="82" t="s">
        <v>2163</v>
      </c>
      <c r="F285" s="82" t="s">
        <v>2302</v>
      </c>
      <c r="G285" s="82" t="s">
        <v>1946</v>
      </c>
      <c r="H285" s="82" t="s">
        <v>2165</v>
      </c>
      <c r="I285" s="82" t="s">
        <v>24</v>
      </c>
      <c r="J285" s="82" t="s">
        <v>2171</v>
      </c>
      <c r="K285" s="82" t="s">
        <v>2167</v>
      </c>
      <c r="L285" s="82" t="s">
        <v>1946</v>
      </c>
      <c r="M285" s="82" t="s">
        <v>2090</v>
      </c>
      <c r="N285" s="82" t="s">
        <v>1946</v>
      </c>
      <c r="O285" s="82" t="s">
        <v>2173</v>
      </c>
    </row>
    <row r="286" spans="1:15" ht="15.75" hidden="1" x14ac:dyDescent="0.25">
      <c r="A286" t="str">
        <f t="shared" si="4"/>
        <v>ALR_ELETTROVALVOLA_CHIUSA-Allarme elettrovalvola antincendio chiusa</v>
      </c>
      <c r="C286" s="82" t="s">
        <v>1279</v>
      </c>
      <c r="D286" s="82" t="s">
        <v>1280</v>
      </c>
      <c r="E286" s="82" t="s">
        <v>2163</v>
      </c>
      <c r="F286" s="82" t="s">
        <v>1279</v>
      </c>
      <c r="G286" s="82" t="s">
        <v>1946</v>
      </c>
      <c r="H286" s="82" t="s">
        <v>2165</v>
      </c>
      <c r="I286" s="82" t="s">
        <v>24</v>
      </c>
      <c r="J286" s="82" t="s">
        <v>2171</v>
      </c>
      <c r="K286" s="82" t="s">
        <v>2167</v>
      </c>
      <c r="L286" s="82" t="s">
        <v>1946</v>
      </c>
      <c r="M286" s="82" t="s">
        <v>2090</v>
      </c>
      <c r="N286" s="82" t="s">
        <v>1946</v>
      </c>
      <c r="O286" s="82" t="s">
        <v>2173</v>
      </c>
    </row>
    <row r="287" spans="1:15" ht="15.75" hidden="1" x14ac:dyDescent="0.25">
      <c r="A287" t="str">
        <f t="shared" si="4"/>
        <v>ALR_EMERGENZA-Allarme emergenza</v>
      </c>
      <c r="C287" s="82" t="s">
        <v>2304</v>
      </c>
      <c r="D287" s="82" t="s">
        <v>2305</v>
      </c>
      <c r="E287" s="82" t="s">
        <v>2163</v>
      </c>
      <c r="F287" s="82" t="s">
        <v>2304</v>
      </c>
      <c r="G287" s="82" t="s">
        <v>2182</v>
      </c>
      <c r="H287" s="82" t="s">
        <v>2165</v>
      </c>
      <c r="I287" s="82" t="s">
        <v>24</v>
      </c>
      <c r="J287" s="82" t="s">
        <v>2171</v>
      </c>
      <c r="K287" s="82" t="s">
        <v>2167</v>
      </c>
      <c r="L287" s="82" t="s">
        <v>2182</v>
      </c>
      <c r="M287" s="82" t="s">
        <v>2183</v>
      </c>
      <c r="N287" s="82" t="s">
        <v>1946</v>
      </c>
      <c r="O287" s="82" t="s">
        <v>2173</v>
      </c>
    </row>
    <row r="288" spans="1:15" ht="15.75" hidden="1" x14ac:dyDescent="0.25">
      <c r="A288" t="str">
        <f t="shared" si="4"/>
        <v>ALR_ERRORE_ACCESSO-Allarme errore accesso</v>
      </c>
      <c r="C288" s="82" t="s">
        <v>1281</v>
      </c>
      <c r="D288" s="82" t="s">
        <v>1282</v>
      </c>
      <c r="E288" s="82" t="s">
        <v>2163</v>
      </c>
      <c r="F288" s="82" t="s">
        <v>1281</v>
      </c>
      <c r="G288" s="82" t="s">
        <v>1946</v>
      </c>
      <c r="H288" s="82" t="s">
        <v>2165</v>
      </c>
      <c r="I288" s="82" t="s">
        <v>24</v>
      </c>
      <c r="J288" s="82" t="s">
        <v>2171</v>
      </c>
      <c r="K288" s="82" t="s">
        <v>2167</v>
      </c>
      <c r="L288" s="82" t="s">
        <v>1946</v>
      </c>
      <c r="M288" s="82" t="s">
        <v>2090</v>
      </c>
      <c r="N288" s="82" t="s">
        <v>1946</v>
      </c>
      <c r="O288" s="82" t="s">
        <v>2173</v>
      </c>
    </row>
    <row r="289" spans="1:15" ht="15.75" hidden="1" x14ac:dyDescent="0.25">
      <c r="A289" t="str">
        <f t="shared" si="4"/>
        <v>ALR_ERRORE_CHIUSURA_BYPASS-Allarme errore chiusura bypass</v>
      </c>
      <c r="C289" s="82" t="s">
        <v>2306</v>
      </c>
      <c r="D289" s="82" t="s">
        <v>2307</v>
      </c>
      <c r="E289" s="82" t="s">
        <v>2163</v>
      </c>
      <c r="F289" s="82" t="s">
        <v>2306</v>
      </c>
      <c r="G289" s="82" t="s">
        <v>1946</v>
      </c>
      <c r="H289" s="82" t="s">
        <v>2165</v>
      </c>
      <c r="I289" s="82" t="s">
        <v>24</v>
      </c>
      <c r="J289" s="82" t="s">
        <v>2171</v>
      </c>
      <c r="K289" s="82" t="s">
        <v>2167</v>
      </c>
      <c r="L289" s="82" t="s">
        <v>1946</v>
      </c>
      <c r="M289" s="82" t="s">
        <v>2090</v>
      </c>
      <c r="N289" s="82" t="s">
        <v>1946</v>
      </c>
      <c r="O289" s="82" t="s">
        <v>2173</v>
      </c>
    </row>
    <row r="290" spans="1:15" ht="15.75" hidden="1" x14ac:dyDescent="0.25">
      <c r="A290" t="str">
        <f t="shared" si="4"/>
        <v>ALR_ERRORE_COMUNICAZIONE-Allarme errore comunicazione dispositivo</v>
      </c>
      <c r="C290" s="82" t="s">
        <v>305</v>
      </c>
      <c r="D290" s="82" t="s">
        <v>306</v>
      </c>
      <c r="E290" s="82" t="s">
        <v>2163</v>
      </c>
      <c r="F290" s="82" t="s">
        <v>305</v>
      </c>
      <c r="G290" s="82" t="s">
        <v>1946</v>
      </c>
      <c r="H290" s="82" t="s">
        <v>2165</v>
      </c>
      <c r="I290" s="82" t="s">
        <v>24</v>
      </c>
      <c r="J290" s="82" t="s">
        <v>2171</v>
      </c>
      <c r="K290" s="82" t="s">
        <v>2167</v>
      </c>
      <c r="L290" s="82" t="s">
        <v>1946</v>
      </c>
      <c r="M290" s="82" t="s">
        <v>2090</v>
      </c>
      <c r="N290" s="82" t="s">
        <v>1946</v>
      </c>
      <c r="O290" s="82" t="s">
        <v>2173</v>
      </c>
    </row>
    <row r="291" spans="1:15" ht="15.75" hidden="1" x14ac:dyDescent="0.25">
      <c r="A291" t="str">
        <f t="shared" si="4"/>
        <v>ALR_ERRORE_COMUNICAZIONE_PERMANENTE-Allarme Comunicazione Reverberi Permanente</v>
      </c>
      <c r="C291" s="82" t="s">
        <v>1284</v>
      </c>
      <c r="D291" s="82" t="s">
        <v>1285</v>
      </c>
      <c r="E291" s="82" t="s">
        <v>2163</v>
      </c>
      <c r="F291" s="82" t="s">
        <v>1284</v>
      </c>
      <c r="G291" s="82" t="s">
        <v>1946</v>
      </c>
      <c r="H291" s="82" t="s">
        <v>2165</v>
      </c>
      <c r="I291" s="82" t="s">
        <v>24</v>
      </c>
      <c r="J291" s="82" t="s">
        <v>2171</v>
      </c>
      <c r="K291" s="82" t="s">
        <v>2167</v>
      </c>
      <c r="L291" s="82" t="s">
        <v>1946</v>
      </c>
      <c r="M291" s="82" t="s">
        <v>2090</v>
      </c>
      <c r="N291" s="82" t="s">
        <v>1946</v>
      </c>
      <c r="O291" s="82" t="s">
        <v>2173</v>
      </c>
    </row>
    <row r="292" spans="1:15" ht="15.75" hidden="1" x14ac:dyDescent="0.25">
      <c r="A292" t="str">
        <f t="shared" si="4"/>
        <v>ALR_ERRORE_COMUNICAZIONE_RINFORZO-Allarme Comunicazione Reverberi Rinforzo</v>
      </c>
      <c r="C292" s="82" t="s">
        <v>1287</v>
      </c>
      <c r="D292" s="82" t="s">
        <v>1288</v>
      </c>
      <c r="E292" s="82" t="s">
        <v>2163</v>
      </c>
      <c r="F292" s="82" t="s">
        <v>1287</v>
      </c>
      <c r="G292" s="82" t="s">
        <v>1946</v>
      </c>
      <c r="H292" s="82" t="s">
        <v>2165</v>
      </c>
      <c r="I292" s="82" t="s">
        <v>24</v>
      </c>
      <c r="J292" s="82" t="s">
        <v>2171</v>
      </c>
      <c r="K292" s="82" t="s">
        <v>2167</v>
      </c>
      <c r="L292" s="82" t="s">
        <v>1946</v>
      </c>
      <c r="M292" s="82" t="s">
        <v>2090</v>
      </c>
      <c r="N292" s="82" t="s">
        <v>1946</v>
      </c>
      <c r="O292" s="82" t="s">
        <v>2173</v>
      </c>
    </row>
    <row r="293" spans="1:15" ht="15.75" hidden="1" x14ac:dyDescent="0.25">
      <c r="A293" t="str">
        <f t="shared" si="4"/>
        <v>ALR_ERRORE_ESECUZIONE_CMD-Allarme esecuzione comandi</v>
      </c>
      <c r="C293" s="82" t="s">
        <v>307</v>
      </c>
      <c r="D293" s="82" t="s">
        <v>308</v>
      </c>
      <c r="E293" s="82" t="s">
        <v>2163</v>
      </c>
      <c r="F293" s="82" t="s">
        <v>307</v>
      </c>
      <c r="G293" s="82" t="s">
        <v>1946</v>
      </c>
      <c r="H293" s="82" t="s">
        <v>2165</v>
      </c>
      <c r="I293" s="82" t="s">
        <v>24</v>
      </c>
      <c r="J293" s="82" t="s">
        <v>2171</v>
      </c>
      <c r="K293" s="82" t="s">
        <v>2167</v>
      </c>
      <c r="L293" s="82" t="s">
        <v>1946</v>
      </c>
      <c r="M293" s="82" t="s">
        <v>2090</v>
      </c>
      <c r="N293" s="82" t="s">
        <v>1946</v>
      </c>
      <c r="O293" s="82" t="s">
        <v>2173</v>
      </c>
    </row>
    <row r="294" spans="1:15" ht="15.75" hidden="1" x14ac:dyDescent="0.25">
      <c r="A294" t="str">
        <f t="shared" si="4"/>
        <v>ALR_ERRORE_ESTERNO-Allarme errore esterno</v>
      </c>
      <c r="C294" s="82" t="s">
        <v>1289</v>
      </c>
      <c r="D294" s="82" t="s">
        <v>1290</v>
      </c>
      <c r="E294" s="82" t="s">
        <v>2163</v>
      </c>
      <c r="F294" s="82" t="s">
        <v>1289</v>
      </c>
      <c r="G294" s="82" t="s">
        <v>1946</v>
      </c>
      <c r="H294" s="82" t="s">
        <v>2165</v>
      </c>
      <c r="I294" s="82" t="s">
        <v>24</v>
      </c>
      <c r="J294" s="82" t="s">
        <v>2171</v>
      </c>
      <c r="K294" s="82" t="s">
        <v>2167</v>
      </c>
      <c r="L294" s="82" t="s">
        <v>1946</v>
      </c>
      <c r="M294" s="82" t="s">
        <v>2090</v>
      </c>
      <c r="N294" s="82" t="s">
        <v>1946</v>
      </c>
      <c r="O294" s="82" t="s">
        <v>2173</v>
      </c>
    </row>
    <row r="295" spans="1:15" ht="15.75" hidden="1" x14ac:dyDescent="0.25">
      <c r="A295" t="str">
        <f t="shared" si="4"/>
        <v>ALR_ERRORE_LOGICO-Allarme errore logico</v>
      </c>
      <c r="C295" s="82" t="s">
        <v>1291</v>
      </c>
      <c r="D295" s="82" t="s">
        <v>1292</v>
      </c>
      <c r="E295" s="82" t="s">
        <v>2163</v>
      </c>
      <c r="F295" s="82" t="s">
        <v>1291</v>
      </c>
      <c r="G295" s="82" t="s">
        <v>1946</v>
      </c>
      <c r="H295" s="82" t="s">
        <v>2165</v>
      </c>
      <c r="I295" s="82" t="s">
        <v>24</v>
      </c>
      <c r="J295" s="82" t="s">
        <v>2171</v>
      </c>
      <c r="K295" s="82" t="s">
        <v>2167</v>
      </c>
      <c r="L295" s="82" t="s">
        <v>1946</v>
      </c>
      <c r="M295" s="82" t="s">
        <v>2090</v>
      </c>
      <c r="N295" s="82" t="s">
        <v>1946</v>
      </c>
      <c r="O295" s="82" t="s">
        <v>2173</v>
      </c>
    </row>
    <row r="296" spans="1:15" ht="15.75" hidden="1" x14ac:dyDescent="0.25">
      <c r="A296" t="str">
        <f t="shared" si="4"/>
        <v>ALR_ERRORE_MARCIA-Allarme errore marcia ventilatore</v>
      </c>
      <c r="C296" s="82" t="s">
        <v>1295</v>
      </c>
      <c r="D296" s="82" t="s">
        <v>1296</v>
      </c>
      <c r="E296" s="82" t="s">
        <v>2163</v>
      </c>
      <c r="F296" s="82" t="s">
        <v>1295</v>
      </c>
      <c r="G296" s="82" t="s">
        <v>1946</v>
      </c>
      <c r="H296" s="82" t="s">
        <v>2165</v>
      </c>
      <c r="I296" s="82" t="s">
        <v>24</v>
      </c>
      <c r="J296" s="82" t="s">
        <v>2171</v>
      </c>
      <c r="K296" s="82" t="s">
        <v>2167</v>
      </c>
      <c r="L296" s="82" t="s">
        <v>1946</v>
      </c>
      <c r="M296" s="82" t="s">
        <v>2090</v>
      </c>
      <c r="N296" s="82" t="s">
        <v>1946</v>
      </c>
      <c r="O296" s="82" t="s">
        <v>2173</v>
      </c>
    </row>
    <row r="297" spans="1:15" ht="15.75" hidden="1" x14ac:dyDescent="0.25">
      <c r="A297" t="str">
        <f t="shared" si="4"/>
        <v>ALR_ESCLUSIONE-Allarme esclusione</v>
      </c>
      <c r="C297" s="82" t="s">
        <v>309</v>
      </c>
      <c r="D297" s="82" t="s">
        <v>310</v>
      </c>
      <c r="E297" s="82" t="s">
        <v>2163</v>
      </c>
      <c r="F297" s="82" t="s">
        <v>309</v>
      </c>
      <c r="G297" s="82" t="s">
        <v>1946</v>
      </c>
      <c r="H297" s="82" t="s">
        <v>2165</v>
      </c>
      <c r="I297" s="82" t="s">
        <v>24</v>
      </c>
      <c r="J297" s="82" t="s">
        <v>2171</v>
      </c>
      <c r="K297" s="82" t="s">
        <v>2167</v>
      </c>
      <c r="L297" s="82" t="s">
        <v>1946</v>
      </c>
      <c r="M297" s="82" t="s">
        <v>2090</v>
      </c>
      <c r="N297" s="82" t="s">
        <v>1946</v>
      </c>
      <c r="O297" s="82" t="s">
        <v>2173</v>
      </c>
    </row>
    <row r="298" spans="1:15" ht="15.75" hidden="1" x14ac:dyDescent="0.25">
      <c r="A298" t="str">
        <f t="shared" si="4"/>
        <v>ALR_ESCLUSO_AUTO_ELETTROPOMPA-Allarme esclusione Elettropompa</v>
      </c>
      <c r="C298" s="82" t="s">
        <v>2308</v>
      </c>
      <c r="D298" s="82" t="s">
        <v>2309</v>
      </c>
      <c r="E298" s="82" t="s">
        <v>2163</v>
      </c>
      <c r="F298" s="82" t="s">
        <v>2308</v>
      </c>
      <c r="G298" s="82" t="s">
        <v>1946</v>
      </c>
      <c r="H298" s="82" t="s">
        <v>2165</v>
      </c>
      <c r="I298" s="82" t="s">
        <v>24</v>
      </c>
      <c r="J298" s="82" t="s">
        <v>2171</v>
      </c>
      <c r="K298" s="82" t="s">
        <v>2167</v>
      </c>
      <c r="L298" s="82" t="s">
        <v>1946</v>
      </c>
      <c r="M298" s="82" t="s">
        <v>2090</v>
      </c>
      <c r="N298" s="82" t="s">
        <v>1946</v>
      </c>
      <c r="O298" s="82" t="s">
        <v>2173</v>
      </c>
    </row>
    <row r="299" spans="1:15" ht="15.75" hidden="1" x14ac:dyDescent="0.25">
      <c r="A299" t="str">
        <f t="shared" si="4"/>
        <v>ALR_ESCLUSO_AUTO_MOTOPOMPA-Allarme esclusione Motopompa</v>
      </c>
      <c r="C299" s="82" t="s">
        <v>311</v>
      </c>
      <c r="D299" s="82" t="s">
        <v>312</v>
      </c>
      <c r="E299" s="82" t="s">
        <v>2163</v>
      </c>
      <c r="F299" s="82" t="s">
        <v>311</v>
      </c>
      <c r="G299" s="82" t="s">
        <v>1946</v>
      </c>
      <c r="H299" s="82" t="s">
        <v>2165</v>
      </c>
      <c r="I299" s="82" t="s">
        <v>24</v>
      </c>
      <c r="J299" s="82" t="s">
        <v>2171</v>
      </c>
      <c r="K299" s="82" t="s">
        <v>2167</v>
      </c>
      <c r="L299" s="82" t="s">
        <v>1946</v>
      </c>
      <c r="M299" s="82" t="s">
        <v>2090</v>
      </c>
      <c r="N299" s="82" t="s">
        <v>1946</v>
      </c>
      <c r="O299" s="82" t="s">
        <v>2173</v>
      </c>
    </row>
    <row r="300" spans="1:15" ht="15.75" hidden="1" x14ac:dyDescent="0.25">
      <c r="A300" t="str">
        <f t="shared" si="4"/>
        <v xml:space="preserve">ALR_ESTERNO_02-Allarme Esterno 02 </v>
      </c>
      <c r="C300" s="82" t="s">
        <v>1297</v>
      </c>
      <c r="D300" s="82" t="s">
        <v>1298</v>
      </c>
      <c r="E300" s="82" t="s">
        <v>2163</v>
      </c>
      <c r="F300" s="82" t="s">
        <v>1297</v>
      </c>
      <c r="G300" s="82" t="s">
        <v>1946</v>
      </c>
      <c r="H300" s="82" t="s">
        <v>2165</v>
      </c>
      <c r="I300" s="82" t="s">
        <v>24</v>
      </c>
      <c r="J300" s="82" t="s">
        <v>2171</v>
      </c>
      <c r="K300" s="82" t="s">
        <v>2167</v>
      </c>
      <c r="L300" s="82" t="s">
        <v>1946</v>
      </c>
      <c r="M300" s="82" t="s">
        <v>2090</v>
      </c>
      <c r="N300" s="82" t="s">
        <v>1946</v>
      </c>
      <c r="O300" s="82" t="s">
        <v>2173</v>
      </c>
    </row>
    <row r="301" spans="1:15" ht="15.75" hidden="1" x14ac:dyDescent="0.25">
      <c r="A301" t="str">
        <f t="shared" si="4"/>
        <v>ALR_ESTRAZIONE_ESTINTORE-Allarme SOS estintore estratto</v>
      </c>
      <c r="C301" s="82" t="s">
        <v>313</v>
      </c>
      <c r="D301" s="82" t="s">
        <v>314</v>
      </c>
      <c r="E301" s="82" t="s">
        <v>2163</v>
      </c>
      <c r="F301" s="82" t="s">
        <v>313</v>
      </c>
      <c r="G301" s="82" t="s">
        <v>1946</v>
      </c>
      <c r="H301" s="82" t="s">
        <v>2165</v>
      </c>
      <c r="I301" s="82" t="s">
        <v>24</v>
      </c>
      <c r="J301" s="82" t="s">
        <v>2171</v>
      </c>
      <c r="K301" s="82" t="s">
        <v>2167</v>
      </c>
      <c r="L301" s="82" t="s">
        <v>2175</v>
      </c>
      <c r="M301" s="82" t="s">
        <v>2176</v>
      </c>
      <c r="N301" s="82" t="s">
        <v>2177</v>
      </c>
      <c r="O301" s="82" t="s">
        <v>2173</v>
      </c>
    </row>
    <row r="302" spans="1:15" ht="15.75" hidden="1" x14ac:dyDescent="0.25">
      <c r="A302" t="str">
        <f t="shared" si="4"/>
        <v>ALR_ESTRAZIONE_ESTINTORE_2-Allarme SOS estintore 2 estratto</v>
      </c>
      <c r="C302" s="82" t="s">
        <v>315</v>
      </c>
      <c r="D302" s="82" t="s">
        <v>316</v>
      </c>
      <c r="E302" s="82" t="s">
        <v>2163</v>
      </c>
      <c r="F302" s="82" t="s">
        <v>315</v>
      </c>
      <c r="G302" s="82" t="s">
        <v>1946</v>
      </c>
      <c r="H302" s="82" t="s">
        <v>2165</v>
      </c>
      <c r="I302" s="82" t="s">
        <v>24</v>
      </c>
      <c r="J302" s="82" t="s">
        <v>2171</v>
      </c>
      <c r="K302" s="82" t="s">
        <v>2167</v>
      </c>
      <c r="L302" s="82" t="s">
        <v>2175</v>
      </c>
      <c r="M302" s="82" t="s">
        <v>2176</v>
      </c>
      <c r="N302" s="82" t="s">
        <v>2177</v>
      </c>
      <c r="O302" s="82" t="s">
        <v>2173</v>
      </c>
    </row>
    <row r="303" spans="1:15" ht="15.75" hidden="1" x14ac:dyDescent="0.25">
      <c r="A303" t="str">
        <f t="shared" si="4"/>
        <v>ALR_FATTIBILITA_CMD_DA_CAMPO-Allarme fattibilità comandi da campo</v>
      </c>
      <c r="C303" s="82" t="s">
        <v>1299</v>
      </c>
      <c r="D303" s="82" t="s">
        <v>2310</v>
      </c>
      <c r="E303" s="82" t="s">
        <v>2163</v>
      </c>
      <c r="F303" s="82" t="s">
        <v>1299</v>
      </c>
      <c r="G303" s="82" t="s">
        <v>1946</v>
      </c>
      <c r="H303" s="82" t="s">
        <v>2165</v>
      </c>
      <c r="I303" s="82" t="s">
        <v>24</v>
      </c>
      <c r="J303" s="82" t="s">
        <v>2171</v>
      </c>
      <c r="K303" s="82" t="s">
        <v>2167</v>
      </c>
      <c r="L303" s="82" t="s">
        <v>1946</v>
      </c>
      <c r="M303" s="82" t="s">
        <v>2090</v>
      </c>
      <c r="N303" s="82" t="s">
        <v>1946</v>
      </c>
      <c r="O303" s="82" t="s">
        <v>2173</v>
      </c>
    </row>
    <row r="304" spans="1:15" ht="15.75" hidden="1" x14ac:dyDescent="0.25">
      <c r="A304" t="str">
        <f t="shared" si="4"/>
        <v>ALR_FATTIBILITA_CMD_DA_SUPERVISIONE-Allarme fattibilità comandi da supervisione</v>
      </c>
      <c r="C304" s="82" t="s">
        <v>1301</v>
      </c>
      <c r="D304" s="82" t="s">
        <v>1302</v>
      </c>
      <c r="E304" s="82" t="s">
        <v>2163</v>
      </c>
      <c r="F304" s="82" t="s">
        <v>1301</v>
      </c>
      <c r="G304" s="82" t="s">
        <v>1946</v>
      </c>
      <c r="H304" s="82" t="s">
        <v>2165</v>
      </c>
      <c r="I304" s="82" t="s">
        <v>24</v>
      </c>
      <c r="J304" s="82" t="s">
        <v>2171</v>
      </c>
      <c r="K304" s="82" t="s">
        <v>2167</v>
      </c>
      <c r="L304" s="82" t="s">
        <v>1946</v>
      </c>
      <c r="M304" s="82" t="s">
        <v>2090</v>
      </c>
      <c r="N304" s="82" t="s">
        <v>1946</v>
      </c>
      <c r="O304" s="82" t="s">
        <v>2173</v>
      </c>
    </row>
    <row r="305" spans="1:15" ht="15.75" hidden="1" x14ac:dyDescent="0.25">
      <c r="A305" t="str">
        <f t="shared" si="4"/>
        <v>ALR_FAULT_CORSIA_1-Allarme fault corsia di emergenza</v>
      </c>
      <c r="C305" s="82" t="s">
        <v>1891</v>
      </c>
      <c r="D305" s="82" t="s">
        <v>1892</v>
      </c>
      <c r="E305" s="82" t="s">
        <v>2163</v>
      </c>
      <c r="F305" s="82" t="s">
        <v>1891</v>
      </c>
      <c r="G305" s="82" t="s">
        <v>2182</v>
      </c>
      <c r="H305" s="82" t="s">
        <v>2165</v>
      </c>
      <c r="I305" s="82" t="s">
        <v>24</v>
      </c>
      <c r="J305" s="82" t="s">
        <v>2171</v>
      </c>
      <c r="K305" s="82" t="s">
        <v>2167</v>
      </c>
      <c r="L305" s="82" t="s">
        <v>2182</v>
      </c>
      <c r="M305" s="82" t="s">
        <v>2184</v>
      </c>
      <c r="N305" s="82" t="s">
        <v>1946</v>
      </c>
      <c r="O305" s="82" t="s">
        <v>2173</v>
      </c>
    </row>
    <row r="306" spans="1:15" ht="15.75" hidden="1" x14ac:dyDescent="0.25">
      <c r="A306" t="str">
        <f t="shared" si="4"/>
        <v>ALR_FAULT_CORSIA_2-Allarme fault corsia di marcia</v>
      </c>
      <c r="C306" s="82" t="s">
        <v>1893</v>
      </c>
      <c r="D306" s="82" t="s">
        <v>1894</v>
      </c>
      <c r="E306" s="82" t="s">
        <v>2163</v>
      </c>
      <c r="F306" s="82" t="s">
        <v>1893</v>
      </c>
      <c r="G306" s="82" t="s">
        <v>2182</v>
      </c>
      <c r="H306" s="82" t="s">
        <v>2165</v>
      </c>
      <c r="I306" s="82" t="s">
        <v>24</v>
      </c>
      <c r="J306" s="82" t="s">
        <v>2171</v>
      </c>
      <c r="K306" s="82" t="s">
        <v>2167</v>
      </c>
      <c r="L306" s="82" t="s">
        <v>2182</v>
      </c>
      <c r="M306" s="82" t="s">
        <v>2184</v>
      </c>
      <c r="N306" s="82" t="s">
        <v>1946</v>
      </c>
      <c r="O306" s="82" t="s">
        <v>2173</v>
      </c>
    </row>
    <row r="307" spans="1:15" ht="15.75" hidden="1" x14ac:dyDescent="0.25">
      <c r="A307" t="str">
        <f t="shared" si="4"/>
        <v>ALR_FAULT_CORSIA_3-Allarme fault corsia veloce</v>
      </c>
      <c r="C307" s="82" t="s">
        <v>1889</v>
      </c>
      <c r="D307" s="82" t="s">
        <v>1890</v>
      </c>
      <c r="E307" s="82" t="s">
        <v>2163</v>
      </c>
      <c r="F307" s="82" t="s">
        <v>1889</v>
      </c>
      <c r="G307" s="82" t="s">
        <v>2182</v>
      </c>
      <c r="H307" s="82" t="s">
        <v>2165</v>
      </c>
      <c r="I307" s="82" t="s">
        <v>24</v>
      </c>
      <c r="J307" s="82" t="s">
        <v>2171</v>
      </c>
      <c r="K307" s="82" t="s">
        <v>2167</v>
      </c>
      <c r="L307" s="82" t="s">
        <v>2182</v>
      </c>
      <c r="M307" s="82" t="s">
        <v>2184</v>
      </c>
      <c r="N307" s="82" t="s">
        <v>1946</v>
      </c>
      <c r="O307" s="82" t="s">
        <v>2173</v>
      </c>
    </row>
    <row r="308" spans="1:15" ht="15.75" hidden="1" x14ac:dyDescent="0.25">
      <c r="A308" t="str">
        <f t="shared" si="4"/>
        <v>ALR_FAULT_MODULO_1-Allarme fault modulo 1</v>
      </c>
      <c r="C308" s="82" t="s">
        <v>1856</v>
      </c>
      <c r="D308" s="82" t="s">
        <v>1857</v>
      </c>
      <c r="E308" s="82" t="s">
        <v>2163</v>
      </c>
      <c r="F308" s="82" t="s">
        <v>1856</v>
      </c>
      <c r="G308" s="82" t="s">
        <v>2182</v>
      </c>
      <c r="H308" s="82" t="s">
        <v>2165</v>
      </c>
      <c r="I308" s="82" t="s">
        <v>24</v>
      </c>
      <c r="J308" s="82" t="s">
        <v>2171</v>
      </c>
      <c r="K308" s="82" t="s">
        <v>2167</v>
      </c>
      <c r="L308" s="82" t="s">
        <v>2182</v>
      </c>
      <c r="M308" s="82" t="s">
        <v>2184</v>
      </c>
      <c r="N308" s="82" t="s">
        <v>1946</v>
      </c>
      <c r="O308" s="82" t="s">
        <v>2173</v>
      </c>
    </row>
    <row r="309" spans="1:15" ht="15.75" hidden="1" x14ac:dyDescent="0.25">
      <c r="A309" t="str">
        <f t="shared" si="4"/>
        <v>ALR_FAULT_MODULO_10-Allarme fault modulo 10</v>
      </c>
      <c r="C309" s="82" t="s">
        <v>2311</v>
      </c>
      <c r="D309" s="82" t="s">
        <v>2312</v>
      </c>
      <c r="E309" s="82" t="s">
        <v>2163</v>
      </c>
      <c r="F309" s="82" t="s">
        <v>2311</v>
      </c>
      <c r="G309" s="82" t="s">
        <v>2182</v>
      </c>
      <c r="H309" s="82" t="s">
        <v>2165</v>
      </c>
      <c r="I309" s="82" t="s">
        <v>24</v>
      </c>
      <c r="J309" s="82" t="s">
        <v>2171</v>
      </c>
      <c r="K309" s="82" t="s">
        <v>2167</v>
      </c>
      <c r="L309" s="82" t="s">
        <v>2182</v>
      </c>
      <c r="M309" s="82" t="s">
        <v>2184</v>
      </c>
      <c r="N309" s="82" t="s">
        <v>1946</v>
      </c>
      <c r="O309" s="82" t="s">
        <v>2173</v>
      </c>
    </row>
    <row r="310" spans="1:15" ht="15.75" hidden="1" x14ac:dyDescent="0.25">
      <c r="A310" t="str">
        <f t="shared" si="4"/>
        <v>ALR_FAULT_MODULO_2-Allarme fault modulo 2</v>
      </c>
      <c r="C310" s="82" t="s">
        <v>1858</v>
      </c>
      <c r="D310" s="82" t="s">
        <v>1859</v>
      </c>
      <c r="E310" s="82" t="s">
        <v>2163</v>
      </c>
      <c r="F310" s="82" t="s">
        <v>1858</v>
      </c>
      <c r="G310" s="82" t="s">
        <v>2182</v>
      </c>
      <c r="H310" s="82" t="s">
        <v>2165</v>
      </c>
      <c r="I310" s="82" t="s">
        <v>24</v>
      </c>
      <c r="J310" s="82" t="s">
        <v>2171</v>
      </c>
      <c r="K310" s="82" t="s">
        <v>2167</v>
      </c>
      <c r="L310" s="82" t="s">
        <v>2182</v>
      </c>
      <c r="M310" s="82" t="s">
        <v>2184</v>
      </c>
      <c r="N310" s="82" t="s">
        <v>1946</v>
      </c>
      <c r="O310" s="82" t="s">
        <v>2173</v>
      </c>
    </row>
    <row r="311" spans="1:15" ht="15.75" hidden="1" x14ac:dyDescent="0.25">
      <c r="A311" t="str">
        <f t="shared" si="4"/>
        <v>ALR_FAULT_MODULO_3-Allarme fault modulo 3</v>
      </c>
      <c r="C311" s="82" t="s">
        <v>1860</v>
      </c>
      <c r="D311" s="82" t="s">
        <v>1861</v>
      </c>
      <c r="E311" s="82" t="s">
        <v>2163</v>
      </c>
      <c r="F311" s="82" t="s">
        <v>1860</v>
      </c>
      <c r="G311" s="82" t="s">
        <v>2182</v>
      </c>
      <c r="H311" s="82" t="s">
        <v>2165</v>
      </c>
      <c r="I311" s="82" t="s">
        <v>24</v>
      </c>
      <c r="J311" s="82" t="s">
        <v>2171</v>
      </c>
      <c r="K311" s="82" t="s">
        <v>2167</v>
      </c>
      <c r="L311" s="82" t="s">
        <v>2182</v>
      </c>
      <c r="M311" s="82" t="s">
        <v>2184</v>
      </c>
      <c r="N311" s="82" t="s">
        <v>1946</v>
      </c>
      <c r="O311" s="82" t="s">
        <v>2173</v>
      </c>
    </row>
    <row r="312" spans="1:15" ht="15.75" hidden="1" x14ac:dyDescent="0.25">
      <c r="A312" t="str">
        <f t="shared" si="4"/>
        <v>ALR_FAULT_MODULO_4-Allarme fault modulo 4</v>
      </c>
      <c r="C312" s="82" t="s">
        <v>1862</v>
      </c>
      <c r="D312" s="82" t="s">
        <v>1863</v>
      </c>
      <c r="E312" s="82" t="s">
        <v>2163</v>
      </c>
      <c r="F312" s="82" t="s">
        <v>1862</v>
      </c>
      <c r="G312" s="82" t="s">
        <v>2182</v>
      </c>
      <c r="H312" s="82" t="s">
        <v>2165</v>
      </c>
      <c r="I312" s="82" t="s">
        <v>24</v>
      </c>
      <c r="J312" s="82" t="s">
        <v>2171</v>
      </c>
      <c r="K312" s="82" t="s">
        <v>2167</v>
      </c>
      <c r="L312" s="82" t="s">
        <v>2182</v>
      </c>
      <c r="M312" s="82" t="s">
        <v>2184</v>
      </c>
      <c r="N312" s="82" t="s">
        <v>1946</v>
      </c>
      <c r="O312" s="82" t="s">
        <v>2173</v>
      </c>
    </row>
    <row r="313" spans="1:15" ht="15.75" hidden="1" x14ac:dyDescent="0.25">
      <c r="A313" t="str">
        <f t="shared" si="4"/>
        <v>ALR_FAULT_MODULO_5-Allarme fault modulo 5</v>
      </c>
      <c r="C313" s="82" t="s">
        <v>1864</v>
      </c>
      <c r="D313" s="82" t="s">
        <v>1865</v>
      </c>
      <c r="E313" s="82" t="s">
        <v>2163</v>
      </c>
      <c r="F313" s="82" t="s">
        <v>1864</v>
      </c>
      <c r="G313" s="82" t="s">
        <v>2182</v>
      </c>
      <c r="H313" s="82" t="s">
        <v>2165</v>
      </c>
      <c r="I313" s="82" t="s">
        <v>24</v>
      </c>
      <c r="J313" s="82" t="s">
        <v>2171</v>
      </c>
      <c r="K313" s="82" t="s">
        <v>2167</v>
      </c>
      <c r="L313" s="82" t="s">
        <v>2182</v>
      </c>
      <c r="M313" s="82" t="s">
        <v>2184</v>
      </c>
      <c r="N313" s="82" t="s">
        <v>1946</v>
      </c>
      <c r="O313" s="82" t="s">
        <v>2173</v>
      </c>
    </row>
    <row r="314" spans="1:15" ht="15.75" hidden="1" x14ac:dyDescent="0.25">
      <c r="A314" t="str">
        <f t="shared" si="4"/>
        <v>ALR_FAULT_MODULO_6-Allarme fault modulo 6</v>
      </c>
      <c r="C314" s="82" t="s">
        <v>1866</v>
      </c>
      <c r="D314" s="82" t="s">
        <v>1867</v>
      </c>
      <c r="E314" s="82" t="s">
        <v>2163</v>
      </c>
      <c r="F314" s="82" t="s">
        <v>1866</v>
      </c>
      <c r="G314" s="82" t="s">
        <v>2182</v>
      </c>
      <c r="H314" s="82" t="s">
        <v>2165</v>
      </c>
      <c r="I314" s="82" t="s">
        <v>24</v>
      </c>
      <c r="J314" s="82" t="s">
        <v>2171</v>
      </c>
      <c r="K314" s="82" t="s">
        <v>2167</v>
      </c>
      <c r="L314" s="82" t="s">
        <v>2182</v>
      </c>
      <c r="M314" s="82" t="s">
        <v>2184</v>
      </c>
      <c r="N314" s="82" t="s">
        <v>1946</v>
      </c>
      <c r="O314" s="82" t="s">
        <v>2173</v>
      </c>
    </row>
    <row r="315" spans="1:15" ht="15.75" hidden="1" x14ac:dyDescent="0.25">
      <c r="A315" t="str">
        <f t="shared" si="4"/>
        <v>ALR_FAULT_MODULO_7-Allarme fault modulo 7</v>
      </c>
      <c r="C315" s="82" t="s">
        <v>1868</v>
      </c>
      <c r="D315" s="82" t="s">
        <v>1869</v>
      </c>
      <c r="E315" s="82" t="s">
        <v>2163</v>
      </c>
      <c r="F315" s="82" t="s">
        <v>1868</v>
      </c>
      <c r="G315" s="82" t="s">
        <v>2182</v>
      </c>
      <c r="H315" s="82" t="s">
        <v>2165</v>
      </c>
      <c r="I315" s="82" t="s">
        <v>24</v>
      </c>
      <c r="J315" s="82" t="s">
        <v>2171</v>
      </c>
      <c r="K315" s="82" t="s">
        <v>2167</v>
      </c>
      <c r="L315" s="82" t="s">
        <v>2182</v>
      </c>
      <c r="M315" s="82" t="s">
        <v>2184</v>
      </c>
      <c r="N315" s="82" t="s">
        <v>1946</v>
      </c>
      <c r="O315" s="82" t="s">
        <v>2173</v>
      </c>
    </row>
    <row r="316" spans="1:15" ht="15.75" hidden="1" x14ac:dyDescent="0.25">
      <c r="A316" t="str">
        <f t="shared" si="4"/>
        <v>ALR_FAULT_MODULO_8-Allarme fault modulo 8</v>
      </c>
      <c r="C316" s="82" t="s">
        <v>1870</v>
      </c>
      <c r="D316" s="82" t="s">
        <v>1871</v>
      </c>
      <c r="E316" s="82" t="s">
        <v>2163</v>
      </c>
      <c r="F316" s="82" t="s">
        <v>1870</v>
      </c>
      <c r="G316" s="82" t="s">
        <v>2182</v>
      </c>
      <c r="H316" s="82" t="s">
        <v>2165</v>
      </c>
      <c r="I316" s="82" t="s">
        <v>24</v>
      </c>
      <c r="J316" s="82" t="s">
        <v>2171</v>
      </c>
      <c r="K316" s="82" t="s">
        <v>2167</v>
      </c>
      <c r="L316" s="82" t="s">
        <v>2182</v>
      </c>
      <c r="M316" s="82" t="s">
        <v>2184</v>
      </c>
      <c r="N316" s="82" t="s">
        <v>1946</v>
      </c>
      <c r="O316" s="82" t="s">
        <v>2173</v>
      </c>
    </row>
    <row r="317" spans="1:15" ht="15.75" hidden="1" x14ac:dyDescent="0.25">
      <c r="A317" t="str">
        <f t="shared" si="4"/>
        <v>ALR_FAULT_MODULO_9-Allarme fault modulo 9</v>
      </c>
      <c r="C317" s="82" t="s">
        <v>1872</v>
      </c>
      <c r="D317" s="82" t="s">
        <v>1873</v>
      </c>
      <c r="E317" s="82" t="s">
        <v>2163</v>
      </c>
      <c r="F317" s="82" t="s">
        <v>1872</v>
      </c>
      <c r="G317" s="82" t="s">
        <v>2182</v>
      </c>
      <c r="H317" s="82" t="s">
        <v>2165</v>
      </c>
      <c r="I317" s="82" t="s">
        <v>24</v>
      </c>
      <c r="J317" s="82" t="s">
        <v>2171</v>
      </c>
      <c r="K317" s="82" t="s">
        <v>2167</v>
      </c>
      <c r="L317" s="82" t="s">
        <v>2182</v>
      </c>
      <c r="M317" s="82" t="s">
        <v>2184</v>
      </c>
      <c r="N317" s="82" t="s">
        <v>1946</v>
      </c>
      <c r="O317" s="82" t="s">
        <v>2173</v>
      </c>
    </row>
    <row r="318" spans="1:15" ht="15.75" hidden="1" x14ac:dyDescent="0.25">
      <c r="A318" t="str">
        <f t="shared" si="4"/>
        <v>ALR_FC-Allarme freccia-croce</v>
      </c>
      <c r="C318" s="82" t="s">
        <v>1303</v>
      </c>
      <c r="D318" s="82" t="s">
        <v>1304</v>
      </c>
      <c r="E318" s="82" t="s">
        <v>2163</v>
      </c>
      <c r="F318" s="82" t="s">
        <v>1303</v>
      </c>
      <c r="G318" s="82" t="s">
        <v>1946</v>
      </c>
      <c r="H318" s="82" t="s">
        <v>2165</v>
      </c>
      <c r="I318" s="82" t="s">
        <v>24</v>
      </c>
      <c r="J318" s="82" t="s">
        <v>2171</v>
      </c>
      <c r="K318" s="82" t="s">
        <v>2167</v>
      </c>
      <c r="L318" s="82" t="s">
        <v>1946</v>
      </c>
      <c r="M318" s="82" t="s">
        <v>2090</v>
      </c>
      <c r="N318" s="82" t="s">
        <v>1946</v>
      </c>
      <c r="O318" s="82" t="s">
        <v>2173</v>
      </c>
    </row>
    <row r="319" spans="1:15" ht="15.75" hidden="1" x14ac:dyDescent="0.25">
      <c r="A319" t="str">
        <f t="shared" si="4"/>
        <v>ALR_FILO_ISOLATO-Allarme filo D+ isolato</v>
      </c>
      <c r="C319" s="82" t="s">
        <v>317</v>
      </c>
      <c r="D319" s="82" t="s">
        <v>318</v>
      </c>
      <c r="E319" s="82" t="s">
        <v>2163</v>
      </c>
      <c r="F319" s="82" t="s">
        <v>317</v>
      </c>
      <c r="G319" s="82" t="s">
        <v>1946</v>
      </c>
      <c r="H319" s="82" t="s">
        <v>2165</v>
      </c>
      <c r="I319" s="82" t="s">
        <v>24</v>
      </c>
      <c r="J319" s="82" t="s">
        <v>2171</v>
      </c>
      <c r="K319" s="82" t="s">
        <v>2167</v>
      </c>
      <c r="L319" s="82" t="s">
        <v>1946</v>
      </c>
      <c r="M319" s="82" t="s">
        <v>2090</v>
      </c>
      <c r="N319" s="82" t="s">
        <v>1946</v>
      </c>
      <c r="O319" s="82" t="s">
        <v>2173</v>
      </c>
    </row>
    <row r="320" spans="1:15" ht="15.75" hidden="1" x14ac:dyDescent="0.25">
      <c r="A320" t="str">
        <f t="shared" si="4"/>
        <v>ALR_FILO_PRESSIONE_OLIO-Allarme filo pressione olio</v>
      </c>
      <c r="C320" s="82" t="s">
        <v>319</v>
      </c>
      <c r="D320" s="82" t="s">
        <v>320</v>
      </c>
      <c r="E320" s="82" t="s">
        <v>2163</v>
      </c>
      <c r="F320" s="82" t="s">
        <v>319</v>
      </c>
      <c r="G320" s="82" t="s">
        <v>1946</v>
      </c>
      <c r="H320" s="82" t="s">
        <v>2165</v>
      </c>
      <c r="I320" s="82" t="s">
        <v>24</v>
      </c>
      <c r="J320" s="82" t="s">
        <v>2171</v>
      </c>
      <c r="K320" s="82" t="s">
        <v>2167</v>
      </c>
      <c r="L320" s="82" t="s">
        <v>1946</v>
      </c>
      <c r="M320" s="82" t="s">
        <v>2090</v>
      </c>
      <c r="N320" s="82" t="s">
        <v>1946</v>
      </c>
      <c r="O320" s="82" t="s">
        <v>2173</v>
      </c>
    </row>
    <row r="321" spans="1:15" ht="15.75" hidden="1" x14ac:dyDescent="0.25">
      <c r="A321" t="str">
        <f t="shared" si="4"/>
        <v>ALR_FINECORSA_STACCO-Allarme finecorsa stacco</v>
      </c>
      <c r="C321" s="82" t="s">
        <v>1305</v>
      </c>
      <c r="D321" s="82" t="s">
        <v>1306</v>
      </c>
      <c r="E321" s="82" t="s">
        <v>2163</v>
      </c>
      <c r="F321" s="82" t="s">
        <v>1305</v>
      </c>
      <c r="G321" s="82" t="s">
        <v>1946</v>
      </c>
      <c r="H321" s="82" t="s">
        <v>2165</v>
      </c>
      <c r="I321" s="82" t="s">
        <v>33</v>
      </c>
      <c r="J321" s="82" t="s">
        <v>2174</v>
      </c>
      <c r="K321" s="82" t="s">
        <v>2173</v>
      </c>
      <c r="L321" s="82" t="s">
        <v>1946</v>
      </c>
      <c r="M321" s="82" t="s">
        <v>2176</v>
      </c>
      <c r="N321" s="82" t="s">
        <v>2188</v>
      </c>
      <c r="O321" s="82" t="s">
        <v>2173</v>
      </c>
    </row>
    <row r="322" spans="1:15" ht="15.75" hidden="1" x14ac:dyDescent="0.25">
      <c r="A322" t="str">
        <f t="shared" si="4"/>
        <v>ALR_FLUSSOSTATO-Allarme flussostato</v>
      </c>
      <c r="C322" s="82" t="s">
        <v>1307</v>
      </c>
      <c r="D322" s="82" t="s">
        <v>1308</v>
      </c>
      <c r="E322" s="82" t="s">
        <v>2163</v>
      </c>
      <c r="F322" s="82" t="s">
        <v>1307</v>
      </c>
      <c r="G322" s="82" t="s">
        <v>1946</v>
      </c>
      <c r="H322" s="82" t="s">
        <v>2165</v>
      </c>
      <c r="I322" s="82" t="s">
        <v>24</v>
      </c>
      <c r="J322" s="82" t="s">
        <v>2171</v>
      </c>
      <c r="K322" s="82" t="s">
        <v>2167</v>
      </c>
      <c r="L322" s="82" t="s">
        <v>1946</v>
      </c>
      <c r="M322" s="82" t="s">
        <v>2090</v>
      </c>
      <c r="N322" s="82" t="s">
        <v>1946</v>
      </c>
      <c r="O322" s="82" t="s">
        <v>2173</v>
      </c>
    </row>
    <row r="323" spans="1:15" ht="15.75" hidden="1" x14ac:dyDescent="0.25">
      <c r="A323" t="str">
        <f t="shared" ref="A323:A386" si="5">CONCATENATE(F323,"-",D323)</f>
        <v>ALR_FORZA_REMOTO-Allarme forzatura remoto</v>
      </c>
      <c r="C323" s="82" t="s">
        <v>321</v>
      </c>
      <c r="D323" s="82" t="s">
        <v>322</v>
      </c>
      <c r="E323" s="82" t="s">
        <v>2163</v>
      </c>
      <c r="F323" s="82" t="s">
        <v>321</v>
      </c>
      <c r="G323" s="82" t="s">
        <v>1946</v>
      </c>
      <c r="H323" s="82" t="s">
        <v>2165</v>
      </c>
      <c r="I323" s="82" t="s">
        <v>24</v>
      </c>
      <c r="J323" s="82" t="s">
        <v>2171</v>
      </c>
      <c r="K323" s="82" t="s">
        <v>2167</v>
      </c>
      <c r="L323" s="82" t="s">
        <v>1946</v>
      </c>
      <c r="M323" s="82" t="s">
        <v>2090</v>
      </c>
      <c r="N323" s="82" t="s">
        <v>1946</v>
      </c>
      <c r="O323" s="82" t="s">
        <v>2173</v>
      </c>
    </row>
    <row r="324" spans="1:15" ht="15.75" hidden="1" x14ac:dyDescent="0.25">
      <c r="A324" t="str">
        <f t="shared" si="5"/>
        <v>ALR_FREQUENZA_FUORI_SOGLIA-Allarme frequenza fuori soglia</v>
      </c>
      <c r="C324" s="82" t="s">
        <v>323</v>
      </c>
      <c r="D324" s="82" t="s">
        <v>324</v>
      </c>
      <c r="E324" s="82" t="s">
        <v>2163</v>
      </c>
      <c r="F324" s="82" t="s">
        <v>323</v>
      </c>
      <c r="G324" s="82" t="s">
        <v>1946</v>
      </c>
      <c r="H324" s="82" t="s">
        <v>2165</v>
      </c>
      <c r="I324" s="82" t="s">
        <v>24</v>
      </c>
      <c r="J324" s="82" t="s">
        <v>2171</v>
      </c>
      <c r="K324" s="82" t="s">
        <v>2167</v>
      </c>
      <c r="L324" s="82" t="s">
        <v>1946</v>
      </c>
      <c r="M324" s="82" t="s">
        <v>2090</v>
      </c>
      <c r="N324" s="82" t="s">
        <v>1946</v>
      </c>
      <c r="O324" s="82" t="s">
        <v>2173</v>
      </c>
    </row>
    <row r="325" spans="1:15" ht="15.75" hidden="1" x14ac:dyDescent="0.25">
      <c r="A325" t="str">
        <f t="shared" si="5"/>
        <v>ALR_FREQUENZA_IN_USCITA-Allarme frequenza in uscita</v>
      </c>
      <c r="C325" s="82" t="s">
        <v>1310</v>
      </c>
      <c r="D325" s="82" t="s">
        <v>1311</v>
      </c>
      <c r="E325" s="82" t="s">
        <v>2163</v>
      </c>
      <c r="F325" s="82" t="s">
        <v>1310</v>
      </c>
      <c r="G325" s="82" t="s">
        <v>2182</v>
      </c>
      <c r="H325" s="82" t="s">
        <v>2165</v>
      </c>
      <c r="I325" s="82" t="s">
        <v>24</v>
      </c>
      <c r="J325" s="82" t="s">
        <v>2171</v>
      </c>
      <c r="K325" s="82" t="s">
        <v>2167</v>
      </c>
      <c r="L325" s="82" t="s">
        <v>1946</v>
      </c>
      <c r="M325" s="82" t="s">
        <v>2090</v>
      </c>
      <c r="N325" s="82" t="s">
        <v>1946</v>
      </c>
      <c r="O325" s="82" t="s">
        <v>2167</v>
      </c>
    </row>
    <row r="326" spans="1:15" ht="15.75" hidden="1" x14ac:dyDescent="0.25">
      <c r="A326" t="str">
        <f t="shared" si="5"/>
        <v>ALR_FUMI_GE-Allarme fumi gruppo elettrogeno</v>
      </c>
      <c r="C326" s="82" t="s">
        <v>2313</v>
      </c>
      <c r="D326" s="82" t="s">
        <v>2314</v>
      </c>
      <c r="E326" s="82" t="s">
        <v>2163</v>
      </c>
      <c r="F326" s="82" t="s">
        <v>2313</v>
      </c>
      <c r="G326" s="82" t="s">
        <v>1946</v>
      </c>
      <c r="H326" s="82" t="s">
        <v>2165</v>
      </c>
      <c r="I326" s="82" t="s">
        <v>24</v>
      </c>
      <c r="J326" s="82" t="s">
        <v>2171</v>
      </c>
      <c r="K326" s="82" t="s">
        <v>2167</v>
      </c>
      <c r="L326" s="82" t="s">
        <v>1946</v>
      </c>
      <c r="M326" s="82" t="s">
        <v>2090</v>
      </c>
      <c r="N326" s="82" t="s">
        <v>1946</v>
      </c>
      <c r="O326" s="82" t="s">
        <v>2173</v>
      </c>
    </row>
    <row r="327" spans="1:15" ht="15.75" hidden="1" x14ac:dyDescent="0.25">
      <c r="A327" t="str">
        <f t="shared" si="5"/>
        <v>ALR_FURTO_CAVI-Allarme furto cavi</v>
      </c>
      <c r="C327" s="82" t="s">
        <v>2099</v>
      </c>
      <c r="D327" s="82" t="s">
        <v>2100</v>
      </c>
      <c r="E327" s="82" t="s">
        <v>2163</v>
      </c>
      <c r="F327" s="82" t="s">
        <v>2099</v>
      </c>
      <c r="G327" s="82" t="s">
        <v>1946</v>
      </c>
      <c r="H327" s="82" t="s">
        <v>2165</v>
      </c>
      <c r="I327" s="82" t="s">
        <v>24</v>
      </c>
      <c r="J327" s="82" t="s">
        <v>2171</v>
      </c>
      <c r="K327" s="82" t="s">
        <v>2167</v>
      </c>
      <c r="L327" s="82" t="s">
        <v>1946</v>
      </c>
      <c r="M327" s="82" t="s">
        <v>2090</v>
      </c>
      <c r="N327" s="82" t="s">
        <v>1946</v>
      </c>
      <c r="O327" s="82" t="s">
        <v>2173</v>
      </c>
    </row>
    <row r="328" spans="1:15" ht="15.75" hidden="1" x14ac:dyDescent="0.25">
      <c r="A328" t="str">
        <f t="shared" si="5"/>
        <v xml:space="preserve">ALR_FUSIBILE_ALIM_GATEWAY-Allarme fusibile alim. gateway </v>
      </c>
      <c r="C328" s="82" t="s">
        <v>325</v>
      </c>
      <c r="D328" s="82" t="s">
        <v>326</v>
      </c>
      <c r="E328" s="82" t="s">
        <v>2163</v>
      </c>
      <c r="F328" s="82" t="s">
        <v>325</v>
      </c>
      <c r="G328" s="82" t="s">
        <v>1946</v>
      </c>
      <c r="H328" s="82" t="s">
        <v>2165</v>
      </c>
      <c r="I328" s="82" t="s">
        <v>24</v>
      </c>
      <c r="J328" s="82" t="s">
        <v>2171</v>
      </c>
      <c r="K328" s="82" t="s">
        <v>2167</v>
      </c>
      <c r="L328" s="82" t="s">
        <v>1946</v>
      </c>
      <c r="M328" s="82" t="s">
        <v>2090</v>
      </c>
      <c r="N328" s="82" t="s">
        <v>1946</v>
      </c>
      <c r="O328" s="82" t="s">
        <v>2173</v>
      </c>
    </row>
    <row r="329" spans="1:15" ht="15.75" hidden="1" x14ac:dyDescent="0.25">
      <c r="A329" t="str">
        <f t="shared" si="5"/>
        <v>ALR_FUSIBILE_CONVERTITORE_DC-Allarme fusibile convertitore DC</v>
      </c>
      <c r="C329" s="82" t="s">
        <v>328</v>
      </c>
      <c r="D329" s="82" t="s">
        <v>329</v>
      </c>
      <c r="E329" s="82" t="s">
        <v>2163</v>
      </c>
      <c r="F329" s="82" t="s">
        <v>328</v>
      </c>
      <c r="G329" s="82" t="s">
        <v>1946</v>
      </c>
      <c r="H329" s="82" t="s">
        <v>2165</v>
      </c>
      <c r="I329" s="82" t="s">
        <v>24</v>
      </c>
      <c r="J329" s="82" t="s">
        <v>2171</v>
      </c>
      <c r="K329" s="82" t="s">
        <v>2167</v>
      </c>
      <c r="L329" s="82" t="s">
        <v>1946</v>
      </c>
      <c r="M329" s="82" t="s">
        <v>2090</v>
      </c>
      <c r="N329" s="82" t="s">
        <v>1946</v>
      </c>
      <c r="O329" s="82" t="s">
        <v>2173</v>
      </c>
    </row>
    <row r="330" spans="1:15" ht="15.75" hidden="1" x14ac:dyDescent="0.25">
      <c r="A330" t="str">
        <f t="shared" si="5"/>
        <v>ALR_FUSIBILE_CORONA_LED_PALO-Allarme fusibile corona LED palo</v>
      </c>
      <c r="C330" s="82" t="s">
        <v>330</v>
      </c>
      <c r="D330" s="82" t="s">
        <v>331</v>
      </c>
      <c r="E330" s="82" t="s">
        <v>2163</v>
      </c>
      <c r="F330" s="82" t="s">
        <v>330</v>
      </c>
      <c r="G330" s="82" t="s">
        <v>1946</v>
      </c>
      <c r="H330" s="82" t="s">
        <v>2165</v>
      </c>
      <c r="I330" s="82" t="s">
        <v>24</v>
      </c>
      <c r="J330" s="82" t="s">
        <v>2171</v>
      </c>
      <c r="K330" s="82" t="s">
        <v>2167</v>
      </c>
      <c r="L330" s="82" t="s">
        <v>1946</v>
      </c>
      <c r="M330" s="82" t="s">
        <v>2090</v>
      </c>
      <c r="N330" s="82" t="s">
        <v>1946</v>
      </c>
      <c r="O330" s="82" t="s">
        <v>2173</v>
      </c>
    </row>
    <row r="331" spans="1:15" ht="15.75" hidden="1" x14ac:dyDescent="0.25">
      <c r="A331" t="str">
        <f t="shared" si="5"/>
        <v>ALR_FUSIBILE_DA_QE-Allarme fusibile da QE</v>
      </c>
      <c r="C331" s="82" t="s">
        <v>1312</v>
      </c>
      <c r="D331" s="82" t="s">
        <v>1313</v>
      </c>
      <c r="E331" s="82" t="s">
        <v>2163</v>
      </c>
      <c r="F331" s="82" t="s">
        <v>1312</v>
      </c>
      <c r="G331" s="82" t="s">
        <v>1946</v>
      </c>
      <c r="H331" s="82" t="s">
        <v>2165</v>
      </c>
      <c r="I331" s="82" t="s">
        <v>24</v>
      </c>
      <c r="J331" s="82" t="s">
        <v>2171</v>
      </c>
      <c r="K331" s="82" t="s">
        <v>2167</v>
      </c>
      <c r="L331" s="82" t="s">
        <v>1946</v>
      </c>
      <c r="M331" s="82" t="s">
        <v>2090</v>
      </c>
      <c r="N331" s="82" t="s">
        <v>1946</v>
      </c>
      <c r="O331" s="82" t="s">
        <v>2173</v>
      </c>
    </row>
    <row r="332" spans="1:15" ht="15.75" hidden="1" x14ac:dyDescent="0.25">
      <c r="A332" t="str">
        <f t="shared" si="5"/>
        <v>ALR_FUSIBILE_DA_TR-Allarme fusibile da TR</v>
      </c>
      <c r="C332" s="82" t="s">
        <v>1314</v>
      </c>
      <c r="D332" s="82" t="s">
        <v>1315</v>
      </c>
      <c r="E332" s="82" t="s">
        <v>2163</v>
      </c>
      <c r="F332" s="82" t="s">
        <v>1314</v>
      </c>
      <c r="G332" s="82" t="s">
        <v>1946</v>
      </c>
      <c r="H332" s="82" t="s">
        <v>2165</v>
      </c>
      <c r="I332" s="82" t="s">
        <v>24</v>
      </c>
      <c r="J332" s="82" t="s">
        <v>2171</v>
      </c>
      <c r="K332" s="82" t="s">
        <v>2167</v>
      </c>
      <c r="L332" s="82" t="s">
        <v>1946</v>
      </c>
      <c r="M332" s="82" t="s">
        <v>2090</v>
      </c>
      <c r="N332" s="82" t="s">
        <v>1946</v>
      </c>
      <c r="O332" s="82" t="s">
        <v>2173</v>
      </c>
    </row>
    <row r="333" spans="1:15" ht="15.75" hidden="1" x14ac:dyDescent="0.25">
      <c r="A333" t="str">
        <f t="shared" si="5"/>
        <v>ALR_FUSIBILE_PACCO_BATTERIE-Allarme fusibile pacco batterie</v>
      </c>
      <c r="C333" s="82" t="s">
        <v>332</v>
      </c>
      <c r="D333" s="82" t="s">
        <v>333</v>
      </c>
      <c r="E333" s="82" t="s">
        <v>2163</v>
      </c>
      <c r="F333" s="82" t="s">
        <v>332</v>
      </c>
      <c r="G333" s="82" t="s">
        <v>1946</v>
      </c>
      <c r="H333" s="82" t="s">
        <v>2165</v>
      </c>
      <c r="I333" s="82" t="s">
        <v>24</v>
      </c>
      <c r="J333" s="82" t="s">
        <v>2171</v>
      </c>
      <c r="K333" s="82" t="s">
        <v>2167</v>
      </c>
      <c r="L333" s="82" t="s">
        <v>1946</v>
      </c>
      <c r="M333" s="82" t="s">
        <v>2090</v>
      </c>
      <c r="N333" s="82" t="s">
        <v>1946</v>
      </c>
      <c r="O333" s="82" t="s">
        <v>2173</v>
      </c>
    </row>
    <row r="334" spans="1:15" ht="15.75" hidden="1" x14ac:dyDescent="0.25">
      <c r="A334" t="str">
        <f t="shared" si="5"/>
        <v>ALR_FUSIBILE_REMOTA_IO-Allarme fusibile base remota I/O</v>
      </c>
      <c r="C334" s="82" t="s">
        <v>334</v>
      </c>
      <c r="D334" s="82" t="s">
        <v>335</v>
      </c>
      <c r="E334" s="82" t="s">
        <v>2163</v>
      </c>
      <c r="F334" s="82" t="s">
        <v>334</v>
      </c>
      <c r="G334" s="82" t="s">
        <v>1946</v>
      </c>
      <c r="H334" s="82" t="s">
        <v>2165</v>
      </c>
      <c r="I334" s="82" t="s">
        <v>24</v>
      </c>
      <c r="J334" s="82" t="s">
        <v>2171</v>
      </c>
      <c r="K334" s="82" t="s">
        <v>2167</v>
      </c>
      <c r="L334" s="82" t="s">
        <v>1946</v>
      </c>
      <c r="M334" s="82" t="s">
        <v>2090</v>
      </c>
      <c r="N334" s="82" t="s">
        <v>1946</v>
      </c>
      <c r="O334" s="82" t="s">
        <v>2173</v>
      </c>
    </row>
    <row r="335" spans="1:15" ht="15.75" hidden="1" x14ac:dyDescent="0.25">
      <c r="A335" t="str">
        <f t="shared" si="5"/>
        <v>ALR_FUSIBILE_RESISTENZA_ANTICONDENSA-Allarme fusibile resistenza anticondensa</v>
      </c>
      <c r="C335" s="82" t="s">
        <v>336</v>
      </c>
      <c r="D335" s="82" t="s">
        <v>337</v>
      </c>
      <c r="E335" s="82" t="s">
        <v>2163</v>
      </c>
      <c r="F335" s="82" t="s">
        <v>336</v>
      </c>
      <c r="G335" s="82" t="s">
        <v>1946</v>
      </c>
      <c r="H335" s="82" t="s">
        <v>2165</v>
      </c>
      <c r="I335" s="82" t="s">
        <v>24</v>
      </c>
      <c r="J335" s="82" t="s">
        <v>2171</v>
      </c>
      <c r="K335" s="82" t="s">
        <v>2167</v>
      </c>
      <c r="L335" s="82" t="s">
        <v>1946</v>
      </c>
      <c r="M335" s="82" t="s">
        <v>2090</v>
      </c>
      <c r="N335" s="82" t="s">
        <v>1946</v>
      </c>
      <c r="O335" s="82" t="s">
        <v>2173</v>
      </c>
    </row>
    <row r="336" spans="1:15" ht="15.75" hidden="1" x14ac:dyDescent="0.25">
      <c r="A336" t="str">
        <f t="shared" si="5"/>
        <v>ALR_FUSIBILE_SWITCH-Allarme fusibile switch</v>
      </c>
      <c r="C336" s="82" t="s">
        <v>338</v>
      </c>
      <c r="D336" s="82" t="s">
        <v>339</v>
      </c>
      <c r="E336" s="82" t="s">
        <v>2163</v>
      </c>
      <c r="F336" s="82" t="s">
        <v>338</v>
      </c>
      <c r="G336" s="82" t="s">
        <v>1946</v>
      </c>
      <c r="H336" s="82" t="s">
        <v>2165</v>
      </c>
      <c r="I336" s="82" t="s">
        <v>24</v>
      </c>
      <c r="J336" s="82" t="s">
        <v>2171</v>
      </c>
      <c r="K336" s="82" t="s">
        <v>2167</v>
      </c>
      <c r="L336" s="82" t="s">
        <v>1946</v>
      </c>
      <c r="M336" s="82" t="s">
        <v>2090</v>
      </c>
      <c r="N336" s="82" t="s">
        <v>1946</v>
      </c>
      <c r="O336" s="82" t="s">
        <v>2173</v>
      </c>
    </row>
    <row r="337" spans="1:15" ht="15.75" hidden="1" x14ac:dyDescent="0.25">
      <c r="A337" t="str">
        <f t="shared" si="5"/>
        <v>ALR_FUSIBILE_TELECAMERA_SMART-Allarme fusibile telecamere smart</v>
      </c>
      <c r="C337" s="82" t="s">
        <v>340</v>
      </c>
      <c r="D337" s="82" t="s">
        <v>341</v>
      </c>
      <c r="E337" s="82" t="s">
        <v>2163</v>
      </c>
      <c r="F337" s="82" t="s">
        <v>340</v>
      </c>
      <c r="G337" s="82" t="s">
        <v>1946</v>
      </c>
      <c r="H337" s="82" t="s">
        <v>2165</v>
      </c>
      <c r="I337" s="82" t="s">
        <v>24</v>
      </c>
      <c r="J337" s="82" t="s">
        <v>2171</v>
      </c>
      <c r="K337" s="82" t="s">
        <v>2167</v>
      </c>
      <c r="L337" s="82" t="s">
        <v>1946</v>
      </c>
      <c r="M337" s="82" t="s">
        <v>2090</v>
      </c>
      <c r="N337" s="82" t="s">
        <v>1946</v>
      </c>
      <c r="O337" s="82" t="s">
        <v>2173</v>
      </c>
    </row>
    <row r="338" spans="1:15" ht="15.75" hidden="1" x14ac:dyDescent="0.25">
      <c r="A338" t="str">
        <f t="shared" si="5"/>
        <v>ALR_FUSIBILE_VENTOLA-Allarme fusibile ventola</v>
      </c>
      <c r="C338" s="82" t="s">
        <v>342</v>
      </c>
      <c r="D338" s="82" t="s">
        <v>343</v>
      </c>
      <c r="E338" s="82" t="s">
        <v>2163</v>
      </c>
      <c r="F338" s="82" t="s">
        <v>342</v>
      </c>
      <c r="G338" s="82" t="s">
        <v>1946</v>
      </c>
      <c r="H338" s="82" t="s">
        <v>2165</v>
      </c>
      <c r="I338" s="82" t="s">
        <v>24</v>
      </c>
      <c r="J338" s="82" t="s">
        <v>2171</v>
      </c>
      <c r="K338" s="82" t="s">
        <v>2167</v>
      </c>
      <c r="L338" s="82" t="s">
        <v>1946</v>
      </c>
      <c r="M338" s="82" t="s">
        <v>2090</v>
      </c>
      <c r="N338" s="82" t="s">
        <v>1946</v>
      </c>
      <c r="O338" s="82" t="s">
        <v>2173</v>
      </c>
    </row>
    <row r="339" spans="1:15" ht="15.75" hidden="1" x14ac:dyDescent="0.25">
      <c r="A339" t="str">
        <f t="shared" si="5"/>
        <v>ALR_GALLEGGIANTE_PAVIMENTO-Chiusura Allarme galleggiante pavimento</v>
      </c>
      <c r="C339" s="82" t="s">
        <v>2315</v>
      </c>
      <c r="D339" s="82" t="s">
        <v>2316</v>
      </c>
      <c r="E339" s="82" t="s">
        <v>2163</v>
      </c>
      <c r="F339" s="82" t="s">
        <v>2315</v>
      </c>
      <c r="G339" s="82" t="s">
        <v>1946</v>
      </c>
      <c r="H339" s="82" t="s">
        <v>2165</v>
      </c>
      <c r="I339" s="82" t="s">
        <v>24</v>
      </c>
      <c r="J339" s="82" t="s">
        <v>2171</v>
      </c>
      <c r="K339" s="82" t="s">
        <v>2167</v>
      </c>
      <c r="L339" s="82" t="s">
        <v>1946</v>
      </c>
      <c r="M339" s="82" t="s">
        <v>2090</v>
      </c>
      <c r="N339" s="82" t="s">
        <v>1946</v>
      </c>
      <c r="O339" s="82" t="s">
        <v>2173</v>
      </c>
    </row>
    <row r="340" spans="1:15" ht="15.75" hidden="1" x14ac:dyDescent="0.25">
      <c r="A340" t="str">
        <f t="shared" si="5"/>
        <v>ALR_GALLEGGIANTE_VANO_TECNICO-Chiusura Allarme galleggiante vano tecnico</v>
      </c>
      <c r="C340" s="82" t="s">
        <v>1937</v>
      </c>
      <c r="D340" s="82" t="s">
        <v>1938</v>
      </c>
      <c r="E340" s="82" t="s">
        <v>2163</v>
      </c>
      <c r="F340" s="82" t="s">
        <v>1937</v>
      </c>
      <c r="G340" s="82" t="s">
        <v>1946</v>
      </c>
      <c r="H340" s="82" t="s">
        <v>2165</v>
      </c>
      <c r="I340" s="82" t="s">
        <v>24</v>
      </c>
      <c r="J340" s="82" t="s">
        <v>2171</v>
      </c>
      <c r="K340" s="82" t="s">
        <v>2167</v>
      </c>
      <c r="L340" s="82" t="s">
        <v>1946</v>
      </c>
      <c r="M340" s="82" t="s">
        <v>2090</v>
      </c>
      <c r="N340" s="82" t="s">
        <v>1946</v>
      </c>
      <c r="O340" s="82" t="s">
        <v>2173</v>
      </c>
    </row>
    <row r="341" spans="1:15" ht="15.75" hidden="1" x14ac:dyDescent="0.25">
      <c r="A341" t="str">
        <f t="shared" si="5"/>
        <v>ALR_GALLERIA_CHIUSA-Allarme galleria chiusa</v>
      </c>
      <c r="C341" s="82" t="s">
        <v>2317</v>
      </c>
      <c r="D341" s="82" t="s">
        <v>2318</v>
      </c>
      <c r="E341" s="82" t="s">
        <v>2163</v>
      </c>
      <c r="F341" s="82" t="s">
        <v>2317</v>
      </c>
      <c r="G341" s="82" t="s">
        <v>1946</v>
      </c>
      <c r="H341" s="82" t="s">
        <v>2165</v>
      </c>
      <c r="I341" s="82" t="s">
        <v>24</v>
      </c>
      <c r="J341" s="82" t="s">
        <v>2171</v>
      </c>
      <c r="K341" s="82" t="s">
        <v>2173</v>
      </c>
      <c r="L341" s="82" t="s">
        <v>1946</v>
      </c>
      <c r="M341" s="82" t="s">
        <v>2183</v>
      </c>
      <c r="N341" s="82" t="s">
        <v>1946</v>
      </c>
      <c r="O341" s="82" t="s">
        <v>2173</v>
      </c>
    </row>
    <row r="342" spans="1:15" ht="15.75" hidden="1" x14ac:dyDescent="0.25">
      <c r="A342" t="str">
        <f t="shared" si="5"/>
        <v>ALR_GAS-Allarme GAS</v>
      </c>
      <c r="C342" s="82" t="s">
        <v>2101</v>
      </c>
      <c r="D342" s="82" t="s">
        <v>2102</v>
      </c>
      <c r="E342" s="82" t="s">
        <v>2163</v>
      </c>
      <c r="F342" s="82" t="s">
        <v>2101</v>
      </c>
      <c r="G342" s="82" t="s">
        <v>2182</v>
      </c>
      <c r="H342" s="82" t="s">
        <v>2165</v>
      </c>
      <c r="I342" s="82" t="s">
        <v>24</v>
      </c>
      <c r="J342" s="82" t="s">
        <v>2171</v>
      </c>
      <c r="K342" s="82" t="s">
        <v>2167</v>
      </c>
      <c r="L342" s="82" t="s">
        <v>2182</v>
      </c>
      <c r="M342" s="82" t="s">
        <v>2183</v>
      </c>
      <c r="N342" s="82" t="s">
        <v>1946</v>
      </c>
      <c r="O342" s="82" t="s">
        <v>2173</v>
      </c>
    </row>
    <row r="343" spans="1:15" ht="15.75" hidden="1" x14ac:dyDescent="0.25">
      <c r="A343" t="str">
        <f t="shared" si="5"/>
        <v>ALR_GASOLIO_FINITO-Allarme gasolio esaurito</v>
      </c>
      <c r="C343" s="82" t="s">
        <v>344</v>
      </c>
      <c r="D343" s="82" t="s">
        <v>345</v>
      </c>
      <c r="E343" s="82" t="s">
        <v>2163</v>
      </c>
      <c r="F343" s="82" t="s">
        <v>344</v>
      </c>
      <c r="G343" s="82" t="s">
        <v>1946</v>
      </c>
      <c r="H343" s="82" t="s">
        <v>2165</v>
      </c>
      <c r="I343" s="82" t="s">
        <v>24</v>
      </c>
      <c r="J343" s="82" t="s">
        <v>2171</v>
      </c>
      <c r="K343" s="82" t="s">
        <v>2167</v>
      </c>
      <c r="L343" s="82" t="s">
        <v>1946</v>
      </c>
      <c r="M343" s="82" t="s">
        <v>2090</v>
      </c>
      <c r="N343" s="82" t="s">
        <v>1946</v>
      </c>
      <c r="O343" s="82" t="s">
        <v>2173</v>
      </c>
    </row>
    <row r="344" spans="1:15" ht="15.75" hidden="1" x14ac:dyDescent="0.25">
      <c r="A344" t="str">
        <f t="shared" si="5"/>
        <v>ALR_GENERALE-Allarme generale dispositivo</v>
      </c>
      <c r="C344" s="82" t="s">
        <v>2319</v>
      </c>
      <c r="D344" s="82" t="s">
        <v>347</v>
      </c>
      <c r="E344" s="82" t="s">
        <v>2163</v>
      </c>
      <c r="F344" s="82" t="s">
        <v>2319</v>
      </c>
      <c r="G344" s="82" t="s">
        <v>1946</v>
      </c>
      <c r="H344" s="82" t="s">
        <v>2165</v>
      </c>
      <c r="I344" s="82" t="s">
        <v>24</v>
      </c>
      <c r="J344" s="82" t="s">
        <v>2171</v>
      </c>
      <c r="K344" s="82" t="s">
        <v>2167</v>
      </c>
      <c r="L344" s="82" t="s">
        <v>1946</v>
      </c>
      <c r="M344" s="82" t="s">
        <v>2090</v>
      </c>
      <c r="N344" s="82" t="s">
        <v>1946</v>
      </c>
      <c r="O344" s="82" t="s">
        <v>2173</v>
      </c>
    </row>
    <row r="345" spans="1:15" ht="15.75" hidden="1" x14ac:dyDescent="0.25">
      <c r="A345" t="str">
        <f t="shared" si="5"/>
        <v>ALR_GENERALE_1_IMP-Allarme generale dispositivo</v>
      </c>
      <c r="C345" s="82" t="s">
        <v>346</v>
      </c>
      <c r="D345" s="82" t="s">
        <v>347</v>
      </c>
      <c r="E345" s="82" t="s">
        <v>2163</v>
      </c>
      <c r="F345" s="82" t="s">
        <v>346</v>
      </c>
      <c r="G345" s="82" t="s">
        <v>1946</v>
      </c>
      <c r="H345" s="82" t="s">
        <v>2165</v>
      </c>
      <c r="I345" s="82" t="s">
        <v>157</v>
      </c>
      <c r="J345" s="82" t="s">
        <v>2181</v>
      </c>
      <c r="K345" s="82" t="s">
        <v>2167</v>
      </c>
      <c r="L345" s="82" t="s">
        <v>1946</v>
      </c>
      <c r="M345" s="82" t="s">
        <v>2090</v>
      </c>
      <c r="N345" s="82" t="s">
        <v>1946</v>
      </c>
      <c r="O345" s="82" t="s">
        <v>2173</v>
      </c>
    </row>
    <row r="346" spans="1:15" ht="15.75" hidden="1" x14ac:dyDescent="0.25">
      <c r="A346" t="str">
        <f t="shared" si="5"/>
        <v>ALR_GENERALE_2_IMP-Allarme generale dispositivo</v>
      </c>
      <c r="C346" s="82" t="s">
        <v>348</v>
      </c>
      <c r="D346" s="82" t="s">
        <v>347</v>
      </c>
      <c r="E346" s="82" t="s">
        <v>2163</v>
      </c>
      <c r="F346" s="82" t="s">
        <v>348</v>
      </c>
      <c r="G346" s="82" t="s">
        <v>1946</v>
      </c>
      <c r="H346" s="82" t="s">
        <v>2165</v>
      </c>
      <c r="I346" s="82" t="s">
        <v>24</v>
      </c>
      <c r="J346" s="82" t="s">
        <v>2171</v>
      </c>
      <c r="K346" s="82" t="s">
        <v>2167</v>
      </c>
      <c r="L346" s="82" t="s">
        <v>1946</v>
      </c>
      <c r="M346" s="82" t="s">
        <v>2090</v>
      </c>
      <c r="N346" s="82" t="s">
        <v>1946</v>
      </c>
      <c r="O346" s="82" t="s">
        <v>2173</v>
      </c>
    </row>
    <row r="347" spans="1:15" ht="15.75" hidden="1" x14ac:dyDescent="0.25">
      <c r="A347" t="str">
        <f t="shared" si="5"/>
        <v>ALR_GENERALE_POMPA-Allarme generale pompa</v>
      </c>
      <c r="C347" s="82" t="s">
        <v>349</v>
      </c>
      <c r="D347" s="82" t="s">
        <v>350</v>
      </c>
      <c r="E347" s="82" t="s">
        <v>2163</v>
      </c>
      <c r="F347" s="82" t="s">
        <v>349</v>
      </c>
      <c r="G347" s="82" t="s">
        <v>1946</v>
      </c>
      <c r="H347" s="82" t="s">
        <v>2165</v>
      </c>
      <c r="I347" s="82" t="s">
        <v>24</v>
      </c>
      <c r="J347" s="82" t="s">
        <v>2171</v>
      </c>
      <c r="K347" s="82" t="s">
        <v>2167</v>
      </c>
      <c r="L347" s="82" t="s">
        <v>1946</v>
      </c>
      <c r="M347" s="82" t="s">
        <v>2090</v>
      </c>
      <c r="N347" s="82" t="s">
        <v>1946</v>
      </c>
      <c r="O347" s="82" t="s">
        <v>2173</v>
      </c>
    </row>
    <row r="348" spans="1:15" ht="15.75" hidden="1" x14ac:dyDescent="0.25">
      <c r="A348" t="str">
        <f t="shared" si="5"/>
        <v>ALR_GENERALE_POMPA_2-Allarme generale pompa</v>
      </c>
      <c r="C348" s="82" t="s">
        <v>2320</v>
      </c>
      <c r="D348" s="82" t="s">
        <v>350</v>
      </c>
      <c r="E348" s="82" t="s">
        <v>2163</v>
      </c>
      <c r="F348" s="82" t="s">
        <v>2320</v>
      </c>
      <c r="G348" s="82" t="s">
        <v>1946</v>
      </c>
      <c r="H348" s="82" t="s">
        <v>2165</v>
      </c>
      <c r="I348" s="82" t="s">
        <v>24</v>
      </c>
      <c r="J348" s="82" t="s">
        <v>2171</v>
      </c>
      <c r="K348" s="82" t="s">
        <v>2167</v>
      </c>
      <c r="L348" s="82" t="s">
        <v>1946</v>
      </c>
      <c r="M348" s="82" t="s">
        <v>2090</v>
      </c>
      <c r="N348" s="82" t="s">
        <v>1946</v>
      </c>
      <c r="O348" s="82" t="s">
        <v>2173</v>
      </c>
    </row>
    <row r="349" spans="1:15" ht="15.75" hidden="1" x14ac:dyDescent="0.25">
      <c r="A349" t="str">
        <f t="shared" si="5"/>
        <v>ALR_GENERALE_UPS_QCA-Allarme generale UPS da QCA</v>
      </c>
      <c r="C349" s="82" t="s">
        <v>1322</v>
      </c>
      <c r="D349" s="82" t="s">
        <v>1323</v>
      </c>
      <c r="E349" s="82" t="s">
        <v>2163</v>
      </c>
      <c r="F349" s="82" t="s">
        <v>1322</v>
      </c>
      <c r="G349" s="82" t="s">
        <v>1946</v>
      </c>
      <c r="H349" s="82" t="s">
        <v>2165</v>
      </c>
      <c r="I349" s="82" t="s">
        <v>24</v>
      </c>
      <c r="J349" s="82" t="s">
        <v>2171</v>
      </c>
      <c r="K349" s="82" t="s">
        <v>2167</v>
      </c>
      <c r="L349" s="82" t="s">
        <v>1946</v>
      </c>
      <c r="M349" s="82" t="s">
        <v>2090</v>
      </c>
      <c r="N349" s="82" t="s">
        <v>1946</v>
      </c>
      <c r="O349" s="82" t="s">
        <v>2173</v>
      </c>
    </row>
    <row r="350" spans="1:15" ht="15.75" hidden="1" x14ac:dyDescent="0.25">
      <c r="A350" t="str">
        <f t="shared" si="5"/>
        <v>ALR_GENERATORE-Allarme gruppo elettrogeno</v>
      </c>
      <c r="C350" s="82" t="s">
        <v>351</v>
      </c>
      <c r="D350" s="82" t="s">
        <v>352</v>
      </c>
      <c r="E350" s="82" t="s">
        <v>2163</v>
      </c>
      <c r="F350" s="82" t="s">
        <v>351</v>
      </c>
      <c r="G350" s="82" t="s">
        <v>1946</v>
      </c>
      <c r="H350" s="82" t="s">
        <v>2165</v>
      </c>
      <c r="I350" s="82" t="s">
        <v>24</v>
      </c>
      <c r="J350" s="82" t="s">
        <v>2171</v>
      </c>
      <c r="K350" s="82" t="s">
        <v>2167</v>
      </c>
      <c r="L350" s="82" t="s">
        <v>1946</v>
      </c>
      <c r="M350" s="82" t="s">
        <v>2090</v>
      </c>
      <c r="N350" s="82" t="s">
        <v>1946</v>
      </c>
      <c r="O350" s="82" t="s">
        <v>2173</v>
      </c>
    </row>
    <row r="351" spans="1:15" ht="15.75" hidden="1" x14ac:dyDescent="0.25">
      <c r="A351" t="str">
        <f t="shared" si="5"/>
        <v>ALR_GENERICO-Allarme dispositivo</v>
      </c>
      <c r="C351" s="82" t="s">
        <v>353</v>
      </c>
      <c r="D351" s="82" t="s">
        <v>354</v>
      </c>
      <c r="E351" s="82" t="s">
        <v>2163</v>
      </c>
      <c r="F351" s="82" t="s">
        <v>353</v>
      </c>
      <c r="G351" s="82" t="s">
        <v>1946</v>
      </c>
      <c r="H351" s="82" t="s">
        <v>2165</v>
      </c>
      <c r="I351" s="82" t="s">
        <v>24</v>
      </c>
      <c r="J351" s="82" t="s">
        <v>2171</v>
      </c>
      <c r="K351" s="82" t="s">
        <v>2167</v>
      </c>
      <c r="L351" s="82" t="s">
        <v>1946</v>
      </c>
      <c r="M351" s="82" t="s">
        <v>2183</v>
      </c>
      <c r="N351" s="82" t="s">
        <v>1946</v>
      </c>
      <c r="O351" s="82" t="s">
        <v>2173</v>
      </c>
    </row>
    <row r="352" spans="1:15" ht="15.75" hidden="1" x14ac:dyDescent="0.25">
      <c r="A352" t="str">
        <f t="shared" si="5"/>
        <v>ALR_GE_SOVRACCARICO-Allarme GE sovraccarico</v>
      </c>
      <c r="C352" s="82" t="s">
        <v>1317</v>
      </c>
      <c r="D352" s="82" t="s">
        <v>1318</v>
      </c>
      <c r="E352" s="82" t="s">
        <v>2163</v>
      </c>
      <c r="F352" s="82" t="s">
        <v>1317</v>
      </c>
      <c r="G352" s="82" t="s">
        <v>1946</v>
      </c>
      <c r="H352" s="82" t="s">
        <v>2165</v>
      </c>
      <c r="I352" s="82" t="s">
        <v>24</v>
      </c>
      <c r="J352" s="82" t="s">
        <v>2171</v>
      </c>
      <c r="K352" s="82" t="s">
        <v>2167</v>
      </c>
      <c r="L352" s="82" t="s">
        <v>1946</v>
      </c>
      <c r="M352" s="82" t="s">
        <v>2090</v>
      </c>
      <c r="N352" s="82" t="s">
        <v>1946</v>
      </c>
      <c r="O352" s="82" t="s">
        <v>2173</v>
      </c>
    </row>
    <row r="353" spans="1:15" ht="15.75" hidden="1" x14ac:dyDescent="0.25">
      <c r="A353" t="str">
        <f t="shared" si="5"/>
        <v>ALR_GIRI_MOTORE_BASSI-Allarme giri motori bassi</v>
      </c>
      <c r="C353" s="82" t="s">
        <v>356</v>
      </c>
      <c r="D353" s="82" t="s">
        <v>357</v>
      </c>
      <c r="E353" s="82" t="s">
        <v>2163</v>
      </c>
      <c r="F353" s="82" t="s">
        <v>356</v>
      </c>
      <c r="G353" s="82" t="s">
        <v>1946</v>
      </c>
      <c r="H353" s="82" t="s">
        <v>2165</v>
      </c>
      <c r="I353" s="82" t="s">
        <v>24</v>
      </c>
      <c r="J353" s="82" t="s">
        <v>2171</v>
      </c>
      <c r="K353" s="82" t="s">
        <v>2167</v>
      </c>
      <c r="L353" s="82" t="s">
        <v>1946</v>
      </c>
      <c r="M353" s="82" t="s">
        <v>2090</v>
      </c>
      <c r="N353" s="82" t="s">
        <v>1946</v>
      </c>
      <c r="O353" s="82" t="s">
        <v>2173</v>
      </c>
    </row>
    <row r="354" spans="1:15" ht="15.75" hidden="1" x14ac:dyDescent="0.25">
      <c r="A354" t="str">
        <f t="shared" si="5"/>
        <v>ALR_GIROFARO_ATTIVO-Allarme girofaro attivo</v>
      </c>
      <c r="C354" s="82" t="s">
        <v>358</v>
      </c>
      <c r="D354" s="82" t="s">
        <v>359</v>
      </c>
      <c r="E354" s="82" t="s">
        <v>2163</v>
      </c>
      <c r="F354" s="82" t="s">
        <v>358</v>
      </c>
      <c r="G354" s="82" t="s">
        <v>1946</v>
      </c>
      <c r="H354" s="82" t="s">
        <v>2165</v>
      </c>
      <c r="I354" s="82" t="s">
        <v>157</v>
      </c>
      <c r="J354" s="82" t="s">
        <v>2181</v>
      </c>
      <c r="K354" s="82" t="s">
        <v>2167</v>
      </c>
      <c r="L354" s="82" t="s">
        <v>1946</v>
      </c>
      <c r="M354" s="82" t="s">
        <v>2176</v>
      </c>
      <c r="N354" s="82" t="s">
        <v>2177</v>
      </c>
      <c r="O354" s="82" t="s">
        <v>2173</v>
      </c>
    </row>
    <row r="355" spans="1:15" ht="15.75" hidden="1" x14ac:dyDescent="0.25">
      <c r="A355" t="str">
        <f t="shared" si="5"/>
        <v>ALR_GIROFARO_SIRENA-Allarme girofaro e sirena attivi</v>
      </c>
      <c r="C355" s="82" t="s">
        <v>361</v>
      </c>
      <c r="D355" s="82" t="s">
        <v>362</v>
      </c>
      <c r="E355" s="82" t="s">
        <v>2163</v>
      </c>
      <c r="F355" s="82" t="s">
        <v>361</v>
      </c>
      <c r="G355" s="82" t="s">
        <v>1946</v>
      </c>
      <c r="H355" s="82" t="s">
        <v>2165</v>
      </c>
      <c r="I355" s="82" t="s">
        <v>157</v>
      </c>
      <c r="J355" s="82" t="s">
        <v>2181</v>
      </c>
      <c r="K355" s="82" t="s">
        <v>2167</v>
      </c>
      <c r="L355" s="82" t="s">
        <v>1946</v>
      </c>
      <c r="M355" s="82" t="s">
        <v>2176</v>
      </c>
      <c r="N355" s="82" t="s">
        <v>2177</v>
      </c>
      <c r="O355" s="82" t="s">
        <v>2173</v>
      </c>
    </row>
    <row r="356" spans="1:15" ht="15.75" hidden="1" x14ac:dyDescent="0.25">
      <c r="A356" t="str">
        <f t="shared" si="5"/>
        <v>ALR_GRADIENTE-Allarme gradiente sensore</v>
      </c>
      <c r="C356" s="82" t="s">
        <v>363</v>
      </c>
      <c r="D356" s="82" t="s">
        <v>364</v>
      </c>
      <c r="E356" s="82" t="s">
        <v>2163</v>
      </c>
      <c r="F356" s="82" t="s">
        <v>363</v>
      </c>
      <c r="G356" s="82" t="s">
        <v>1946</v>
      </c>
      <c r="H356" s="82" t="s">
        <v>2165</v>
      </c>
      <c r="I356" s="82" t="s">
        <v>157</v>
      </c>
      <c r="J356" s="82" t="s">
        <v>2181</v>
      </c>
      <c r="K356" s="82" t="s">
        <v>2167</v>
      </c>
      <c r="L356" s="82" t="s">
        <v>1946</v>
      </c>
      <c r="M356" s="82" t="s">
        <v>2090</v>
      </c>
      <c r="N356" s="82" t="s">
        <v>1946</v>
      </c>
      <c r="O356" s="82" t="s">
        <v>2173</v>
      </c>
    </row>
    <row r="357" spans="1:15" ht="15.75" hidden="1" x14ac:dyDescent="0.25">
      <c r="A357" t="str">
        <f t="shared" si="5"/>
        <v>ALR_GRUPPO-Allarme gruppo</v>
      </c>
      <c r="C357" s="82" t="s">
        <v>365</v>
      </c>
      <c r="D357" s="82" t="s">
        <v>366</v>
      </c>
      <c r="E357" s="82" t="s">
        <v>2163</v>
      </c>
      <c r="F357" s="82" t="s">
        <v>365</v>
      </c>
      <c r="G357" s="82" t="s">
        <v>1946</v>
      </c>
      <c r="H357" s="82" t="s">
        <v>2165</v>
      </c>
      <c r="I357" s="82" t="s">
        <v>24</v>
      </c>
      <c r="J357" s="82" t="s">
        <v>2171</v>
      </c>
      <c r="K357" s="82" t="s">
        <v>2167</v>
      </c>
      <c r="L357" s="82" t="s">
        <v>1946</v>
      </c>
      <c r="M357" s="82" t="s">
        <v>2090</v>
      </c>
      <c r="N357" s="82" t="s">
        <v>1946</v>
      </c>
      <c r="O357" s="82" t="s">
        <v>2173</v>
      </c>
    </row>
    <row r="358" spans="1:15" ht="15.75" hidden="1" x14ac:dyDescent="0.25">
      <c r="A358" t="str">
        <f t="shared" si="5"/>
        <v>ALR_GRUPPO_ELETTROGENO_AVVIATO-Allarme Gruppo Elettrogeno avviato</v>
      </c>
      <c r="C358" s="82" t="s">
        <v>370</v>
      </c>
      <c r="D358" s="82" t="s">
        <v>371</v>
      </c>
      <c r="E358" s="82" t="s">
        <v>2163</v>
      </c>
      <c r="F358" s="82" t="s">
        <v>370</v>
      </c>
      <c r="G358" s="82" t="s">
        <v>1946</v>
      </c>
      <c r="H358" s="82" t="s">
        <v>2165</v>
      </c>
      <c r="I358" s="82" t="s">
        <v>33</v>
      </c>
      <c r="J358" s="82" t="s">
        <v>2174</v>
      </c>
      <c r="K358" s="82" t="s">
        <v>2173</v>
      </c>
      <c r="L358" s="82" t="s">
        <v>1946</v>
      </c>
      <c r="M358" s="82" t="s">
        <v>2176</v>
      </c>
      <c r="N358" s="82" t="s">
        <v>2180</v>
      </c>
      <c r="O358" s="82" t="s">
        <v>2173</v>
      </c>
    </row>
    <row r="359" spans="1:15" ht="15.75" hidden="1" x14ac:dyDescent="0.25">
      <c r="A359" t="str">
        <f t="shared" si="5"/>
        <v>ALR_GRUPPO_EL_AVARIA-Allarme avaria Gruppo Elettrogeno</v>
      </c>
      <c r="C359" s="82" t="s">
        <v>367</v>
      </c>
      <c r="D359" s="82" t="s">
        <v>368</v>
      </c>
      <c r="E359" s="82" t="s">
        <v>2163</v>
      </c>
      <c r="F359" s="82" t="s">
        <v>367</v>
      </c>
      <c r="G359" s="82" t="s">
        <v>1946</v>
      </c>
      <c r="H359" s="82" t="s">
        <v>2165</v>
      </c>
      <c r="I359" s="82" t="s">
        <v>33</v>
      </c>
      <c r="J359" s="82" t="s">
        <v>2174</v>
      </c>
      <c r="K359" s="82" t="s">
        <v>2173</v>
      </c>
      <c r="L359" s="82" t="s">
        <v>1946</v>
      </c>
      <c r="M359" s="82" t="s">
        <v>2090</v>
      </c>
      <c r="N359" s="82" t="s">
        <v>1946</v>
      </c>
      <c r="O359" s="82" t="s">
        <v>2173</v>
      </c>
    </row>
    <row r="360" spans="1:15" ht="15.75" hidden="1" x14ac:dyDescent="0.25">
      <c r="A360" t="str">
        <f t="shared" si="5"/>
        <v>ALR_GRUPPO_NON_PRONTO-Allarme Gruppo Elettrogeno non pronto</v>
      </c>
      <c r="C360" s="82" t="s">
        <v>372</v>
      </c>
      <c r="D360" s="82" t="s">
        <v>373</v>
      </c>
      <c r="E360" s="82" t="s">
        <v>2163</v>
      </c>
      <c r="F360" s="82" t="s">
        <v>372</v>
      </c>
      <c r="G360" s="82" t="s">
        <v>1946</v>
      </c>
      <c r="H360" s="82" t="s">
        <v>2165</v>
      </c>
      <c r="I360" s="82" t="s">
        <v>24</v>
      </c>
      <c r="J360" s="82" t="s">
        <v>2171</v>
      </c>
      <c r="K360" s="82" t="s">
        <v>2167</v>
      </c>
      <c r="L360" s="82" t="s">
        <v>1946</v>
      </c>
      <c r="M360" s="82" t="s">
        <v>2090</v>
      </c>
      <c r="N360" s="82" t="s">
        <v>1946</v>
      </c>
      <c r="O360" s="82" t="s">
        <v>2173</v>
      </c>
    </row>
    <row r="361" spans="1:15" ht="15.75" hidden="1" x14ac:dyDescent="0.25">
      <c r="A361" t="str">
        <f t="shared" si="5"/>
        <v>ALR_GUASTO-Allarme guasto dispositivo</v>
      </c>
      <c r="C361" s="82" t="s">
        <v>2321</v>
      </c>
      <c r="D361" s="82" t="s">
        <v>375</v>
      </c>
      <c r="E361" s="82" t="s">
        <v>2163</v>
      </c>
      <c r="F361" s="82" t="s">
        <v>2321</v>
      </c>
      <c r="G361" s="82" t="s">
        <v>1946</v>
      </c>
      <c r="H361" s="82" t="s">
        <v>2165</v>
      </c>
      <c r="I361" s="82" t="s">
        <v>33</v>
      </c>
      <c r="J361" s="82" t="s">
        <v>2174</v>
      </c>
      <c r="K361" s="82" t="s">
        <v>2173</v>
      </c>
      <c r="L361" s="82" t="s">
        <v>1946</v>
      </c>
      <c r="M361" s="82" t="s">
        <v>2322</v>
      </c>
      <c r="N361" s="82" t="s">
        <v>1946</v>
      </c>
      <c r="O361" s="82" t="s">
        <v>2173</v>
      </c>
    </row>
    <row r="362" spans="1:15" ht="15.75" hidden="1" x14ac:dyDescent="0.25">
      <c r="A362" t="str">
        <f t="shared" si="5"/>
        <v>ALR_GUASTO_1_IMP-Allarme guasto dispositivo</v>
      </c>
      <c r="C362" s="82" t="s">
        <v>374</v>
      </c>
      <c r="D362" s="82" t="s">
        <v>375</v>
      </c>
      <c r="E362" s="82" t="s">
        <v>2163</v>
      </c>
      <c r="F362" s="82" t="s">
        <v>374</v>
      </c>
      <c r="G362" s="82" t="s">
        <v>1946</v>
      </c>
      <c r="H362" s="82" t="s">
        <v>2165</v>
      </c>
      <c r="I362" s="82" t="s">
        <v>157</v>
      </c>
      <c r="J362" s="82" t="s">
        <v>2181</v>
      </c>
      <c r="K362" s="82" t="s">
        <v>2167</v>
      </c>
      <c r="L362" s="82" t="s">
        <v>1946</v>
      </c>
      <c r="M362" s="82" t="s">
        <v>2090</v>
      </c>
      <c r="N362" s="82" t="s">
        <v>1946</v>
      </c>
      <c r="O362" s="82" t="s">
        <v>2173</v>
      </c>
    </row>
    <row r="363" spans="1:15" ht="15.75" hidden="1" x14ac:dyDescent="0.25">
      <c r="A363" t="str">
        <f t="shared" si="5"/>
        <v>ALR_GUASTO_2_IMP-Allarme guasto dispositivo</v>
      </c>
      <c r="C363" s="82" t="s">
        <v>377</v>
      </c>
      <c r="D363" s="82" t="s">
        <v>375</v>
      </c>
      <c r="E363" s="82" t="s">
        <v>2163</v>
      </c>
      <c r="F363" s="82" t="s">
        <v>377</v>
      </c>
      <c r="G363" s="82" t="s">
        <v>1946</v>
      </c>
      <c r="H363" s="82" t="s">
        <v>2165</v>
      </c>
      <c r="I363" s="82" t="s">
        <v>24</v>
      </c>
      <c r="J363" s="82" t="s">
        <v>2171</v>
      </c>
      <c r="K363" s="82" t="s">
        <v>2167</v>
      </c>
      <c r="L363" s="82" t="s">
        <v>1946</v>
      </c>
      <c r="M363" s="82" t="s">
        <v>2090</v>
      </c>
      <c r="N363" s="82" t="s">
        <v>1946</v>
      </c>
      <c r="O363" s="82" t="s">
        <v>2173</v>
      </c>
    </row>
    <row r="364" spans="1:15" ht="15.75" hidden="1" x14ac:dyDescent="0.25">
      <c r="A364" t="str">
        <f t="shared" si="5"/>
        <v>ALR_GUASTO_CENTRALINA_INTRUSIONE-Allarme guasto centralina intrusione in cabina</v>
      </c>
      <c r="C364" s="82" t="s">
        <v>383</v>
      </c>
      <c r="D364" s="82" t="s">
        <v>384</v>
      </c>
      <c r="E364" s="82" t="s">
        <v>2163</v>
      </c>
      <c r="F364" s="82" t="s">
        <v>383</v>
      </c>
      <c r="G364" s="82" t="s">
        <v>1946</v>
      </c>
      <c r="H364" s="82" t="s">
        <v>2165</v>
      </c>
      <c r="I364" s="82" t="s">
        <v>24</v>
      </c>
      <c r="J364" s="82" t="s">
        <v>2171</v>
      </c>
      <c r="K364" s="82" t="s">
        <v>2167</v>
      </c>
      <c r="L364" s="82" t="s">
        <v>1946</v>
      </c>
      <c r="M364" s="82" t="s">
        <v>2090</v>
      </c>
      <c r="N364" s="82" t="s">
        <v>1946</v>
      </c>
      <c r="O364" s="82" t="s">
        <v>2173</v>
      </c>
    </row>
    <row r="365" spans="1:15" ht="15.75" hidden="1" x14ac:dyDescent="0.25">
      <c r="A365" t="str">
        <f t="shared" si="5"/>
        <v>ALR_GUASTO_CENTRALINA_SENSORI-Allarme guasto centralina sensori</v>
      </c>
      <c r="C365" s="82" t="s">
        <v>1324</v>
      </c>
      <c r="D365" s="82" t="s">
        <v>1325</v>
      </c>
      <c r="E365" s="82" t="s">
        <v>2163</v>
      </c>
      <c r="F365" s="82" t="s">
        <v>1324</v>
      </c>
      <c r="G365" s="82" t="s">
        <v>1946</v>
      </c>
      <c r="H365" s="82" t="s">
        <v>2165</v>
      </c>
      <c r="I365" s="82" t="s">
        <v>24</v>
      </c>
      <c r="J365" s="82" t="s">
        <v>2171</v>
      </c>
      <c r="K365" s="82" t="s">
        <v>2167</v>
      </c>
      <c r="L365" s="82" t="s">
        <v>1946</v>
      </c>
      <c r="M365" s="82" t="s">
        <v>2090</v>
      </c>
      <c r="N365" s="82" t="s">
        <v>1946</v>
      </c>
      <c r="O365" s="82" t="s">
        <v>2173</v>
      </c>
    </row>
    <row r="366" spans="1:15" ht="15.75" hidden="1" x14ac:dyDescent="0.25">
      <c r="A366" t="str">
        <f t="shared" si="5"/>
        <v>ALR_GUASTO_CORRENTE-Allarme guasto corrente</v>
      </c>
      <c r="C366" s="82" t="s">
        <v>2323</v>
      </c>
      <c r="D366" s="82" t="s">
        <v>2324</v>
      </c>
      <c r="E366" s="82" t="s">
        <v>2163</v>
      </c>
      <c r="F366" s="82" t="s">
        <v>2323</v>
      </c>
      <c r="G366" s="82" t="s">
        <v>1946</v>
      </c>
      <c r="H366" s="82" t="s">
        <v>2165</v>
      </c>
      <c r="I366" s="82" t="s">
        <v>24</v>
      </c>
      <c r="J366" s="82" t="s">
        <v>2171</v>
      </c>
      <c r="K366" s="82" t="s">
        <v>2167</v>
      </c>
      <c r="L366" s="82" t="s">
        <v>1946</v>
      </c>
      <c r="M366" s="82" t="s">
        <v>2090</v>
      </c>
      <c r="N366" s="82" t="s">
        <v>1946</v>
      </c>
      <c r="O366" s="82" t="s">
        <v>2173</v>
      </c>
    </row>
    <row r="367" spans="1:15" ht="15.75" hidden="1" x14ac:dyDescent="0.25">
      <c r="A367" t="str">
        <f t="shared" si="5"/>
        <v>ALR_GUASTO_CRI-Allarme guasto CRI</v>
      </c>
      <c r="C367" s="82" t="s">
        <v>387</v>
      </c>
      <c r="D367" s="82" t="s">
        <v>389</v>
      </c>
      <c r="E367" s="82" t="s">
        <v>2163</v>
      </c>
      <c r="F367" s="82" t="s">
        <v>387</v>
      </c>
      <c r="G367" s="82" t="s">
        <v>1946</v>
      </c>
      <c r="H367" s="82" t="s">
        <v>2165</v>
      </c>
      <c r="I367" s="82" t="s">
        <v>33</v>
      </c>
      <c r="J367" s="82" t="s">
        <v>2174</v>
      </c>
      <c r="K367" s="82" t="s">
        <v>2173</v>
      </c>
      <c r="L367" s="82" t="s">
        <v>1946</v>
      </c>
      <c r="M367" s="82" t="s">
        <v>2176</v>
      </c>
      <c r="N367" s="82" t="s">
        <v>2188</v>
      </c>
      <c r="O367" s="82" t="s">
        <v>2173</v>
      </c>
    </row>
    <row r="368" spans="1:15" ht="15.75" hidden="1" x14ac:dyDescent="0.25">
      <c r="A368" t="str">
        <f t="shared" si="5"/>
        <v>ALR_GUASTO_CRI_CABINA-Allarme guasto CRI cabina</v>
      </c>
      <c r="C368" s="82" t="s">
        <v>390</v>
      </c>
      <c r="D368" s="82" t="s">
        <v>391</v>
      </c>
      <c r="E368" s="82" t="s">
        <v>2163</v>
      </c>
      <c r="F368" s="82" t="s">
        <v>390</v>
      </c>
      <c r="G368" s="82" t="s">
        <v>1946</v>
      </c>
      <c r="H368" s="82" t="s">
        <v>2165</v>
      </c>
      <c r="I368" s="82" t="s">
        <v>33</v>
      </c>
      <c r="J368" s="82" t="s">
        <v>2174</v>
      </c>
      <c r="K368" s="82" t="s">
        <v>2173</v>
      </c>
      <c r="L368" s="82" t="s">
        <v>1946</v>
      </c>
      <c r="M368" s="82" t="s">
        <v>2176</v>
      </c>
      <c r="N368" s="82" t="s">
        <v>2188</v>
      </c>
      <c r="O368" s="82" t="s">
        <v>2173</v>
      </c>
    </row>
    <row r="369" spans="1:15" ht="15.75" hidden="1" x14ac:dyDescent="0.25">
      <c r="A369" t="str">
        <f t="shared" si="5"/>
        <v>ALR_GUASTO_CRI_MARCIA-Allarme guasto CRI marcia</v>
      </c>
      <c r="C369" s="82" t="s">
        <v>1972</v>
      </c>
      <c r="D369" s="82" t="s">
        <v>1973</v>
      </c>
      <c r="E369" s="82" t="s">
        <v>2163</v>
      </c>
      <c r="F369" s="82" t="s">
        <v>1972</v>
      </c>
      <c r="G369" s="82" t="s">
        <v>1946</v>
      </c>
      <c r="H369" s="82" t="s">
        <v>2165</v>
      </c>
      <c r="I369" s="82" t="s">
        <v>33</v>
      </c>
      <c r="J369" s="82" t="s">
        <v>2174</v>
      </c>
      <c r="K369" s="82" t="s">
        <v>2173</v>
      </c>
      <c r="L369" s="82" t="s">
        <v>1946</v>
      </c>
      <c r="M369" s="82" t="s">
        <v>2176</v>
      </c>
      <c r="N369" s="82" t="s">
        <v>2188</v>
      </c>
      <c r="O369" s="82" t="s">
        <v>2173</v>
      </c>
    </row>
    <row r="370" spans="1:15" ht="15.75" hidden="1" x14ac:dyDescent="0.25">
      <c r="A370" t="str">
        <f t="shared" si="5"/>
        <v>ALR_GUASTO_CRI_SORPASSO-Allarme guasto CRI sorpasso</v>
      </c>
      <c r="C370" s="82" t="s">
        <v>1974</v>
      </c>
      <c r="D370" s="82" t="s">
        <v>1975</v>
      </c>
      <c r="E370" s="82" t="s">
        <v>2163</v>
      </c>
      <c r="F370" s="82" t="s">
        <v>1974</v>
      </c>
      <c r="G370" s="82" t="s">
        <v>1946</v>
      </c>
      <c r="H370" s="82" t="s">
        <v>2165</v>
      </c>
      <c r="I370" s="82" t="s">
        <v>33</v>
      </c>
      <c r="J370" s="82" t="s">
        <v>2174</v>
      </c>
      <c r="K370" s="82" t="s">
        <v>2173</v>
      </c>
      <c r="L370" s="82" t="s">
        <v>1946</v>
      </c>
      <c r="M370" s="82" t="s">
        <v>2176</v>
      </c>
      <c r="N370" s="82" t="s">
        <v>2188</v>
      </c>
      <c r="O370" s="82" t="s">
        <v>2173</v>
      </c>
    </row>
    <row r="371" spans="1:15" ht="15.75" hidden="1" x14ac:dyDescent="0.25">
      <c r="A371" t="str">
        <f t="shared" si="5"/>
        <v>ALR_GUASTO_DRIVER-Allarme guasto driver</v>
      </c>
      <c r="C371" s="82" t="s">
        <v>1327</v>
      </c>
      <c r="D371" s="82" t="s">
        <v>1328</v>
      </c>
      <c r="E371" s="82" t="s">
        <v>2163</v>
      </c>
      <c r="F371" s="82" t="s">
        <v>1327</v>
      </c>
      <c r="G371" s="82" t="s">
        <v>1946</v>
      </c>
      <c r="H371" s="82" t="s">
        <v>2165</v>
      </c>
      <c r="I371" s="82" t="s">
        <v>24</v>
      </c>
      <c r="J371" s="82" t="s">
        <v>2171</v>
      </c>
      <c r="K371" s="82" t="s">
        <v>2167</v>
      </c>
      <c r="L371" s="82" t="s">
        <v>1946</v>
      </c>
      <c r="M371" s="82" t="s">
        <v>2090</v>
      </c>
      <c r="N371" s="82" t="s">
        <v>1946</v>
      </c>
      <c r="O371" s="82" t="s">
        <v>2173</v>
      </c>
    </row>
    <row r="372" spans="1:15" ht="15.75" hidden="1" x14ac:dyDescent="0.25">
      <c r="A372" t="str">
        <f t="shared" si="5"/>
        <v>ALR_GUASTO_FIBRA-Allarme guasto fibra</v>
      </c>
      <c r="C372" s="82" t="s">
        <v>392</v>
      </c>
      <c r="D372" s="82" t="s">
        <v>393</v>
      </c>
      <c r="E372" s="82" t="s">
        <v>2163</v>
      </c>
      <c r="F372" s="82" t="s">
        <v>392</v>
      </c>
      <c r="G372" s="82" t="s">
        <v>1946</v>
      </c>
      <c r="H372" s="82" t="s">
        <v>2165</v>
      </c>
      <c r="I372" s="82" t="s">
        <v>33</v>
      </c>
      <c r="J372" s="82" t="s">
        <v>2174</v>
      </c>
      <c r="K372" s="82" t="s">
        <v>2173</v>
      </c>
      <c r="L372" s="82" t="s">
        <v>1946</v>
      </c>
      <c r="M372" s="82" t="s">
        <v>2176</v>
      </c>
      <c r="N372" s="82" t="s">
        <v>2188</v>
      </c>
      <c r="O372" s="82" t="s">
        <v>2173</v>
      </c>
    </row>
    <row r="373" spans="1:15" ht="15.75" hidden="1" x14ac:dyDescent="0.25">
      <c r="A373" t="str">
        <f t="shared" si="5"/>
        <v>ALR_GUASTO_FIBRA_2-Allarme guasto fibra 2</v>
      </c>
      <c r="C373" s="82" t="s">
        <v>1928</v>
      </c>
      <c r="D373" s="82" t="s">
        <v>1929</v>
      </c>
      <c r="E373" s="82" t="s">
        <v>2163</v>
      </c>
      <c r="F373" s="82" t="s">
        <v>1928</v>
      </c>
      <c r="G373" s="82" t="s">
        <v>2182</v>
      </c>
      <c r="H373" s="82" t="s">
        <v>2165</v>
      </c>
      <c r="I373" s="82" t="s">
        <v>33</v>
      </c>
      <c r="J373" s="82" t="s">
        <v>2174</v>
      </c>
      <c r="K373" s="82" t="s">
        <v>2173</v>
      </c>
      <c r="L373" s="82" t="s">
        <v>2182</v>
      </c>
      <c r="M373" s="82" t="s">
        <v>2322</v>
      </c>
      <c r="N373" s="82" t="s">
        <v>2188</v>
      </c>
      <c r="O373" s="82" t="s">
        <v>2173</v>
      </c>
    </row>
    <row r="374" spans="1:15" ht="15.75" hidden="1" x14ac:dyDescent="0.25">
      <c r="A374" t="str">
        <f t="shared" si="5"/>
        <v>ALR_GUASTO_GRAVE-Allarme guasto grave</v>
      </c>
      <c r="C374" s="82" t="s">
        <v>395</v>
      </c>
      <c r="D374" s="82" t="s">
        <v>396</v>
      </c>
      <c r="E374" s="82" t="s">
        <v>2163</v>
      </c>
      <c r="F374" s="82" t="s">
        <v>395</v>
      </c>
      <c r="G374" s="82" t="s">
        <v>1946</v>
      </c>
      <c r="H374" s="82" t="s">
        <v>2165</v>
      </c>
      <c r="I374" s="82" t="s">
        <v>24</v>
      </c>
      <c r="J374" s="82" t="s">
        <v>2171</v>
      </c>
      <c r="K374" s="82" t="s">
        <v>2167</v>
      </c>
      <c r="L374" s="82" t="s">
        <v>1946</v>
      </c>
      <c r="M374" s="82" t="s">
        <v>2090</v>
      </c>
      <c r="N374" s="82" t="s">
        <v>1946</v>
      </c>
      <c r="O374" s="82" t="s">
        <v>2173</v>
      </c>
    </row>
    <row r="375" spans="1:15" ht="15.75" hidden="1" x14ac:dyDescent="0.25">
      <c r="A375" t="str">
        <f t="shared" si="5"/>
        <v>ALR_GUASTO_LAMPADE-Allarme guasto lampade</v>
      </c>
      <c r="C375" s="82" t="s">
        <v>1329</v>
      </c>
      <c r="D375" s="82" t="s">
        <v>1330</v>
      </c>
      <c r="E375" s="82" t="s">
        <v>2163</v>
      </c>
      <c r="F375" s="82" t="s">
        <v>1329</v>
      </c>
      <c r="G375" s="82" t="s">
        <v>1946</v>
      </c>
      <c r="H375" s="82" t="s">
        <v>2165</v>
      </c>
      <c r="I375" s="82" t="s">
        <v>24</v>
      </c>
      <c r="J375" s="82" t="s">
        <v>2171</v>
      </c>
      <c r="K375" s="82" t="s">
        <v>2167</v>
      </c>
      <c r="L375" s="82" t="s">
        <v>1946</v>
      </c>
      <c r="M375" s="82" t="s">
        <v>2090</v>
      </c>
      <c r="N375" s="82" t="s">
        <v>1946</v>
      </c>
      <c r="O375" s="82" t="s">
        <v>2173</v>
      </c>
    </row>
    <row r="376" spans="1:15" ht="15.75" hidden="1" x14ac:dyDescent="0.25">
      <c r="A376" t="str">
        <f t="shared" si="5"/>
        <v>ALR_GUASTO_LIEVE-Allarme guasto lieve</v>
      </c>
      <c r="C376" s="82" t="s">
        <v>398</v>
      </c>
      <c r="D376" s="82" t="s">
        <v>399</v>
      </c>
      <c r="E376" s="82" t="s">
        <v>2163</v>
      </c>
      <c r="F376" s="82" t="s">
        <v>398</v>
      </c>
      <c r="G376" s="82" t="s">
        <v>1946</v>
      </c>
      <c r="H376" s="82" t="s">
        <v>2165</v>
      </c>
      <c r="I376" s="82" t="s">
        <v>24</v>
      </c>
      <c r="J376" s="82" t="s">
        <v>2171</v>
      </c>
      <c r="K376" s="82" t="s">
        <v>2167</v>
      </c>
      <c r="L376" s="82" t="s">
        <v>1946</v>
      </c>
      <c r="M376" s="82" t="s">
        <v>2090</v>
      </c>
      <c r="N376" s="82" t="s">
        <v>1946</v>
      </c>
      <c r="O376" s="82" t="s">
        <v>2173</v>
      </c>
    </row>
    <row r="377" spans="1:15" ht="15.75" hidden="1" x14ac:dyDescent="0.25">
      <c r="A377" t="str">
        <f t="shared" si="5"/>
        <v>ALR_GUASTO_LINEA-Allarme guasto linea</v>
      </c>
      <c r="C377" s="82" t="s">
        <v>400</v>
      </c>
      <c r="D377" s="82" t="s">
        <v>401</v>
      </c>
      <c r="E377" s="82" t="s">
        <v>2163</v>
      </c>
      <c r="F377" s="82" t="s">
        <v>400</v>
      </c>
      <c r="G377" s="82" t="s">
        <v>1946</v>
      </c>
      <c r="H377" s="82" t="s">
        <v>2165</v>
      </c>
      <c r="I377" s="82" t="s">
        <v>33</v>
      </c>
      <c r="J377" s="82" t="s">
        <v>2171</v>
      </c>
      <c r="K377" s="82" t="s">
        <v>2173</v>
      </c>
      <c r="L377" s="82" t="s">
        <v>1946</v>
      </c>
      <c r="M377" s="82" t="s">
        <v>2090</v>
      </c>
      <c r="N377" s="82" t="s">
        <v>1946</v>
      </c>
      <c r="O377" s="82" t="s">
        <v>2173</v>
      </c>
    </row>
    <row r="378" spans="1:15" ht="15.75" hidden="1" x14ac:dyDescent="0.25">
      <c r="A378" t="str">
        <f t="shared" si="5"/>
        <v>ALR_GUASTO_LINEA_NORD-Allarme guasto linea nord</v>
      </c>
      <c r="C378" s="82" t="s">
        <v>403</v>
      </c>
      <c r="D378" s="82" t="s">
        <v>404</v>
      </c>
      <c r="E378" s="82" t="s">
        <v>2163</v>
      </c>
      <c r="F378" s="82" t="s">
        <v>403</v>
      </c>
      <c r="G378" s="82" t="s">
        <v>1946</v>
      </c>
      <c r="H378" s="82" t="s">
        <v>2165</v>
      </c>
      <c r="I378" s="82" t="s">
        <v>33</v>
      </c>
      <c r="J378" s="82" t="s">
        <v>2174</v>
      </c>
      <c r="K378" s="82" t="s">
        <v>2173</v>
      </c>
      <c r="L378" s="82" t="s">
        <v>1946</v>
      </c>
      <c r="M378" s="82" t="s">
        <v>2176</v>
      </c>
      <c r="N378" s="82" t="s">
        <v>2188</v>
      </c>
      <c r="O378" s="82" t="s">
        <v>2173</v>
      </c>
    </row>
    <row r="379" spans="1:15" ht="15.75" hidden="1" x14ac:dyDescent="0.25">
      <c r="A379" t="str">
        <f t="shared" si="5"/>
        <v>ALR_GUASTO_LINEA_SUD-Allarme guasto linea sud</v>
      </c>
      <c r="C379" s="82" t="s">
        <v>405</v>
      </c>
      <c r="D379" s="82" t="s">
        <v>406</v>
      </c>
      <c r="E379" s="82" t="s">
        <v>2163</v>
      </c>
      <c r="F379" s="82" t="s">
        <v>405</v>
      </c>
      <c r="G379" s="82" t="s">
        <v>1946</v>
      </c>
      <c r="H379" s="82" t="s">
        <v>2165</v>
      </c>
      <c r="I379" s="82" t="s">
        <v>33</v>
      </c>
      <c r="J379" s="82" t="s">
        <v>2174</v>
      </c>
      <c r="K379" s="82" t="s">
        <v>2173</v>
      </c>
      <c r="L379" s="82" t="s">
        <v>1946</v>
      </c>
      <c r="M379" s="82" t="s">
        <v>2176</v>
      </c>
      <c r="N379" s="82" t="s">
        <v>2188</v>
      </c>
      <c r="O379" s="82" t="s">
        <v>2173</v>
      </c>
    </row>
    <row r="380" spans="1:15" ht="15.75" hidden="1" x14ac:dyDescent="0.25">
      <c r="A380" t="str">
        <f t="shared" si="5"/>
        <v>ALR_GUASTO_NOTYFIRE-Allarme guasto centralina antincendio</v>
      </c>
      <c r="C380" s="82" t="s">
        <v>407</v>
      </c>
      <c r="D380" s="82" t="s">
        <v>408</v>
      </c>
      <c r="E380" s="82" t="s">
        <v>2163</v>
      </c>
      <c r="F380" s="82" t="s">
        <v>407</v>
      </c>
      <c r="G380" s="82" t="s">
        <v>1946</v>
      </c>
      <c r="H380" s="82" t="s">
        <v>2165</v>
      </c>
      <c r="I380" s="82" t="s">
        <v>33</v>
      </c>
      <c r="J380" s="82" t="s">
        <v>2174</v>
      </c>
      <c r="K380" s="82" t="s">
        <v>2173</v>
      </c>
      <c r="L380" s="82" t="s">
        <v>1946</v>
      </c>
      <c r="M380" s="82" t="s">
        <v>2176</v>
      </c>
      <c r="N380" s="82" t="s">
        <v>2188</v>
      </c>
      <c r="O380" s="82" t="s">
        <v>2173</v>
      </c>
    </row>
    <row r="381" spans="1:15" ht="15.75" hidden="1" x14ac:dyDescent="0.25">
      <c r="A381" t="str">
        <f t="shared" si="5"/>
        <v>ALR_GUASTO_QUADRO-Allarme guasto quadro</v>
      </c>
      <c r="C381" s="82" t="s">
        <v>409</v>
      </c>
      <c r="D381" s="82" t="s">
        <v>410</v>
      </c>
      <c r="E381" s="82" t="s">
        <v>2163</v>
      </c>
      <c r="F381" s="82" t="s">
        <v>409</v>
      </c>
      <c r="G381" s="82" t="s">
        <v>1946</v>
      </c>
      <c r="H381" s="82" t="s">
        <v>2165</v>
      </c>
      <c r="I381" s="82" t="s">
        <v>24</v>
      </c>
      <c r="J381" s="82" t="s">
        <v>2171</v>
      </c>
      <c r="K381" s="82" t="s">
        <v>2167</v>
      </c>
      <c r="L381" s="82" t="s">
        <v>1946</v>
      </c>
      <c r="M381" s="82" t="s">
        <v>2090</v>
      </c>
      <c r="N381" s="82" t="s">
        <v>1946</v>
      </c>
      <c r="O381" s="82" t="s">
        <v>2173</v>
      </c>
    </row>
    <row r="382" spans="1:15" ht="15.75" hidden="1" x14ac:dyDescent="0.25">
      <c r="A382" t="str">
        <f t="shared" si="5"/>
        <v>ALR_GUASTO_SIRENA-Allarme guasto sirena</v>
      </c>
      <c r="C382" s="82" t="s">
        <v>1333</v>
      </c>
      <c r="D382" s="82" t="s">
        <v>1334</v>
      </c>
      <c r="E382" s="82" t="s">
        <v>2163</v>
      </c>
      <c r="F382" s="82" t="s">
        <v>1333</v>
      </c>
      <c r="G382" s="82" t="s">
        <v>1946</v>
      </c>
      <c r="H382" s="82" t="s">
        <v>2165</v>
      </c>
      <c r="I382" s="82" t="s">
        <v>157</v>
      </c>
      <c r="J382" s="82" t="s">
        <v>2181</v>
      </c>
      <c r="K382" s="82" t="s">
        <v>2167</v>
      </c>
      <c r="L382" s="82" t="s">
        <v>1946</v>
      </c>
      <c r="M382" s="82" t="s">
        <v>2090</v>
      </c>
      <c r="N382" s="82" t="s">
        <v>1946</v>
      </c>
      <c r="O382" s="82" t="s">
        <v>2173</v>
      </c>
    </row>
    <row r="383" spans="1:15" ht="15.75" hidden="1" x14ac:dyDescent="0.25">
      <c r="A383" t="str">
        <f t="shared" si="5"/>
        <v>ALR_GUASTO_SONDA-Allarme guasto sonda dispositivo</v>
      </c>
      <c r="C383" s="82" t="s">
        <v>411</v>
      </c>
      <c r="D383" s="82" t="s">
        <v>412</v>
      </c>
      <c r="E383" s="82" t="s">
        <v>2163</v>
      </c>
      <c r="F383" s="82" t="s">
        <v>411</v>
      </c>
      <c r="G383" s="82" t="s">
        <v>1946</v>
      </c>
      <c r="H383" s="82" t="s">
        <v>2165</v>
      </c>
      <c r="I383" s="82" t="s">
        <v>24</v>
      </c>
      <c r="J383" s="82" t="s">
        <v>2171</v>
      </c>
      <c r="K383" s="82" t="s">
        <v>2167</v>
      </c>
      <c r="L383" s="82" t="s">
        <v>1946</v>
      </c>
      <c r="M383" s="82" t="s">
        <v>2090</v>
      </c>
      <c r="N383" s="82" t="s">
        <v>1946</v>
      </c>
      <c r="O383" s="82" t="s">
        <v>2173</v>
      </c>
    </row>
    <row r="384" spans="1:15" ht="15.75" hidden="1" x14ac:dyDescent="0.25">
      <c r="A384" t="str">
        <f t="shared" si="5"/>
        <v>ALR_GUASTO_SOS-Allarme guasto SOS</v>
      </c>
      <c r="C384" s="82" t="s">
        <v>413</v>
      </c>
      <c r="D384" s="82" t="s">
        <v>414</v>
      </c>
      <c r="E384" s="82" t="s">
        <v>2163</v>
      </c>
      <c r="F384" s="82" t="s">
        <v>413</v>
      </c>
      <c r="G384" s="82" t="s">
        <v>1946</v>
      </c>
      <c r="H384" s="82" t="s">
        <v>2165</v>
      </c>
      <c r="I384" s="82" t="s">
        <v>24</v>
      </c>
      <c r="J384" s="82" t="s">
        <v>2171</v>
      </c>
      <c r="K384" s="82" t="s">
        <v>2167</v>
      </c>
      <c r="L384" s="82" t="s">
        <v>1946</v>
      </c>
      <c r="M384" s="82" t="s">
        <v>2090</v>
      </c>
      <c r="N384" s="82" t="s">
        <v>1946</v>
      </c>
      <c r="O384" s="82" t="s">
        <v>2173</v>
      </c>
    </row>
    <row r="385" spans="1:15" ht="15.75" hidden="1" x14ac:dyDescent="0.25">
      <c r="A385" t="str">
        <f t="shared" si="5"/>
        <v>ALR_GUASTO_TENSIONE-Allarme guasto tensione</v>
      </c>
      <c r="C385" s="82" t="s">
        <v>2325</v>
      </c>
      <c r="D385" s="82" t="s">
        <v>2326</v>
      </c>
      <c r="E385" s="82" t="s">
        <v>2163</v>
      </c>
      <c r="F385" s="82" t="s">
        <v>2325</v>
      </c>
      <c r="G385" s="82" t="s">
        <v>1946</v>
      </c>
      <c r="H385" s="82" t="s">
        <v>2165</v>
      </c>
      <c r="I385" s="82" t="s">
        <v>24</v>
      </c>
      <c r="J385" s="82" t="s">
        <v>2171</v>
      </c>
      <c r="K385" s="82" t="s">
        <v>2167</v>
      </c>
      <c r="L385" s="82" t="s">
        <v>1946</v>
      </c>
      <c r="M385" s="82" t="s">
        <v>2090</v>
      </c>
      <c r="N385" s="82" t="s">
        <v>1946</v>
      </c>
      <c r="O385" s="82" t="s">
        <v>2173</v>
      </c>
    </row>
    <row r="386" spans="1:15" ht="15.75" hidden="1" x14ac:dyDescent="0.25">
      <c r="A386" t="str">
        <f t="shared" si="5"/>
        <v>ALR_GUASTO_TIPO1_2_IMP-Allarme guasto tipo 1 dispositivo</v>
      </c>
      <c r="C386" s="82" t="s">
        <v>2135</v>
      </c>
      <c r="D386" s="82" t="s">
        <v>2136</v>
      </c>
      <c r="E386" s="82" t="s">
        <v>2163</v>
      </c>
      <c r="F386" s="82" t="s">
        <v>2135</v>
      </c>
      <c r="G386" s="82" t="s">
        <v>1946</v>
      </c>
      <c r="H386" s="82" t="s">
        <v>2165</v>
      </c>
      <c r="I386" s="82" t="s">
        <v>24</v>
      </c>
      <c r="J386" s="82" t="s">
        <v>2171</v>
      </c>
      <c r="K386" s="82" t="s">
        <v>2167</v>
      </c>
      <c r="L386" s="82" t="s">
        <v>1946</v>
      </c>
      <c r="M386" s="82" t="s">
        <v>2090</v>
      </c>
      <c r="N386" s="82" t="s">
        <v>1946</v>
      </c>
      <c r="O386" s="82" t="s">
        <v>2173</v>
      </c>
    </row>
    <row r="387" spans="1:15" ht="15.75" hidden="1" x14ac:dyDescent="0.25">
      <c r="A387" t="str">
        <f t="shared" ref="A387:A450" si="6">CONCATENATE(F387,"-",D387)</f>
        <v>ALR_GUASTO_TIPO2_2_IMP-Allarme guasto tipo 2 dispositivo</v>
      </c>
      <c r="C387" s="82" t="s">
        <v>2138</v>
      </c>
      <c r="D387" s="82" t="s">
        <v>2139</v>
      </c>
      <c r="E387" s="82" t="s">
        <v>2163</v>
      </c>
      <c r="F387" s="82" t="s">
        <v>2138</v>
      </c>
      <c r="G387" s="82" t="s">
        <v>1946</v>
      </c>
      <c r="H387" s="82" t="s">
        <v>2165</v>
      </c>
      <c r="I387" s="82" t="s">
        <v>24</v>
      </c>
      <c r="J387" s="82" t="s">
        <v>2171</v>
      </c>
      <c r="K387" s="82" t="s">
        <v>2167</v>
      </c>
      <c r="L387" s="82" t="s">
        <v>1946</v>
      </c>
      <c r="M387" s="82" t="s">
        <v>2090</v>
      </c>
      <c r="N387" s="82" t="s">
        <v>1946</v>
      </c>
      <c r="O387" s="82" t="s">
        <v>2173</v>
      </c>
    </row>
    <row r="388" spans="1:15" ht="15.75" hidden="1" x14ac:dyDescent="0.25">
      <c r="A388" t="str">
        <f t="shared" si="6"/>
        <v>ALR_GUASTO_TIPO3_2_IMP-Allarme guasto tipo 3 dispositivo</v>
      </c>
      <c r="C388" s="82" t="s">
        <v>2140</v>
      </c>
      <c r="D388" s="82" t="s">
        <v>2141</v>
      </c>
      <c r="E388" s="82" t="s">
        <v>2163</v>
      </c>
      <c r="F388" s="82" t="s">
        <v>2140</v>
      </c>
      <c r="G388" s="82" t="s">
        <v>1946</v>
      </c>
      <c r="H388" s="82" t="s">
        <v>2165</v>
      </c>
      <c r="I388" s="82" t="s">
        <v>24</v>
      </c>
      <c r="J388" s="82" t="s">
        <v>2171</v>
      </c>
      <c r="K388" s="82" t="s">
        <v>2167</v>
      </c>
      <c r="L388" s="82" t="s">
        <v>1946</v>
      </c>
      <c r="M388" s="82" t="s">
        <v>2090</v>
      </c>
      <c r="N388" s="82" t="s">
        <v>1946</v>
      </c>
      <c r="O388" s="82" t="s">
        <v>2173</v>
      </c>
    </row>
    <row r="389" spans="1:15" ht="15.75" hidden="1" x14ac:dyDescent="0.25">
      <c r="A389" t="str">
        <f t="shared" si="6"/>
        <v>ALR_GUASTO_TVCC-Allarme guasto telecamera</v>
      </c>
      <c r="C389" s="82" t="s">
        <v>1335</v>
      </c>
      <c r="D389" s="82" t="s">
        <v>1336</v>
      </c>
      <c r="E389" s="82" t="s">
        <v>2163</v>
      </c>
      <c r="F389" s="82" t="s">
        <v>1335</v>
      </c>
      <c r="G389" s="82" t="s">
        <v>1946</v>
      </c>
      <c r="H389" s="82" t="s">
        <v>2165</v>
      </c>
      <c r="I389" s="82" t="s">
        <v>24</v>
      </c>
      <c r="J389" s="82" t="s">
        <v>2171</v>
      </c>
      <c r="K389" s="82" t="s">
        <v>2167</v>
      </c>
      <c r="L389" s="82" t="s">
        <v>1946</v>
      </c>
      <c r="M389" s="82" t="s">
        <v>2090</v>
      </c>
      <c r="N389" s="82" t="s">
        <v>1946</v>
      </c>
      <c r="O389" s="82" t="s">
        <v>2173</v>
      </c>
    </row>
    <row r="390" spans="1:15" ht="15.75" hidden="1" x14ac:dyDescent="0.25">
      <c r="A390" t="str">
        <f t="shared" si="6"/>
        <v>ALR_GUASTO_VENTILATORE_BYPASS-Allarme guasto ventilatore bypass</v>
      </c>
      <c r="C390" s="82" t="s">
        <v>2327</v>
      </c>
      <c r="D390" s="82" t="s">
        <v>2328</v>
      </c>
      <c r="E390" s="82" t="s">
        <v>2163</v>
      </c>
      <c r="F390" s="82" t="s">
        <v>2327</v>
      </c>
      <c r="G390" s="82" t="s">
        <v>1946</v>
      </c>
      <c r="H390" s="82" t="s">
        <v>2165</v>
      </c>
      <c r="I390" s="82" t="s">
        <v>24</v>
      </c>
      <c r="J390" s="82" t="s">
        <v>2171</v>
      </c>
      <c r="K390" s="82" t="s">
        <v>2167</v>
      </c>
      <c r="L390" s="82" t="s">
        <v>1946</v>
      </c>
      <c r="M390" s="82" t="s">
        <v>2090</v>
      </c>
      <c r="N390" s="82" t="s">
        <v>1946</v>
      </c>
      <c r="O390" s="82" t="s">
        <v>2173</v>
      </c>
    </row>
    <row r="391" spans="1:15" ht="15.75" hidden="1" x14ac:dyDescent="0.25">
      <c r="A391" t="str">
        <f t="shared" si="6"/>
        <v>ALR_GUASTO_VERSO_CE_NORD-Allarme guasto dispositivo verso cabina nord</v>
      </c>
      <c r="C391" s="82" t="s">
        <v>1339</v>
      </c>
      <c r="D391" s="82" t="s">
        <v>1340</v>
      </c>
      <c r="E391" s="82" t="s">
        <v>2163</v>
      </c>
      <c r="F391" s="82" t="s">
        <v>1339</v>
      </c>
      <c r="G391" s="82" t="s">
        <v>1946</v>
      </c>
      <c r="H391" s="82" t="s">
        <v>2165</v>
      </c>
      <c r="I391" s="82" t="s">
        <v>24</v>
      </c>
      <c r="J391" s="82" t="s">
        <v>2171</v>
      </c>
      <c r="K391" s="82" t="s">
        <v>2167</v>
      </c>
      <c r="L391" s="82" t="s">
        <v>1946</v>
      </c>
      <c r="M391" s="82" t="s">
        <v>2090</v>
      </c>
      <c r="N391" s="82" t="s">
        <v>1946</v>
      </c>
      <c r="O391" s="82" t="s">
        <v>2173</v>
      </c>
    </row>
    <row r="392" spans="1:15" ht="15.75" hidden="1" x14ac:dyDescent="0.25">
      <c r="A392" t="str">
        <f t="shared" si="6"/>
        <v>ALR_GUASTO_VERSO_CE_SUD-Allarme guasto dispositivo verso cabina sud</v>
      </c>
      <c r="C392" s="82" t="s">
        <v>1341</v>
      </c>
      <c r="D392" s="82" t="s">
        <v>1342</v>
      </c>
      <c r="E392" s="82" t="s">
        <v>2163</v>
      </c>
      <c r="F392" s="82" t="s">
        <v>1341</v>
      </c>
      <c r="G392" s="82" t="s">
        <v>1946</v>
      </c>
      <c r="H392" s="82" t="s">
        <v>2165</v>
      </c>
      <c r="I392" s="82" t="s">
        <v>24</v>
      </c>
      <c r="J392" s="82" t="s">
        <v>2171</v>
      </c>
      <c r="K392" s="82" t="s">
        <v>2167</v>
      </c>
      <c r="L392" s="82" t="s">
        <v>1946</v>
      </c>
      <c r="M392" s="82" t="s">
        <v>2090</v>
      </c>
      <c r="N392" s="82" t="s">
        <v>1946</v>
      </c>
      <c r="O392" s="82" t="s">
        <v>2173</v>
      </c>
    </row>
    <row r="393" spans="1:15" ht="15.75" hidden="1" x14ac:dyDescent="0.25">
      <c r="A393" t="str">
        <f t="shared" si="6"/>
        <v>ALR_IDRANTE_APERTO-Allarme guasto lieve</v>
      </c>
      <c r="C393" s="82" t="s">
        <v>415</v>
      </c>
      <c r="D393" s="82" t="s">
        <v>399</v>
      </c>
      <c r="E393" s="82" t="s">
        <v>2163</v>
      </c>
      <c r="F393" s="82" t="s">
        <v>415</v>
      </c>
      <c r="G393" s="82" t="s">
        <v>1946</v>
      </c>
      <c r="H393" s="82" t="s">
        <v>2165</v>
      </c>
      <c r="I393" s="82" t="s">
        <v>24</v>
      </c>
      <c r="J393" s="82" t="s">
        <v>2171</v>
      </c>
      <c r="K393" s="82" t="s">
        <v>2167</v>
      </c>
      <c r="L393" s="82" t="s">
        <v>1946</v>
      </c>
      <c r="M393" s="82" t="s">
        <v>2090</v>
      </c>
      <c r="N393" s="82" t="s">
        <v>1946</v>
      </c>
      <c r="O393" s="82" t="s">
        <v>2173</v>
      </c>
    </row>
    <row r="394" spans="1:15" ht="15.75" hidden="1" x14ac:dyDescent="0.25">
      <c r="A394" t="str">
        <f t="shared" si="6"/>
        <v>ALR_ILLUMINAZIONE-Allarme illuminazione</v>
      </c>
      <c r="C394" s="82" t="s">
        <v>416</v>
      </c>
      <c r="D394" s="82" t="s">
        <v>417</v>
      </c>
      <c r="E394" s="82" t="s">
        <v>2163</v>
      </c>
      <c r="F394" s="82" t="s">
        <v>416</v>
      </c>
      <c r="G394" s="82" t="s">
        <v>1946</v>
      </c>
      <c r="H394" s="82" t="s">
        <v>2165</v>
      </c>
      <c r="I394" s="82" t="s">
        <v>157</v>
      </c>
      <c r="J394" s="82" t="s">
        <v>2181</v>
      </c>
      <c r="K394" s="82" t="s">
        <v>2167</v>
      </c>
      <c r="L394" s="82" t="s">
        <v>1946</v>
      </c>
      <c r="M394" s="82" t="s">
        <v>2090</v>
      </c>
      <c r="N394" s="82" t="s">
        <v>1946</v>
      </c>
      <c r="O394" s="82" t="s">
        <v>2173</v>
      </c>
    </row>
    <row r="395" spans="1:15" ht="15.75" hidden="1" x14ac:dyDescent="0.25">
      <c r="A395" t="str">
        <f t="shared" si="6"/>
        <v>ALR_IMPIANTO-Allarme impianto</v>
      </c>
      <c r="C395" s="82" t="s">
        <v>2329</v>
      </c>
      <c r="D395" s="82" t="s">
        <v>2330</v>
      </c>
      <c r="E395" s="82" t="s">
        <v>2163</v>
      </c>
      <c r="F395" s="82" t="s">
        <v>2329</v>
      </c>
      <c r="G395" s="82" t="s">
        <v>1946</v>
      </c>
      <c r="H395" s="82" t="s">
        <v>2165</v>
      </c>
      <c r="I395" s="82" t="s">
        <v>24</v>
      </c>
      <c r="J395" s="82" t="s">
        <v>2171</v>
      </c>
      <c r="K395" s="82" t="s">
        <v>2167</v>
      </c>
      <c r="L395" s="82" t="s">
        <v>1946</v>
      </c>
      <c r="M395" s="82" t="s">
        <v>2090</v>
      </c>
      <c r="N395" s="82" t="s">
        <v>1946</v>
      </c>
      <c r="O395" s="82" t="s">
        <v>2173</v>
      </c>
    </row>
    <row r="396" spans="1:15" ht="15.75" hidden="1" x14ac:dyDescent="0.25">
      <c r="A396" t="str">
        <f t="shared" si="6"/>
        <v>ALR_INCENDIO-Allarme incendio in galleria</v>
      </c>
      <c r="C396" s="82" t="s">
        <v>419</v>
      </c>
      <c r="D396" s="82" t="s">
        <v>420</v>
      </c>
      <c r="E396" s="82" t="s">
        <v>2163</v>
      </c>
      <c r="F396" s="82" t="s">
        <v>419</v>
      </c>
      <c r="G396" s="82" t="s">
        <v>1946</v>
      </c>
      <c r="H396" s="82" t="s">
        <v>2165</v>
      </c>
      <c r="I396" s="82" t="s">
        <v>45</v>
      </c>
      <c r="J396" s="82" t="s">
        <v>2178</v>
      </c>
      <c r="K396" s="82" t="s">
        <v>2173</v>
      </c>
      <c r="L396" s="82" t="s">
        <v>2175</v>
      </c>
      <c r="M396" s="82" t="s">
        <v>2176</v>
      </c>
      <c r="N396" s="82" t="s">
        <v>2180</v>
      </c>
      <c r="O396" s="82" t="s">
        <v>2173</v>
      </c>
    </row>
    <row r="397" spans="1:15" ht="15.75" hidden="1" x14ac:dyDescent="0.25">
      <c r="A397" t="str">
        <f t="shared" si="6"/>
        <v>ALR_INCENDIO_ALTRA_CANNA-Allarme incendio altra canna</v>
      </c>
      <c r="C397" s="82" t="s">
        <v>1343</v>
      </c>
      <c r="D397" s="82" t="s">
        <v>1344</v>
      </c>
      <c r="E397" s="82" t="s">
        <v>2163</v>
      </c>
      <c r="F397" s="82" t="s">
        <v>1343</v>
      </c>
      <c r="G397" s="82" t="s">
        <v>1946</v>
      </c>
      <c r="H397" s="82" t="s">
        <v>2165</v>
      </c>
      <c r="I397" s="82" t="s">
        <v>45</v>
      </c>
      <c r="J397" s="82" t="s">
        <v>2178</v>
      </c>
      <c r="K397" s="82" t="s">
        <v>2173</v>
      </c>
      <c r="L397" s="82" t="s">
        <v>2175</v>
      </c>
      <c r="M397" s="82" t="s">
        <v>2176</v>
      </c>
      <c r="N397" s="82" t="s">
        <v>2180</v>
      </c>
      <c r="O397" s="82" t="s">
        <v>2173</v>
      </c>
    </row>
    <row r="398" spans="1:15" ht="15.75" hidden="1" x14ac:dyDescent="0.25">
      <c r="A398" t="str">
        <f t="shared" si="6"/>
        <v>ALR_INCENDIO_BYPASS-Allarme incendio bypass</v>
      </c>
      <c r="C398" s="82" t="s">
        <v>2331</v>
      </c>
      <c r="D398" s="82" t="s">
        <v>2332</v>
      </c>
      <c r="E398" s="82" t="s">
        <v>2163</v>
      </c>
      <c r="F398" s="82" t="s">
        <v>2331</v>
      </c>
      <c r="G398" s="82" t="s">
        <v>1946</v>
      </c>
      <c r="H398" s="82" t="s">
        <v>2165</v>
      </c>
      <c r="I398" s="82" t="s">
        <v>33</v>
      </c>
      <c r="J398" s="82" t="s">
        <v>2174</v>
      </c>
      <c r="K398" s="82" t="s">
        <v>2173</v>
      </c>
      <c r="L398" s="82" t="s">
        <v>1946</v>
      </c>
      <c r="M398" s="82" t="s">
        <v>2322</v>
      </c>
      <c r="N398" s="82" t="s">
        <v>1946</v>
      </c>
      <c r="O398" s="82" t="s">
        <v>2173</v>
      </c>
    </row>
    <row r="399" spans="1:15" ht="15.75" hidden="1" x14ac:dyDescent="0.25">
      <c r="A399" t="str">
        <f t="shared" si="6"/>
        <v>ALR_INCENDIO_BYPASS_2-Allarme incendio bypass</v>
      </c>
      <c r="C399" s="82" t="s">
        <v>2333</v>
      </c>
      <c r="D399" s="82" t="s">
        <v>2332</v>
      </c>
      <c r="E399" s="82" t="s">
        <v>2163</v>
      </c>
      <c r="F399" s="82" t="s">
        <v>2333</v>
      </c>
      <c r="G399" s="82" t="s">
        <v>1946</v>
      </c>
      <c r="H399" s="82" t="s">
        <v>2165</v>
      </c>
      <c r="I399" s="82" t="s">
        <v>33</v>
      </c>
      <c r="J399" s="82" t="s">
        <v>2174</v>
      </c>
      <c r="K399" s="82" t="s">
        <v>2173</v>
      </c>
      <c r="L399" s="82" t="s">
        <v>1946</v>
      </c>
      <c r="M399" s="82" t="s">
        <v>2322</v>
      </c>
      <c r="N399" s="82" t="s">
        <v>1946</v>
      </c>
      <c r="O399" s="82" t="s">
        <v>2173</v>
      </c>
    </row>
    <row r="400" spans="1:15" ht="15.75" hidden="1" x14ac:dyDescent="0.25">
      <c r="A400" t="str">
        <f t="shared" si="6"/>
        <v>ALR_INCENDIO_CANNA_NORD-Allarme incendio in galleria canna nord</v>
      </c>
      <c r="C400" s="82" t="s">
        <v>421</v>
      </c>
      <c r="D400" s="82" t="s">
        <v>422</v>
      </c>
      <c r="E400" s="82" t="s">
        <v>2163</v>
      </c>
      <c r="F400" s="82" t="s">
        <v>421</v>
      </c>
      <c r="G400" s="82" t="s">
        <v>1946</v>
      </c>
      <c r="H400" s="82" t="s">
        <v>2165</v>
      </c>
      <c r="I400" s="82" t="s">
        <v>45</v>
      </c>
      <c r="J400" s="82" t="s">
        <v>2178</v>
      </c>
      <c r="K400" s="82" t="s">
        <v>2173</v>
      </c>
      <c r="L400" s="82" t="s">
        <v>2175</v>
      </c>
      <c r="M400" s="82" t="s">
        <v>2176</v>
      </c>
      <c r="N400" s="82" t="s">
        <v>2180</v>
      </c>
      <c r="O400" s="82" t="s">
        <v>2173</v>
      </c>
    </row>
    <row r="401" spans="1:15" ht="15.75" hidden="1" x14ac:dyDescent="0.25">
      <c r="A401" t="str">
        <f t="shared" si="6"/>
        <v>ALR_INCENDIO_CANNA_NORD_DA CRI-Allarme incendio in galleria canna sud da CRI</v>
      </c>
      <c r="C401" s="82" t="s">
        <v>2334</v>
      </c>
      <c r="D401" s="82" t="s">
        <v>2335</v>
      </c>
      <c r="E401" s="82" t="s">
        <v>2163</v>
      </c>
      <c r="F401" s="82" t="s">
        <v>2334</v>
      </c>
      <c r="G401" s="82" t="s">
        <v>1946</v>
      </c>
      <c r="H401" s="82" t="s">
        <v>2165</v>
      </c>
      <c r="I401" s="82" t="s">
        <v>33</v>
      </c>
      <c r="J401" s="82" t="s">
        <v>2174</v>
      </c>
      <c r="K401" s="82" t="s">
        <v>2173</v>
      </c>
      <c r="L401" s="82" t="s">
        <v>1946</v>
      </c>
      <c r="M401" s="82" t="s">
        <v>2090</v>
      </c>
      <c r="N401" s="82" t="s">
        <v>1946</v>
      </c>
      <c r="O401" s="82" t="s">
        <v>2173</v>
      </c>
    </row>
    <row r="402" spans="1:15" ht="15.75" hidden="1" x14ac:dyDescent="0.25">
      <c r="A402" t="str">
        <f t="shared" si="6"/>
        <v>ALR_INCENDIO_CANNA_SUD-Allarme incendio in galleria canna sud</v>
      </c>
      <c r="C402" s="82" t="s">
        <v>423</v>
      </c>
      <c r="D402" s="82" t="s">
        <v>424</v>
      </c>
      <c r="E402" s="82" t="s">
        <v>2163</v>
      </c>
      <c r="F402" s="82" t="s">
        <v>423</v>
      </c>
      <c r="G402" s="82" t="s">
        <v>1946</v>
      </c>
      <c r="H402" s="82" t="s">
        <v>2165</v>
      </c>
      <c r="I402" s="82" t="s">
        <v>45</v>
      </c>
      <c r="J402" s="82" t="s">
        <v>2178</v>
      </c>
      <c r="K402" s="82" t="s">
        <v>2173</v>
      </c>
      <c r="L402" s="82" t="s">
        <v>2175</v>
      </c>
      <c r="M402" s="82" t="s">
        <v>2176</v>
      </c>
      <c r="N402" s="82" t="s">
        <v>2180</v>
      </c>
      <c r="O402" s="82" t="s">
        <v>2173</v>
      </c>
    </row>
    <row r="403" spans="1:15" ht="15.75" hidden="1" x14ac:dyDescent="0.25">
      <c r="A403" t="str">
        <f t="shared" si="6"/>
        <v>ALR_INCENDIO_CANNA_SUD_DA CRI-Allarme incendio in galleria canna nord da CRI</v>
      </c>
      <c r="C403" s="82" t="s">
        <v>2336</v>
      </c>
      <c r="D403" s="82" t="s">
        <v>2337</v>
      </c>
      <c r="E403" s="82" t="s">
        <v>2163</v>
      </c>
      <c r="F403" s="82" t="s">
        <v>2336</v>
      </c>
      <c r="G403" s="82" t="s">
        <v>1946</v>
      </c>
      <c r="H403" s="82" t="s">
        <v>2165</v>
      </c>
      <c r="I403" s="82" t="s">
        <v>33</v>
      </c>
      <c r="J403" s="82" t="s">
        <v>2174</v>
      </c>
      <c r="K403" s="82" t="s">
        <v>2173</v>
      </c>
      <c r="L403" s="82" t="s">
        <v>1946</v>
      </c>
      <c r="M403" s="82" t="s">
        <v>2090</v>
      </c>
      <c r="N403" s="82" t="s">
        <v>1946</v>
      </c>
      <c r="O403" s="82" t="s">
        <v>2173</v>
      </c>
    </row>
    <row r="404" spans="1:15" ht="15.75" hidden="1" x14ac:dyDescent="0.25">
      <c r="A404" t="str">
        <f t="shared" si="6"/>
        <v>ALR_INCENDIO_DA_FORZATURA-Allarme incendio in galleria da forzatura</v>
      </c>
      <c r="C404" s="82" t="s">
        <v>1345</v>
      </c>
      <c r="D404" s="82" t="s">
        <v>1346</v>
      </c>
      <c r="E404" s="82" t="s">
        <v>2163</v>
      </c>
      <c r="F404" s="82" t="s">
        <v>1345</v>
      </c>
      <c r="G404" s="82" t="s">
        <v>1946</v>
      </c>
      <c r="H404" s="82" t="s">
        <v>2165</v>
      </c>
      <c r="I404" s="82" t="s">
        <v>45</v>
      </c>
      <c r="J404" s="82" t="s">
        <v>2178</v>
      </c>
      <c r="K404" s="82" t="s">
        <v>2173</v>
      </c>
      <c r="L404" s="82" t="s">
        <v>2175</v>
      </c>
      <c r="M404" s="82" t="s">
        <v>2176</v>
      </c>
      <c r="N404" s="82" t="s">
        <v>2180</v>
      </c>
      <c r="O404" s="82" t="s">
        <v>2173</v>
      </c>
    </row>
    <row r="405" spans="1:15" ht="15.75" hidden="1" x14ac:dyDescent="0.25">
      <c r="A405" t="str">
        <f t="shared" si="6"/>
        <v>ALR_INCENDIO_DI_CANNA_NORD-Allarme incendio in galleria</v>
      </c>
      <c r="C405" s="82" t="s">
        <v>425</v>
      </c>
      <c r="D405" s="82" t="s">
        <v>420</v>
      </c>
      <c r="E405" s="82" t="s">
        <v>2163</v>
      </c>
      <c r="F405" s="82" t="s">
        <v>425</v>
      </c>
      <c r="G405" s="82" t="s">
        <v>1946</v>
      </c>
      <c r="H405" s="82" t="s">
        <v>2165</v>
      </c>
      <c r="I405" s="82" t="s">
        <v>45</v>
      </c>
      <c r="J405" s="82" t="s">
        <v>2178</v>
      </c>
      <c r="K405" s="82" t="s">
        <v>2173</v>
      </c>
      <c r="L405" s="82" t="s">
        <v>2175</v>
      </c>
      <c r="M405" s="82" t="s">
        <v>2176</v>
      </c>
      <c r="N405" s="82" t="s">
        <v>2180</v>
      </c>
      <c r="O405" s="82" t="s">
        <v>2173</v>
      </c>
    </row>
    <row r="406" spans="1:15" ht="15.75" hidden="1" x14ac:dyDescent="0.25">
      <c r="A406" t="str">
        <f t="shared" si="6"/>
        <v>ALR_INCENDIO_DI_CANNA_SUD-Allarme incendio in galleria</v>
      </c>
      <c r="C406" s="82" t="s">
        <v>426</v>
      </c>
      <c r="D406" s="82" t="s">
        <v>420</v>
      </c>
      <c r="E406" s="82" t="s">
        <v>2163</v>
      </c>
      <c r="F406" s="82" t="s">
        <v>426</v>
      </c>
      <c r="G406" s="82" t="s">
        <v>1946</v>
      </c>
      <c r="H406" s="82" t="s">
        <v>2165</v>
      </c>
      <c r="I406" s="82" t="s">
        <v>45</v>
      </c>
      <c r="J406" s="82" t="s">
        <v>2178</v>
      </c>
      <c r="K406" s="82" t="s">
        <v>2173</v>
      </c>
      <c r="L406" s="82" t="s">
        <v>2175</v>
      </c>
      <c r="M406" s="82" t="s">
        <v>2176</v>
      </c>
      <c r="N406" s="82" t="s">
        <v>2180</v>
      </c>
      <c r="O406" s="82" t="s">
        <v>2173</v>
      </c>
    </row>
    <row r="407" spans="1:15" ht="15.75" hidden="1" x14ac:dyDescent="0.25">
      <c r="A407" t="str">
        <f t="shared" si="6"/>
        <v>ALR_INCENDIO_POMPA-Allarme incendio pompa</v>
      </c>
      <c r="C407" s="82" t="s">
        <v>427</v>
      </c>
      <c r="D407" s="82" t="s">
        <v>428</v>
      </c>
      <c r="E407" s="82" t="s">
        <v>2163</v>
      </c>
      <c r="F407" s="82" t="s">
        <v>427</v>
      </c>
      <c r="G407" s="82" t="s">
        <v>1946</v>
      </c>
      <c r="H407" s="82" t="s">
        <v>2165</v>
      </c>
      <c r="I407" s="82" t="s">
        <v>157</v>
      </c>
      <c r="J407" s="82" t="s">
        <v>2181</v>
      </c>
      <c r="K407" s="82" t="s">
        <v>2167</v>
      </c>
      <c r="L407" s="82" t="s">
        <v>1946</v>
      </c>
      <c r="M407" s="82" t="s">
        <v>2176</v>
      </c>
      <c r="N407" s="82" t="s">
        <v>2180</v>
      </c>
      <c r="O407" s="82" t="s">
        <v>2173</v>
      </c>
    </row>
    <row r="408" spans="1:15" ht="15.75" hidden="1" x14ac:dyDescent="0.25">
      <c r="A408" t="str">
        <f t="shared" si="6"/>
        <v>ALR_INCENDIO_VENTILATORE-Allarme incendio ventilatore</v>
      </c>
      <c r="C408" s="82" t="s">
        <v>1348</v>
      </c>
      <c r="D408" s="82" t="s">
        <v>1349</v>
      </c>
      <c r="E408" s="82" t="s">
        <v>2163</v>
      </c>
      <c r="F408" s="82" t="s">
        <v>1348</v>
      </c>
      <c r="G408" s="82" t="s">
        <v>1946</v>
      </c>
      <c r="H408" s="82" t="s">
        <v>2165</v>
      </c>
      <c r="I408" s="82" t="s">
        <v>24</v>
      </c>
      <c r="J408" s="82" t="s">
        <v>2171</v>
      </c>
      <c r="K408" s="82" t="s">
        <v>2167</v>
      </c>
      <c r="L408" s="82" t="s">
        <v>1946</v>
      </c>
      <c r="M408" s="82" t="s">
        <v>2090</v>
      </c>
      <c r="N408" s="82" t="s">
        <v>1946</v>
      </c>
      <c r="O408" s="82" t="s">
        <v>2173</v>
      </c>
    </row>
    <row r="409" spans="1:15" ht="15.75" hidden="1" x14ac:dyDescent="0.25">
      <c r="A409" t="str">
        <f t="shared" si="6"/>
        <v>ALR_INCIDENTE_AUTOMATICO_AUTOVEICOLI_AUTOCARRI_CANNA_NORD-Allarme incidente automatico nord</v>
      </c>
      <c r="C409" s="82" t="s">
        <v>2338</v>
      </c>
      <c r="D409" s="82" t="s">
        <v>2339</v>
      </c>
      <c r="E409" s="82" t="s">
        <v>2163</v>
      </c>
      <c r="F409" s="82" t="s">
        <v>2338</v>
      </c>
      <c r="G409" s="82" t="s">
        <v>1946</v>
      </c>
      <c r="H409" s="82" t="s">
        <v>2165</v>
      </c>
      <c r="I409" s="82" t="s">
        <v>33</v>
      </c>
      <c r="J409" s="82" t="s">
        <v>2174</v>
      </c>
      <c r="K409" s="82" t="s">
        <v>2173</v>
      </c>
      <c r="L409" s="82" t="s">
        <v>1946</v>
      </c>
      <c r="M409" s="82" t="s">
        <v>2090</v>
      </c>
      <c r="N409" s="82" t="s">
        <v>1946</v>
      </c>
      <c r="O409" s="82" t="s">
        <v>2173</v>
      </c>
    </row>
    <row r="410" spans="1:15" ht="15.75" hidden="1" x14ac:dyDescent="0.25">
      <c r="A410" t="str">
        <f t="shared" si="6"/>
        <v>ALR_INCIDENTE_AUTOMATICO_AUTOVEICOLI_AUTOCARRI_CANNA_SUD-Allarme incidente automatico sud</v>
      </c>
      <c r="C410" s="82" t="s">
        <v>2340</v>
      </c>
      <c r="D410" s="82" t="s">
        <v>2341</v>
      </c>
      <c r="E410" s="82" t="s">
        <v>2163</v>
      </c>
      <c r="F410" s="82" t="s">
        <v>2340</v>
      </c>
      <c r="G410" s="82" t="s">
        <v>1946</v>
      </c>
      <c r="H410" s="82" t="s">
        <v>2165</v>
      </c>
      <c r="I410" s="82" t="s">
        <v>33</v>
      </c>
      <c r="J410" s="82" t="s">
        <v>2174</v>
      </c>
      <c r="K410" s="82" t="s">
        <v>2173</v>
      </c>
      <c r="L410" s="82" t="s">
        <v>1946</v>
      </c>
      <c r="M410" s="82" t="s">
        <v>2090</v>
      </c>
      <c r="N410" s="82" t="s">
        <v>1946</v>
      </c>
      <c r="O410" s="82" t="s">
        <v>2173</v>
      </c>
    </row>
    <row r="411" spans="1:15" ht="15.75" hidden="1" x14ac:dyDescent="0.25">
      <c r="A411" t="str">
        <f t="shared" si="6"/>
        <v xml:space="preserve">ALR_INCIDENTE_BYPASS-Allarme Incidente ByPass </v>
      </c>
      <c r="C411" s="82" t="s">
        <v>2342</v>
      </c>
      <c r="D411" s="82" t="s">
        <v>2343</v>
      </c>
      <c r="E411" s="82" t="s">
        <v>2163</v>
      </c>
      <c r="F411" s="82" t="s">
        <v>2342</v>
      </c>
      <c r="G411" s="82" t="s">
        <v>1946</v>
      </c>
      <c r="H411" s="82" t="s">
        <v>2165</v>
      </c>
      <c r="I411" s="82" t="s">
        <v>24</v>
      </c>
      <c r="J411" s="82" t="s">
        <v>2171</v>
      </c>
      <c r="K411" s="82" t="s">
        <v>2173</v>
      </c>
      <c r="L411" s="82" t="s">
        <v>1946</v>
      </c>
      <c r="M411" s="82" t="s">
        <v>2090</v>
      </c>
      <c r="N411" s="82" t="s">
        <v>1946</v>
      </c>
      <c r="O411" s="82" t="s">
        <v>2173</v>
      </c>
    </row>
    <row r="412" spans="1:15" ht="15.75" hidden="1" x14ac:dyDescent="0.25">
      <c r="A412" t="str">
        <f t="shared" si="6"/>
        <v xml:space="preserve">ALR_INCIDENTE_CORSIA_NORD-Allarme incidente corsia Nord </v>
      </c>
      <c r="C412" s="82" t="s">
        <v>1350</v>
      </c>
      <c r="D412" s="82" t="s">
        <v>1351</v>
      </c>
      <c r="E412" s="82" t="s">
        <v>2163</v>
      </c>
      <c r="F412" s="82" t="s">
        <v>1350</v>
      </c>
      <c r="G412" s="82" t="s">
        <v>1946</v>
      </c>
      <c r="H412" s="82" t="s">
        <v>2165</v>
      </c>
      <c r="I412" s="82" t="s">
        <v>33</v>
      </c>
      <c r="J412" s="82" t="s">
        <v>2174</v>
      </c>
      <c r="K412" s="82" t="s">
        <v>2173</v>
      </c>
      <c r="L412" s="82" t="s">
        <v>2175</v>
      </c>
      <c r="M412" s="82" t="s">
        <v>2176</v>
      </c>
      <c r="N412" s="82" t="s">
        <v>2177</v>
      </c>
      <c r="O412" s="82" t="s">
        <v>2173</v>
      </c>
    </row>
    <row r="413" spans="1:15" ht="15.75" hidden="1" x14ac:dyDescent="0.25">
      <c r="A413" t="str">
        <f t="shared" si="6"/>
        <v xml:space="preserve">ALR_INCIDENTE_CORSIA_SUD-Allarme incidente corsia Sud </v>
      </c>
      <c r="C413" s="82" t="s">
        <v>1352</v>
      </c>
      <c r="D413" s="82" t="s">
        <v>1353</v>
      </c>
      <c r="E413" s="82" t="s">
        <v>2163</v>
      </c>
      <c r="F413" s="82" t="s">
        <v>1352</v>
      </c>
      <c r="G413" s="82" t="s">
        <v>1946</v>
      </c>
      <c r="H413" s="82" t="s">
        <v>2165</v>
      </c>
      <c r="I413" s="82" t="s">
        <v>33</v>
      </c>
      <c r="J413" s="82" t="s">
        <v>2174</v>
      </c>
      <c r="K413" s="82" t="s">
        <v>2173</v>
      </c>
      <c r="L413" s="82" t="s">
        <v>2175</v>
      </c>
      <c r="M413" s="82" t="s">
        <v>2176</v>
      </c>
      <c r="N413" s="82" t="s">
        <v>2177</v>
      </c>
      <c r="O413" s="82" t="s">
        <v>2173</v>
      </c>
    </row>
    <row r="414" spans="1:15" ht="15.75" hidden="1" x14ac:dyDescent="0.25">
      <c r="A414" t="str">
        <f t="shared" si="6"/>
        <v>ALR_INCIDENTE_DA_SOS-Allarme pulsante incidente</v>
      </c>
      <c r="C414" s="82" t="s">
        <v>429</v>
      </c>
      <c r="D414" s="82" t="s">
        <v>430</v>
      </c>
      <c r="E414" s="82" t="s">
        <v>2163</v>
      </c>
      <c r="F414" s="82" t="s">
        <v>429</v>
      </c>
      <c r="G414" s="82" t="s">
        <v>1946</v>
      </c>
      <c r="H414" s="82" t="s">
        <v>2165</v>
      </c>
      <c r="I414" s="82" t="s">
        <v>33</v>
      </c>
      <c r="J414" s="82" t="s">
        <v>2174</v>
      </c>
      <c r="K414" s="82" t="s">
        <v>2173</v>
      </c>
      <c r="L414" s="82" t="s">
        <v>2175</v>
      </c>
      <c r="M414" s="82" t="s">
        <v>2176</v>
      </c>
      <c r="N414" s="82" t="s">
        <v>2177</v>
      </c>
      <c r="O414" s="82" t="s">
        <v>2173</v>
      </c>
    </row>
    <row r="415" spans="1:15" ht="15.75" hidden="1" x14ac:dyDescent="0.25">
      <c r="A415" t="str">
        <f t="shared" si="6"/>
        <v>ALR_INCIDENTE_DX-Allarme incidente lato destro</v>
      </c>
      <c r="C415" s="82" t="s">
        <v>1354</v>
      </c>
      <c r="D415" s="82" t="s">
        <v>1355</v>
      </c>
      <c r="E415" s="82" t="s">
        <v>2163</v>
      </c>
      <c r="F415" s="82" t="s">
        <v>1354</v>
      </c>
      <c r="G415" s="82" t="s">
        <v>1946</v>
      </c>
      <c r="H415" s="82" t="s">
        <v>2165</v>
      </c>
      <c r="I415" s="82" t="s">
        <v>33</v>
      </c>
      <c r="J415" s="82" t="s">
        <v>2174</v>
      </c>
      <c r="K415" s="82" t="s">
        <v>2173</v>
      </c>
      <c r="L415" s="82" t="s">
        <v>2175</v>
      </c>
      <c r="M415" s="82" t="s">
        <v>2176</v>
      </c>
      <c r="N415" s="82" t="s">
        <v>2177</v>
      </c>
      <c r="O415" s="82" t="s">
        <v>2173</v>
      </c>
    </row>
    <row r="416" spans="1:15" ht="15.75" hidden="1" x14ac:dyDescent="0.25">
      <c r="A416" t="str">
        <f t="shared" si="6"/>
        <v>ALR_INCIDENTE_DX_QUADRI-Allarme incidente lato destro quadri</v>
      </c>
      <c r="C416" s="82" t="s">
        <v>1356</v>
      </c>
      <c r="D416" s="82" t="s">
        <v>1357</v>
      </c>
      <c r="E416" s="82" t="s">
        <v>2163</v>
      </c>
      <c r="F416" s="82" t="s">
        <v>1356</v>
      </c>
      <c r="G416" s="82" t="s">
        <v>1946</v>
      </c>
      <c r="H416" s="82" t="s">
        <v>2165</v>
      </c>
      <c r="I416" s="82" t="s">
        <v>33</v>
      </c>
      <c r="J416" s="82" t="s">
        <v>2174</v>
      </c>
      <c r="K416" s="82" t="s">
        <v>2173</v>
      </c>
      <c r="L416" s="82" t="s">
        <v>2175</v>
      </c>
      <c r="M416" s="82" t="s">
        <v>2176</v>
      </c>
      <c r="N416" s="82" t="s">
        <v>2177</v>
      </c>
      <c r="O416" s="82" t="s">
        <v>2173</v>
      </c>
    </row>
    <row r="417" spans="1:15" ht="15.75" hidden="1" x14ac:dyDescent="0.25">
      <c r="A417" t="str">
        <f t="shared" si="6"/>
        <v>ALR_INCIDENTE_SX-Allarme incidente lato sinistro</v>
      </c>
      <c r="C417" s="82" t="s">
        <v>1358</v>
      </c>
      <c r="D417" s="82" t="s">
        <v>1359</v>
      </c>
      <c r="E417" s="82" t="s">
        <v>2163</v>
      </c>
      <c r="F417" s="82" t="s">
        <v>1358</v>
      </c>
      <c r="G417" s="82" t="s">
        <v>1946</v>
      </c>
      <c r="H417" s="82" t="s">
        <v>2165</v>
      </c>
      <c r="I417" s="82" t="s">
        <v>33</v>
      </c>
      <c r="J417" s="82" t="s">
        <v>2174</v>
      </c>
      <c r="K417" s="82" t="s">
        <v>2173</v>
      </c>
      <c r="L417" s="82" t="s">
        <v>2175</v>
      </c>
      <c r="M417" s="82" t="s">
        <v>2176</v>
      </c>
      <c r="N417" s="82" t="s">
        <v>2177</v>
      </c>
      <c r="O417" s="82" t="s">
        <v>2173</v>
      </c>
    </row>
    <row r="418" spans="1:15" ht="15.75" hidden="1" x14ac:dyDescent="0.25">
      <c r="A418" t="str">
        <f t="shared" si="6"/>
        <v>ALR_INCIDENTE_SX_QUADRI-Allarme incidente lato sinistro quadri</v>
      </c>
      <c r="C418" s="82" t="s">
        <v>1360</v>
      </c>
      <c r="D418" s="82" t="s">
        <v>1361</v>
      </c>
      <c r="E418" s="82" t="s">
        <v>2163</v>
      </c>
      <c r="F418" s="82" t="s">
        <v>1360</v>
      </c>
      <c r="G418" s="82" t="s">
        <v>1946</v>
      </c>
      <c r="H418" s="82" t="s">
        <v>2165</v>
      </c>
      <c r="I418" s="82" t="s">
        <v>33</v>
      </c>
      <c r="J418" s="82" t="s">
        <v>2174</v>
      </c>
      <c r="K418" s="82" t="s">
        <v>2173</v>
      </c>
      <c r="L418" s="82" t="s">
        <v>2175</v>
      </c>
      <c r="M418" s="82" t="s">
        <v>2176</v>
      </c>
      <c r="N418" s="82" t="s">
        <v>2177</v>
      </c>
      <c r="O418" s="82" t="s">
        <v>2173</v>
      </c>
    </row>
    <row r="419" spans="1:15" ht="15.75" hidden="1" x14ac:dyDescent="0.25">
      <c r="A419" t="str">
        <f t="shared" si="6"/>
        <v>ALR_INCIDENTE_VEICOLO_MERCI_PERICOLOSE-Allarme attivazione pannello merci pericolose</v>
      </c>
      <c r="C419" s="82" t="s">
        <v>432</v>
      </c>
      <c r="D419" s="82" t="s">
        <v>433</v>
      </c>
      <c r="E419" s="82" t="s">
        <v>2163</v>
      </c>
      <c r="F419" s="82" t="s">
        <v>432</v>
      </c>
      <c r="G419" s="82" t="s">
        <v>1946</v>
      </c>
      <c r="H419" s="82" t="s">
        <v>2165</v>
      </c>
      <c r="I419" s="82" t="s">
        <v>24</v>
      </c>
      <c r="J419" s="82" t="s">
        <v>2171</v>
      </c>
      <c r="K419" s="82" t="s">
        <v>2167</v>
      </c>
      <c r="L419" s="82" t="s">
        <v>1946</v>
      </c>
      <c r="M419" s="82" t="s">
        <v>2090</v>
      </c>
      <c r="N419" s="82" t="s">
        <v>1946</v>
      </c>
      <c r="O419" s="82" t="s">
        <v>2173</v>
      </c>
    </row>
    <row r="420" spans="1:15" ht="15.75" hidden="1" x14ac:dyDescent="0.25">
      <c r="A420" t="str">
        <f t="shared" si="6"/>
        <v>ALR_INCLINAZIONE_LAMPADE-Allarme inclinazione lampade</v>
      </c>
      <c r="C420" s="82" t="s">
        <v>435</v>
      </c>
      <c r="D420" s="82" t="s">
        <v>436</v>
      </c>
      <c r="E420" s="82" t="s">
        <v>2163</v>
      </c>
      <c r="F420" s="82" t="s">
        <v>435</v>
      </c>
      <c r="G420" s="82" t="s">
        <v>1946</v>
      </c>
      <c r="H420" s="82" t="s">
        <v>2165</v>
      </c>
      <c r="I420" s="82" t="s">
        <v>24</v>
      </c>
      <c r="J420" s="82" t="s">
        <v>2171</v>
      </c>
      <c r="K420" s="82" t="s">
        <v>2167</v>
      </c>
      <c r="L420" s="82" t="s">
        <v>1946</v>
      </c>
      <c r="M420" s="82" t="s">
        <v>2090</v>
      </c>
      <c r="N420" s="82" t="s">
        <v>1946</v>
      </c>
      <c r="O420" s="82" t="s">
        <v>2173</v>
      </c>
    </row>
    <row r="421" spans="1:15" ht="15.75" hidden="1" x14ac:dyDescent="0.25">
      <c r="A421" t="str">
        <f t="shared" si="6"/>
        <v>ALR_INCLUSO-Incluso</v>
      </c>
      <c r="C421" s="82" t="s">
        <v>2344</v>
      </c>
      <c r="D421" s="82" t="s">
        <v>2345</v>
      </c>
      <c r="E421" s="82" t="s">
        <v>2163</v>
      </c>
      <c r="F421" s="82" t="s">
        <v>2344</v>
      </c>
      <c r="G421" s="82" t="s">
        <v>1946</v>
      </c>
      <c r="H421" s="82" t="s">
        <v>2165</v>
      </c>
      <c r="I421" s="82" t="s">
        <v>24</v>
      </c>
      <c r="J421" s="82" t="s">
        <v>2171</v>
      </c>
      <c r="K421" s="82" t="s">
        <v>2167</v>
      </c>
      <c r="L421" s="82" t="s">
        <v>1946</v>
      </c>
      <c r="M421" s="82" t="s">
        <v>2090</v>
      </c>
      <c r="N421" s="82" t="s">
        <v>1946</v>
      </c>
      <c r="O421" s="82" t="s">
        <v>2173</v>
      </c>
    </row>
    <row r="422" spans="1:15" ht="15.75" hidden="1" x14ac:dyDescent="0.25">
      <c r="A422" t="str">
        <f t="shared" si="6"/>
        <v>ALR_INCONGRUENZA_AN_NORD-Allarme anemometro Nord incongruente</v>
      </c>
      <c r="C422" s="82" t="s">
        <v>2087</v>
      </c>
      <c r="D422" s="82" t="s">
        <v>2088</v>
      </c>
      <c r="E422" s="82" t="s">
        <v>2163</v>
      </c>
      <c r="F422" s="82" t="s">
        <v>2087</v>
      </c>
      <c r="G422" s="82" t="s">
        <v>1946</v>
      </c>
      <c r="H422" s="82" t="s">
        <v>2165</v>
      </c>
      <c r="I422" s="82" t="s">
        <v>24</v>
      </c>
      <c r="J422" s="82" t="s">
        <v>2171</v>
      </c>
      <c r="K422" s="82" t="s">
        <v>2167</v>
      </c>
      <c r="L422" s="82" t="s">
        <v>1946</v>
      </c>
      <c r="M422" s="82" t="s">
        <v>2090</v>
      </c>
      <c r="N422" s="82" t="s">
        <v>1946</v>
      </c>
      <c r="O422" s="82" t="s">
        <v>2173</v>
      </c>
    </row>
    <row r="423" spans="1:15" ht="15.75" hidden="1" x14ac:dyDescent="0.25">
      <c r="A423" t="str">
        <f t="shared" si="6"/>
        <v>ALR_INCONGRUENZA_AN_SUD-Allarme anemometro Sud incongruente</v>
      </c>
      <c r="C423" s="82" t="s">
        <v>2091</v>
      </c>
      <c r="D423" s="82" t="s">
        <v>2092</v>
      </c>
      <c r="E423" s="82" t="s">
        <v>2163</v>
      </c>
      <c r="F423" s="82" t="s">
        <v>2091</v>
      </c>
      <c r="G423" s="82" t="s">
        <v>2182</v>
      </c>
      <c r="H423" s="82" t="s">
        <v>2165</v>
      </c>
      <c r="I423" s="82" t="s">
        <v>24</v>
      </c>
      <c r="J423" s="82" t="s">
        <v>2171</v>
      </c>
      <c r="K423" s="82" t="s">
        <v>2167</v>
      </c>
      <c r="L423" s="82" t="s">
        <v>2182</v>
      </c>
      <c r="M423" s="82" t="s">
        <v>2183</v>
      </c>
      <c r="N423" s="82" t="s">
        <v>1946</v>
      </c>
      <c r="O423" s="82" t="s">
        <v>2173</v>
      </c>
    </row>
    <row r="424" spans="1:15" ht="15.75" hidden="1" x14ac:dyDescent="0.25">
      <c r="A424" t="str">
        <f t="shared" si="6"/>
        <v>ALR_INCONGRUENZA_SELETTORE-Allarme incongruenza selettore</v>
      </c>
      <c r="C424" s="82" t="s">
        <v>2346</v>
      </c>
      <c r="D424" s="82" t="s">
        <v>2347</v>
      </c>
      <c r="E424" s="82" t="s">
        <v>2163</v>
      </c>
      <c r="F424" s="82" t="s">
        <v>2346</v>
      </c>
      <c r="G424" s="82" t="s">
        <v>1946</v>
      </c>
      <c r="H424" s="82" t="s">
        <v>2165</v>
      </c>
      <c r="I424" s="82" t="s">
        <v>24</v>
      </c>
      <c r="J424" s="82" t="s">
        <v>2171</v>
      </c>
      <c r="K424" s="82" t="s">
        <v>2167</v>
      </c>
      <c r="L424" s="82" t="s">
        <v>1946</v>
      </c>
      <c r="M424" s="82" t="s">
        <v>2090</v>
      </c>
      <c r="N424" s="82" t="s">
        <v>1946</v>
      </c>
      <c r="O424" s="82" t="s">
        <v>2173</v>
      </c>
    </row>
    <row r="425" spans="1:15" ht="15.75" hidden="1" x14ac:dyDescent="0.25">
      <c r="A425" t="str">
        <f t="shared" si="6"/>
        <v>ALR_INCONSISTENTE-Allarme inconsistente</v>
      </c>
      <c r="C425" s="82" t="s">
        <v>438</v>
      </c>
      <c r="D425" s="82" t="s">
        <v>439</v>
      </c>
      <c r="E425" s="82" t="s">
        <v>2163</v>
      </c>
      <c r="F425" s="82" t="s">
        <v>438</v>
      </c>
      <c r="G425" s="82" t="s">
        <v>1946</v>
      </c>
      <c r="H425" s="82" t="s">
        <v>2165</v>
      </c>
      <c r="I425" s="82" t="s">
        <v>24</v>
      </c>
      <c r="J425" s="82" t="s">
        <v>2171</v>
      </c>
      <c r="K425" s="82" t="s">
        <v>2167</v>
      </c>
      <c r="L425" s="82" t="s">
        <v>1946</v>
      </c>
      <c r="M425" s="82" t="s">
        <v>2090</v>
      </c>
      <c r="N425" s="82" t="s">
        <v>1946</v>
      </c>
      <c r="O425" s="82" t="s">
        <v>2173</v>
      </c>
    </row>
    <row r="426" spans="1:15" ht="15.75" hidden="1" x14ac:dyDescent="0.25">
      <c r="A426" t="str">
        <f t="shared" si="6"/>
        <v>ALR_INFILTRAZIONE-Allarme infiltrazione</v>
      </c>
      <c r="C426" s="82" t="s">
        <v>440</v>
      </c>
      <c r="D426" s="82" t="s">
        <v>441</v>
      </c>
      <c r="E426" s="82" t="s">
        <v>2163</v>
      </c>
      <c r="F426" s="82" t="s">
        <v>440</v>
      </c>
      <c r="G426" s="82" t="s">
        <v>1946</v>
      </c>
      <c r="H426" s="82" t="s">
        <v>2165</v>
      </c>
      <c r="I426" s="82" t="s">
        <v>24</v>
      </c>
      <c r="J426" s="82" t="s">
        <v>2171</v>
      </c>
      <c r="K426" s="82" t="s">
        <v>2167</v>
      </c>
      <c r="L426" s="82" t="s">
        <v>1946</v>
      </c>
      <c r="M426" s="82" t="s">
        <v>2090</v>
      </c>
      <c r="N426" s="82" t="s">
        <v>1946</v>
      </c>
      <c r="O426" s="82" t="s">
        <v>2173</v>
      </c>
    </row>
    <row r="427" spans="1:15" ht="15.75" hidden="1" x14ac:dyDescent="0.25">
      <c r="A427" t="str">
        <f t="shared" si="6"/>
        <v>ALR_INGR_ANALOGICO-Allarme ingresso analogico</v>
      </c>
      <c r="C427" s="82" t="s">
        <v>1362</v>
      </c>
      <c r="D427" s="82" t="s">
        <v>1363</v>
      </c>
      <c r="E427" s="82" t="s">
        <v>2163</v>
      </c>
      <c r="F427" s="82" t="s">
        <v>1362</v>
      </c>
      <c r="G427" s="82" t="s">
        <v>1946</v>
      </c>
      <c r="H427" s="82" t="s">
        <v>2165</v>
      </c>
      <c r="I427" s="82" t="s">
        <v>24</v>
      </c>
      <c r="J427" s="82" t="s">
        <v>2171</v>
      </c>
      <c r="K427" s="82" t="s">
        <v>2167</v>
      </c>
      <c r="L427" s="82" t="s">
        <v>1946</v>
      </c>
      <c r="M427" s="82" t="s">
        <v>2090</v>
      </c>
      <c r="N427" s="82" t="s">
        <v>1946</v>
      </c>
      <c r="O427" s="82" t="s">
        <v>2173</v>
      </c>
    </row>
    <row r="428" spans="1:15" ht="15.75" hidden="1" x14ac:dyDescent="0.25">
      <c r="A428" t="str">
        <f t="shared" si="6"/>
        <v>ALR_INQUINAMENTO_CANNA_NORD-Allarme inquinamento canna nord</v>
      </c>
      <c r="C428" s="82" t="s">
        <v>443</v>
      </c>
      <c r="D428" s="82" t="s">
        <v>444</v>
      </c>
      <c r="E428" s="82" t="s">
        <v>2163</v>
      </c>
      <c r="F428" s="82" t="s">
        <v>443</v>
      </c>
      <c r="G428" s="82" t="s">
        <v>1946</v>
      </c>
      <c r="H428" s="82" t="s">
        <v>2165</v>
      </c>
      <c r="I428" s="82" t="s">
        <v>45</v>
      </c>
      <c r="J428" s="82" t="s">
        <v>2178</v>
      </c>
      <c r="K428" s="82" t="s">
        <v>2173</v>
      </c>
      <c r="L428" s="82" t="s">
        <v>1946</v>
      </c>
      <c r="M428" s="82" t="s">
        <v>2176</v>
      </c>
      <c r="N428" s="82" t="s">
        <v>2180</v>
      </c>
      <c r="O428" s="82" t="s">
        <v>2173</v>
      </c>
    </row>
    <row r="429" spans="1:15" ht="15.75" hidden="1" x14ac:dyDescent="0.25">
      <c r="A429" t="str">
        <f t="shared" si="6"/>
        <v>ALR_INQUINAMENTO_CANNA_SUD-Allarme inquinamento canna sud</v>
      </c>
      <c r="C429" s="82" t="s">
        <v>446</v>
      </c>
      <c r="D429" s="82" t="s">
        <v>447</v>
      </c>
      <c r="E429" s="82" t="s">
        <v>2163</v>
      </c>
      <c r="F429" s="82" t="s">
        <v>446</v>
      </c>
      <c r="G429" s="82" t="s">
        <v>1946</v>
      </c>
      <c r="H429" s="82" t="s">
        <v>2165</v>
      </c>
      <c r="I429" s="82" t="s">
        <v>45</v>
      </c>
      <c r="J429" s="82" t="s">
        <v>2178</v>
      </c>
      <c r="K429" s="82" t="s">
        <v>2173</v>
      </c>
      <c r="L429" s="82" t="s">
        <v>1946</v>
      </c>
      <c r="M429" s="82" t="s">
        <v>2176</v>
      </c>
      <c r="N429" s="82" t="s">
        <v>2180</v>
      </c>
      <c r="O429" s="82" t="s">
        <v>2173</v>
      </c>
    </row>
    <row r="430" spans="1:15" ht="15.75" hidden="1" x14ac:dyDescent="0.25">
      <c r="A430" t="str">
        <f t="shared" si="6"/>
        <v>ALR_INQUINAMENTO_GALLERIA-Allarme inquinamento galleria</v>
      </c>
      <c r="C430" s="82" t="s">
        <v>448</v>
      </c>
      <c r="D430" s="82" t="s">
        <v>449</v>
      </c>
      <c r="E430" s="82" t="s">
        <v>2163</v>
      </c>
      <c r="F430" s="82" t="s">
        <v>448</v>
      </c>
      <c r="G430" s="82" t="s">
        <v>1946</v>
      </c>
      <c r="H430" s="82" t="s">
        <v>2165</v>
      </c>
      <c r="I430" s="82" t="s">
        <v>45</v>
      </c>
      <c r="J430" s="82" t="s">
        <v>2178</v>
      </c>
      <c r="K430" s="82" t="s">
        <v>2173</v>
      </c>
      <c r="L430" s="82" t="s">
        <v>1946</v>
      </c>
      <c r="M430" s="82" t="s">
        <v>2176</v>
      </c>
      <c r="N430" s="82" t="s">
        <v>2180</v>
      </c>
      <c r="O430" s="82" t="s">
        <v>2173</v>
      </c>
    </row>
    <row r="431" spans="1:15" ht="15.75" hidden="1" x14ac:dyDescent="0.25">
      <c r="A431" t="str">
        <f t="shared" si="6"/>
        <v>ALR_INSERIMENTO_UNITA-Allarme inserimento unità</v>
      </c>
      <c r="C431" s="82" t="s">
        <v>1364</v>
      </c>
      <c r="D431" s="82" t="s">
        <v>1365</v>
      </c>
      <c r="E431" s="82" t="s">
        <v>2163</v>
      </c>
      <c r="F431" s="82" t="s">
        <v>1364</v>
      </c>
      <c r="G431" s="82" t="s">
        <v>1946</v>
      </c>
      <c r="H431" s="82" t="s">
        <v>2165</v>
      </c>
      <c r="I431" s="82" t="s">
        <v>24</v>
      </c>
      <c r="J431" s="82" t="s">
        <v>2171</v>
      </c>
      <c r="K431" s="82" t="s">
        <v>2167</v>
      </c>
      <c r="L431" s="82" t="s">
        <v>1946</v>
      </c>
      <c r="M431" s="82" t="s">
        <v>2090</v>
      </c>
      <c r="N431" s="82" t="s">
        <v>1946</v>
      </c>
      <c r="O431" s="82" t="s">
        <v>2173</v>
      </c>
    </row>
    <row r="432" spans="1:15" ht="15.75" hidden="1" x14ac:dyDescent="0.25">
      <c r="A432" t="str">
        <f t="shared" si="6"/>
        <v xml:space="preserve">ALR_INT-Allarme Interruttore </v>
      </c>
      <c r="C432" s="82" t="s">
        <v>1366</v>
      </c>
      <c r="D432" s="82" t="s">
        <v>1367</v>
      </c>
      <c r="E432" s="82" t="s">
        <v>2163</v>
      </c>
      <c r="F432" s="82" t="s">
        <v>1366</v>
      </c>
      <c r="G432" s="82" t="s">
        <v>1946</v>
      </c>
      <c r="H432" s="82" t="s">
        <v>2165</v>
      </c>
      <c r="I432" s="82" t="s">
        <v>157</v>
      </c>
      <c r="J432" s="82" t="s">
        <v>2181</v>
      </c>
      <c r="K432" s="82" t="s">
        <v>2167</v>
      </c>
      <c r="L432" s="82" t="s">
        <v>1946</v>
      </c>
      <c r="M432" s="82" t="s">
        <v>2090</v>
      </c>
      <c r="N432" s="82" t="s">
        <v>1946</v>
      </c>
      <c r="O432" s="82" t="s">
        <v>2173</v>
      </c>
    </row>
    <row r="433" spans="1:15" ht="15.75" hidden="1" x14ac:dyDescent="0.25">
      <c r="A433" t="str">
        <f t="shared" si="6"/>
        <v>ALR_INTERRUTTORE-Allarme interruttore scattato</v>
      </c>
      <c r="C433" s="82" t="s">
        <v>464</v>
      </c>
      <c r="D433" s="82" t="s">
        <v>459</v>
      </c>
      <c r="E433" s="82" t="s">
        <v>2163</v>
      </c>
      <c r="F433" s="82" t="s">
        <v>464</v>
      </c>
      <c r="G433" s="82" t="s">
        <v>1946</v>
      </c>
      <c r="H433" s="82" t="s">
        <v>2165</v>
      </c>
      <c r="I433" s="82" t="s">
        <v>24</v>
      </c>
      <c r="J433" s="82" t="s">
        <v>2171</v>
      </c>
      <c r="K433" s="82" t="s">
        <v>2167</v>
      </c>
      <c r="L433" s="82" t="s">
        <v>1946</v>
      </c>
      <c r="M433" s="82" t="s">
        <v>2090</v>
      </c>
      <c r="N433" s="82" t="s">
        <v>1946</v>
      </c>
      <c r="O433" s="82" t="s">
        <v>2173</v>
      </c>
    </row>
    <row r="434" spans="1:15" ht="15.75" hidden="1" x14ac:dyDescent="0.25">
      <c r="A434" t="str">
        <f t="shared" si="6"/>
        <v>ALR_INTERVENTO_SONDA_TERMICA_S1-Allarme intervento sonda termica S1</v>
      </c>
      <c r="C434" s="82" t="s">
        <v>2348</v>
      </c>
      <c r="D434" s="82" t="s">
        <v>2349</v>
      </c>
      <c r="E434" s="82" t="s">
        <v>2163</v>
      </c>
      <c r="F434" s="82" t="s">
        <v>2348</v>
      </c>
      <c r="G434" s="82" t="s">
        <v>1946</v>
      </c>
      <c r="H434" s="82" t="s">
        <v>2165</v>
      </c>
      <c r="I434" s="82" t="s">
        <v>24</v>
      </c>
      <c r="J434" s="82" t="s">
        <v>2171</v>
      </c>
      <c r="K434" s="82" t="s">
        <v>2167</v>
      </c>
      <c r="L434" s="82" t="s">
        <v>1946</v>
      </c>
      <c r="M434" s="82" t="s">
        <v>2090</v>
      </c>
      <c r="N434" s="82" t="s">
        <v>1946</v>
      </c>
      <c r="O434" s="82" t="s">
        <v>2173</v>
      </c>
    </row>
    <row r="435" spans="1:15" ht="15.75" hidden="1" x14ac:dyDescent="0.25">
      <c r="A435" t="str">
        <f t="shared" si="6"/>
        <v>ALR_INTERVENTO_SONDA_TERMICA_S2-Allarme intervento sonda termica S2</v>
      </c>
      <c r="C435" s="82" t="s">
        <v>2350</v>
      </c>
      <c r="D435" s="82" t="s">
        <v>2351</v>
      </c>
      <c r="E435" s="82" t="s">
        <v>2163</v>
      </c>
      <c r="F435" s="82" t="s">
        <v>2350</v>
      </c>
      <c r="G435" s="82" t="s">
        <v>1946</v>
      </c>
      <c r="H435" s="82" t="s">
        <v>2165</v>
      </c>
      <c r="I435" s="82" t="s">
        <v>24</v>
      </c>
      <c r="J435" s="82" t="s">
        <v>2171</v>
      </c>
      <c r="K435" s="82" t="s">
        <v>2167</v>
      </c>
      <c r="L435" s="82" t="s">
        <v>1946</v>
      </c>
      <c r="M435" s="82" t="s">
        <v>2090</v>
      </c>
      <c r="N435" s="82" t="s">
        <v>1946</v>
      </c>
      <c r="O435" s="82" t="s">
        <v>2173</v>
      </c>
    </row>
    <row r="436" spans="1:15" ht="15.75" hidden="1" x14ac:dyDescent="0.25">
      <c r="A436" t="str">
        <f t="shared" si="6"/>
        <v>ALR_INTERVENTO_SONDA_TERMICA_S3-Allarme intervento sonda termica S3</v>
      </c>
      <c r="C436" s="82" t="s">
        <v>2352</v>
      </c>
      <c r="D436" s="82" t="s">
        <v>2353</v>
      </c>
      <c r="E436" s="82" t="s">
        <v>2163</v>
      </c>
      <c r="F436" s="82" t="s">
        <v>2352</v>
      </c>
      <c r="G436" s="82" t="s">
        <v>1946</v>
      </c>
      <c r="H436" s="82" t="s">
        <v>2165</v>
      </c>
      <c r="I436" s="82" t="s">
        <v>24</v>
      </c>
      <c r="J436" s="82" t="s">
        <v>2171</v>
      </c>
      <c r="K436" s="82" t="s">
        <v>2167</v>
      </c>
      <c r="L436" s="82" t="s">
        <v>1946</v>
      </c>
      <c r="M436" s="82" t="s">
        <v>2090</v>
      </c>
      <c r="N436" s="82" t="s">
        <v>1946</v>
      </c>
      <c r="O436" s="82" t="s">
        <v>2173</v>
      </c>
    </row>
    <row r="437" spans="1:15" ht="15.75" hidden="1" x14ac:dyDescent="0.25">
      <c r="A437" t="str">
        <f t="shared" si="6"/>
        <v>ALR_INTERVENTO_SONDA_TERMICA_S4-Allarme intervento sonda termica S4</v>
      </c>
      <c r="C437" s="82" t="s">
        <v>2354</v>
      </c>
      <c r="D437" s="82" t="s">
        <v>2355</v>
      </c>
      <c r="E437" s="82" t="s">
        <v>2163</v>
      </c>
      <c r="F437" s="82" t="s">
        <v>2354</v>
      </c>
      <c r="G437" s="82" t="s">
        <v>1946</v>
      </c>
      <c r="H437" s="82" t="s">
        <v>2165</v>
      </c>
      <c r="I437" s="82" t="s">
        <v>24</v>
      </c>
      <c r="J437" s="82" t="s">
        <v>2171</v>
      </c>
      <c r="K437" s="82" t="s">
        <v>2167</v>
      </c>
      <c r="L437" s="82" t="s">
        <v>1946</v>
      </c>
      <c r="M437" s="82" t="s">
        <v>2090</v>
      </c>
      <c r="N437" s="82" t="s">
        <v>1946</v>
      </c>
      <c r="O437" s="82" t="s">
        <v>2173</v>
      </c>
    </row>
    <row r="438" spans="1:15" ht="15.75" hidden="1" x14ac:dyDescent="0.25">
      <c r="A438" t="str">
        <f t="shared" si="6"/>
        <v>ALR_INTERVENTO_SONDA_TERMICA_S5-Allarme intervento sonda termica S5</v>
      </c>
      <c r="C438" s="82" t="s">
        <v>2356</v>
      </c>
      <c r="D438" s="82" t="s">
        <v>2357</v>
      </c>
      <c r="E438" s="82" t="s">
        <v>2163</v>
      </c>
      <c r="F438" s="82" t="s">
        <v>2356</v>
      </c>
      <c r="G438" s="82" t="s">
        <v>1946</v>
      </c>
      <c r="H438" s="82" t="s">
        <v>2165</v>
      </c>
      <c r="I438" s="82" t="s">
        <v>24</v>
      </c>
      <c r="J438" s="82" t="s">
        <v>2171</v>
      </c>
      <c r="K438" s="82" t="s">
        <v>2167</v>
      </c>
      <c r="L438" s="82" t="s">
        <v>1946</v>
      </c>
      <c r="M438" s="82" t="s">
        <v>2090</v>
      </c>
      <c r="N438" s="82" t="s">
        <v>1946</v>
      </c>
      <c r="O438" s="82" t="s">
        <v>2173</v>
      </c>
    </row>
    <row r="439" spans="1:15" ht="15.75" hidden="1" x14ac:dyDescent="0.25">
      <c r="A439" t="str">
        <f t="shared" si="6"/>
        <v>ALR_INTERVENTO_SONDA_TERMICA_S6-Allarme intervento sonda termica S6</v>
      </c>
      <c r="C439" s="82" t="s">
        <v>2358</v>
      </c>
      <c r="D439" s="82" t="s">
        <v>2359</v>
      </c>
      <c r="E439" s="82" t="s">
        <v>2163</v>
      </c>
      <c r="F439" s="82" t="s">
        <v>2358</v>
      </c>
      <c r="G439" s="82" t="s">
        <v>1946</v>
      </c>
      <c r="H439" s="82" t="s">
        <v>2165</v>
      </c>
      <c r="I439" s="82" t="s">
        <v>24</v>
      </c>
      <c r="J439" s="82" t="s">
        <v>2171</v>
      </c>
      <c r="K439" s="82" t="s">
        <v>2167</v>
      </c>
      <c r="L439" s="82" t="s">
        <v>1946</v>
      </c>
      <c r="M439" s="82" t="s">
        <v>2090</v>
      </c>
      <c r="N439" s="82" t="s">
        <v>1946</v>
      </c>
      <c r="O439" s="82" t="s">
        <v>2173</v>
      </c>
    </row>
    <row r="440" spans="1:15" ht="15.75" hidden="1" x14ac:dyDescent="0.25">
      <c r="A440" t="str">
        <f t="shared" si="6"/>
        <v>ALR_INTERVENTO_SONDA_TERMICA_S7-Allarme intervento sonda termica S7</v>
      </c>
      <c r="C440" s="82" t="s">
        <v>2360</v>
      </c>
      <c r="D440" s="82" t="s">
        <v>2361</v>
      </c>
      <c r="E440" s="82" t="s">
        <v>2163</v>
      </c>
      <c r="F440" s="82" t="s">
        <v>2360</v>
      </c>
      <c r="G440" s="82" t="s">
        <v>1946</v>
      </c>
      <c r="H440" s="82" t="s">
        <v>2165</v>
      </c>
      <c r="I440" s="82" t="s">
        <v>24</v>
      </c>
      <c r="J440" s="82" t="s">
        <v>2171</v>
      </c>
      <c r="K440" s="82" t="s">
        <v>2167</v>
      </c>
      <c r="L440" s="82" t="s">
        <v>1946</v>
      </c>
      <c r="M440" s="82" t="s">
        <v>2090</v>
      </c>
      <c r="N440" s="82" t="s">
        <v>1946</v>
      </c>
      <c r="O440" s="82" t="s">
        <v>2173</v>
      </c>
    </row>
    <row r="441" spans="1:15" ht="15.75" hidden="1" x14ac:dyDescent="0.25">
      <c r="A441" t="str">
        <f t="shared" si="6"/>
        <v>ALR_INTERVENTO_SONDA_TERMICA_S8-Allarme intervento sonda termica S8</v>
      </c>
      <c r="C441" s="82" t="s">
        <v>2362</v>
      </c>
      <c r="D441" s="82" t="s">
        <v>2363</v>
      </c>
      <c r="E441" s="82" t="s">
        <v>2163</v>
      </c>
      <c r="F441" s="82" t="s">
        <v>2362</v>
      </c>
      <c r="G441" s="82" t="s">
        <v>1946</v>
      </c>
      <c r="H441" s="82" t="s">
        <v>2165</v>
      </c>
      <c r="I441" s="82" t="s">
        <v>24</v>
      </c>
      <c r="J441" s="82" t="s">
        <v>2171</v>
      </c>
      <c r="K441" s="82" t="s">
        <v>2167</v>
      </c>
      <c r="L441" s="82" t="s">
        <v>1946</v>
      </c>
      <c r="M441" s="82" t="s">
        <v>2090</v>
      </c>
      <c r="N441" s="82" t="s">
        <v>1946</v>
      </c>
      <c r="O441" s="82" t="s">
        <v>2173</v>
      </c>
    </row>
    <row r="442" spans="1:15" ht="15.75" hidden="1" x14ac:dyDescent="0.25">
      <c r="A442" t="str">
        <f t="shared" si="6"/>
        <v>ALR_INTERVENUTO_PROTEZIONE_TERMICO-Allarme scatto protezione magnetotermica</v>
      </c>
      <c r="C442" s="82" t="s">
        <v>466</v>
      </c>
      <c r="D442" s="82" t="s">
        <v>467</v>
      </c>
      <c r="E442" s="82" t="s">
        <v>2163</v>
      </c>
      <c r="F442" s="82" t="s">
        <v>466</v>
      </c>
      <c r="G442" s="82" t="s">
        <v>1946</v>
      </c>
      <c r="H442" s="82" t="s">
        <v>2165</v>
      </c>
      <c r="I442" s="82" t="s">
        <v>24</v>
      </c>
      <c r="J442" s="82" t="s">
        <v>2171</v>
      </c>
      <c r="K442" s="82" t="s">
        <v>2167</v>
      </c>
      <c r="L442" s="82" t="s">
        <v>1946</v>
      </c>
      <c r="M442" s="82" t="s">
        <v>2090</v>
      </c>
      <c r="N442" s="82" t="s">
        <v>1946</v>
      </c>
      <c r="O442" s="82" t="s">
        <v>2173</v>
      </c>
    </row>
    <row r="443" spans="1:15" ht="15.75" hidden="1" x14ac:dyDescent="0.25">
      <c r="A443" t="str">
        <f t="shared" si="6"/>
        <v>ALR_INTRUSIONE-Allarme intrusione in cabina</v>
      </c>
      <c r="C443" s="82" t="s">
        <v>469</v>
      </c>
      <c r="D443" s="82" t="s">
        <v>470</v>
      </c>
      <c r="E443" s="82" t="s">
        <v>2163</v>
      </c>
      <c r="F443" s="82" t="s">
        <v>469</v>
      </c>
      <c r="G443" s="82" t="s">
        <v>1946</v>
      </c>
      <c r="H443" s="82" t="s">
        <v>2165</v>
      </c>
      <c r="I443" s="82" t="s">
        <v>33</v>
      </c>
      <c r="J443" s="82" t="s">
        <v>2174</v>
      </c>
      <c r="K443" s="82" t="s">
        <v>2173</v>
      </c>
      <c r="L443" s="82" t="s">
        <v>1946</v>
      </c>
      <c r="M443" s="82" t="s">
        <v>2176</v>
      </c>
      <c r="N443" s="82" t="s">
        <v>2180</v>
      </c>
      <c r="O443" s="82" t="s">
        <v>2173</v>
      </c>
    </row>
    <row r="444" spans="1:15" ht="15.75" hidden="1" x14ac:dyDescent="0.25">
      <c r="A444" t="str">
        <f t="shared" si="6"/>
        <v>ALR_INTRUSIONE_IN_GALLERIA-Allarme intrusione in galleria</v>
      </c>
      <c r="C444" s="82" t="s">
        <v>472</v>
      </c>
      <c r="D444" s="82" t="s">
        <v>473</v>
      </c>
      <c r="E444" s="82" t="s">
        <v>2163</v>
      </c>
      <c r="F444" s="82" t="s">
        <v>472</v>
      </c>
      <c r="G444" s="82" t="s">
        <v>1946</v>
      </c>
      <c r="H444" s="82" t="s">
        <v>2165</v>
      </c>
      <c r="I444" s="82" t="s">
        <v>33</v>
      </c>
      <c r="J444" s="82" t="s">
        <v>2174</v>
      </c>
      <c r="K444" s="82" t="s">
        <v>2173</v>
      </c>
      <c r="L444" s="82" t="s">
        <v>2175</v>
      </c>
      <c r="M444" s="82" t="s">
        <v>2176</v>
      </c>
      <c r="N444" s="82" t="s">
        <v>2177</v>
      </c>
      <c r="O444" s="82" t="s">
        <v>2173</v>
      </c>
    </row>
    <row r="445" spans="1:15" ht="15.75" hidden="1" x14ac:dyDescent="0.25">
      <c r="A445" t="str">
        <f t="shared" si="6"/>
        <v>ALR_INTRUSIONE_NORD-Allarme intrusione in cabina lato Nord</v>
      </c>
      <c r="C445" s="82" t="s">
        <v>1952</v>
      </c>
      <c r="D445" s="82" t="s">
        <v>1953</v>
      </c>
      <c r="E445" s="82" t="s">
        <v>2163</v>
      </c>
      <c r="F445" s="82" t="s">
        <v>1952</v>
      </c>
      <c r="G445" s="82" t="s">
        <v>1946</v>
      </c>
      <c r="H445" s="82" t="s">
        <v>2165</v>
      </c>
      <c r="I445" s="82" t="s">
        <v>33</v>
      </c>
      <c r="J445" s="82" t="s">
        <v>2174</v>
      </c>
      <c r="K445" s="82" t="s">
        <v>2173</v>
      </c>
      <c r="L445" s="82" t="s">
        <v>1946</v>
      </c>
      <c r="M445" s="82" t="s">
        <v>2176</v>
      </c>
      <c r="N445" s="82" t="s">
        <v>2180</v>
      </c>
      <c r="O445" s="82" t="s">
        <v>2173</v>
      </c>
    </row>
    <row r="446" spans="1:15" ht="15.75" hidden="1" x14ac:dyDescent="0.25">
      <c r="A446" t="str">
        <f t="shared" si="6"/>
        <v>ALR_INTRUSIONE_SUD-Allarme intrusione in cabina lato Sud</v>
      </c>
      <c r="C446" s="82" t="s">
        <v>1954</v>
      </c>
      <c r="D446" s="82" t="s">
        <v>1955</v>
      </c>
      <c r="E446" s="82" t="s">
        <v>2163</v>
      </c>
      <c r="F446" s="82" t="s">
        <v>1954</v>
      </c>
      <c r="G446" s="82" t="s">
        <v>1946</v>
      </c>
      <c r="H446" s="82" t="s">
        <v>2165</v>
      </c>
      <c r="I446" s="82" t="s">
        <v>33</v>
      </c>
      <c r="J446" s="82" t="s">
        <v>2174</v>
      </c>
      <c r="K446" s="82" t="s">
        <v>2173</v>
      </c>
      <c r="L446" s="82" t="s">
        <v>1946</v>
      </c>
      <c r="M446" s="82" t="s">
        <v>2176</v>
      </c>
      <c r="N446" s="82" t="s">
        <v>2180</v>
      </c>
      <c r="O446" s="82" t="s">
        <v>2173</v>
      </c>
    </row>
    <row r="447" spans="1:15" ht="15.75" hidden="1" x14ac:dyDescent="0.25">
      <c r="A447" t="str">
        <f t="shared" si="6"/>
        <v>ALR_INT_APERTO-Allarme interruttore aperto</v>
      </c>
      <c r="C447" s="82" t="s">
        <v>450</v>
      </c>
      <c r="D447" s="82" t="s">
        <v>451</v>
      </c>
      <c r="E447" s="82" t="s">
        <v>2163</v>
      </c>
      <c r="F447" s="82" t="s">
        <v>450</v>
      </c>
      <c r="G447" s="82" t="s">
        <v>1946</v>
      </c>
      <c r="H447" s="82" t="s">
        <v>2165</v>
      </c>
      <c r="I447" s="82" t="s">
        <v>157</v>
      </c>
      <c r="J447" s="82" t="s">
        <v>2181</v>
      </c>
      <c r="K447" s="82" t="s">
        <v>2167</v>
      </c>
      <c r="L447" s="82" t="s">
        <v>1946</v>
      </c>
      <c r="M447" s="82" t="s">
        <v>2090</v>
      </c>
      <c r="N447" s="82" t="s">
        <v>1946</v>
      </c>
      <c r="O447" s="82" t="s">
        <v>2173</v>
      </c>
    </row>
    <row r="448" spans="1:15" ht="15.75" hidden="1" x14ac:dyDescent="0.25">
      <c r="A448" t="str">
        <f t="shared" si="6"/>
        <v>ALR_INT_CENTR_PERDITA_COMBUSTIBILE-ALR_INT_CENTR_PERDITA_COMBUSTIBILE</v>
      </c>
      <c r="C448" s="82" t="s">
        <v>2364</v>
      </c>
      <c r="D448" s="82" t="s">
        <v>2364</v>
      </c>
      <c r="E448" s="82" t="s">
        <v>2163</v>
      </c>
      <c r="F448" s="82" t="s">
        <v>2364</v>
      </c>
      <c r="G448" s="82" t="s">
        <v>1946</v>
      </c>
      <c r="H448" s="82" t="s">
        <v>2165</v>
      </c>
      <c r="I448" s="82" t="s">
        <v>24</v>
      </c>
      <c r="J448" s="82" t="s">
        <v>2171</v>
      </c>
      <c r="K448" s="82" t="s">
        <v>2167</v>
      </c>
      <c r="L448" s="82" t="s">
        <v>1946</v>
      </c>
      <c r="M448" s="82" t="s">
        <v>2090</v>
      </c>
      <c r="N448" s="82" t="s">
        <v>1946</v>
      </c>
      <c r="O448" s="82" t="s">
        <v>2173</v>
      </c>
    </row>
    <row r="449" spans="1:15" ht="15.75" hidden="1" x14ac:dyDescent="0.25">
      <c r="A449" t="str">
        <f t="shared" si="6"/>
        <v>ALR_INT_FAULT-Allarme interruttore in fault</v>
      </c>
      <c r="C449" s="82" t="s">
        <v>452</v>
      </c>
      <c r="D449" s="82" t="s">
        <v>453</v>
      </c>
      <c r="E449" s="82" t="s">
        <v>2163</v>
      </c>
      <c r="F449" s="82" t="s">
        <v>452</v>
      </c>
      <c r="G449" s="82" t="s">
        <v>1946</v>
      </c>
      <c r="H449" s="82" t="s">
        <v>2165</v>
      </c>
      <c r="I449" s="82" t="s">
        <v>157</v>
      </c>
      <c r="J449" s="82" t="s">
        <v>2181</v>
      </c>
      <c r="K449" s="82" t="s">
        <v>2167</v>
      </c>
      <c r="L449" s="82" t="s">
        <v>1946</v>
      </c>
      <c r="M449" s="82" t="s">
        <v>2090</v>
      </c>
      <c r="N449" s="82" t="s">
        <v>1946</v>
      </c>
      <c r="O449" s="82" t="s">
        <v>2173</v>
      </c>
    </row>
    <row r="450" spans="1:15" ht="15.75" hidden="1" x14ac:dyDescent="0.25">
      <c r="A450" t="str">
        <f t="shared" si="6"/>
        <v>ALR_INT_GENERALE_SCATTATO-Allarme interruttore generale scattato</v>
      </c>
      <c r="C450" s="82" t="s">
        <v>455</v>
      </c>
      <c r="D450" s="82" t="s">
        <v>456</v>
      </c>
      <c r="E450" s="82" t="s">
        <v>2163</v>
      </c>
      <c r="F450" s="82" t="s">
        <v>455</v>
      </c>
      <c r="G450" s="82" t="s">
        <v>1946</v>
      </c>
      <c r="H450" s="82" t="s">
        <v>2165</v>
      </c>
      <c r="I450" s="82" t="s">
        <v>33</v>
      </c>
      <c r="J450" s="82" t="s">
        <v>2174</v>
      </c>
      <c r="K450" s="82" t="s">
        <v>2173</v>
      </c>
      <c r="L450" s="82" t="s">
        <v>1946</v>
      </c>
      <c r="M450" s="82" t="s">
        <v>2176</v>
      </c>
      <c r="N450" s="82" t="s">
        <v>2180</v>
      </c>
      <c r="O450" s="82" t="s">
        <v>2173</v>
      </c>
    </row>
    <row r="451" spans="1:15" ht="15.75" hidden="1" x14ac:dyDescent="0.25">
      <c r="A451" t="str">
        <f t="shared" ref="A451:A514" si="7">CONCATENATE(F451,"-",D451)</f>
        <v>ALR_INT_GEN_Q_GASOLIO-Allarme interruttore</v>
      </c>
      <c r="C451" s="82" t="s">
        <v>2365</v>
      </c>
      <c r="D451" s="82" t="s">
        <v>1516</v>
      </c>
      <c r="E451" s="82" t="s">
        <v>2163</v>
      </c>
      <c r="F451" s="82" t="s">
        <v>2365</v>
      </c>
      <c r="G451" s="82" t="s">
        <v>1946</v>
      </c>
      <c r="H451" s="82" t="s">
        <v>2165</v>
      </c>
      <c r="I451" s="82" t="s">
        <v>24</v>
      </c>
      <c r="J451" s="82" t="s">
        <v>2171</v>
      </c>
      <c r="K451" s="82" t="s">
        <v>2167</v>
      </c>
      <c r="L451" s="82" t="s">
        <v>1946</v>
      </c>
      <c r="M451" s="82" t="s">
        <v>2090</v>
      </c>
      <c r="N451" s="82" t="s">
        <v>1946</v>
      </c>
      <c r="O451" s="82" t="s">
        <v>2173</v>
      </c>
    </row>
    <row r="452" spans="1:15" ht="15.75" hidden="1" x14ac:dyDescent="0.25">
      <c r="A452" t="str">
        <f t="shared" si="7"/>
        <v>ALR_INT_POMPA_GASOLIO-Allarme interruttore</v>
      </c>
      <c r="C452" s="82" t="s">
        <v>2366</v>
      </c>
      <c r="D452" s="82" t="s">
        <v>1516</v>
      </c>
      <c r="E452" s="82" t="s">
        <v>2163</v>
      </c>
      <c r="F452" s="82" t="s">
        <v>2366</v>
      </c>
      <c r="G452" s="82" t="s">
        <v>1946</v>
      </c>
      <c r="H452" s="82" t="s">
        <v>2165</v>
      </c>
      <c r="I452" s="82" t="s">
        <v>24</v>
      </c>
      <c r="J452" s="82" t="s">
        <v>2171</v>
      </c>
      <c r="K452" s="82" t="s">
        <v>2167</v>
      </c>
      <c r="L452" s="82" t="s">
        <v>1946</v>
      </c>
      <c r="M452" s="82" t="s">
        <v>2090</v>
      </c>
      <c r="N452" s="82" t="s">
        <v>1946</v>
      </c>
      <c r="O452" s="82" t="s">
        <v>2173</v>
      </c>
    </row>
    <row r="453" spans="1:15" ht="15.75" hidden="1" x14ac:dyDescent="0.25">
      <c r="A453" t="str">
        <f t="shared" si="7"/>
        <v>ALR_INT_SCATTATO-Allarme interruttore scattato</v>
      </c>
      <c r="C453" s="82" t="s">
        <v>2367</v>
      </c>
      <c r="D453" s="82" t="s">
        <v>459</v>
      </c>
      <c r="E453" s="82" t="s">
        <v>2163</v>
      </c>
      <c r="F453" s="82" t="s">
        <v>2367</v>
      </c>
      <c r="G453" s="82" t="s">
        <v>1946</v>
      </c>
      <c r="H453" s="82" t="s">
        <v>2165</v>
      </c>
      <c r="I453" s="82" t="s">
        <v>157</v>
      </c>
      <c r="J453" s="82" t="s">
        <v>2181</v>
      </c>
      <c r="K453" s="82" t="s">
        <v>2173</v>
      </c>
      <c r="L453" s="82" t="s">
        <v>1946</v>
      </c>
      <c r="M453" s="82" t="s">
        <v>2252</v>
      </c>
      <c r="N453" s="82" t="s">
        <v>1946</v>
      </c>
      <c r="O453" s="82" t="s">
        <v>2173</v>
      </c>
    </row>
    <row r="454" spans="1:15" ht="15.75" hidden="1" x14ac:dyDescent="0.25">
      <c r="A454" t="str">
        <f t="shared" si="7"/>
        <v>ALR_INT_SCATTATO_1_IMP-Allarme interruttore scattato</v>
      </c>
      <c r="C454" s="82" t="s">
        <v>458</v>
      </c>
      <c r="D454" s="82" t="s">
        <v>459</v>
      </c>
      <c r="E454" s="82" t="s">
        <v>2163</v>
      </c>
      <c r="F454" s="82" t="s">
        <v>458</v>
      </c>
      <c r="G454" s="82" t="s">
        <v>1946</v>
      </c>
      <c r="H454" s="82" t="s">
        <v>2165</v>
      </c>
      <c r="I454" s="82" t="s">
        <v>24</v>
      </c>
      <c r="J454" s="82" t="s">
        <v>2171</v>
      </c>
      <c r="K454" s="82" t="s">
        <v>2167</v>
      </c>
      <c r="L454" s="82" t="s">
        <v>1946</v>
      </c>
      <c r="M454" s="82" t="s">
        <v>2090</v>
      </c>
      <c r="N454" s="82" t="s">
        <v>1946</v>
      </c>
      <c r="O454" s="82" t="s">
        <v>2173</v>
      </c>
    </row>
    <row r="455" spans="1:15" ht="15.75" hidden="1" x14ac:dyDescent="0.25">
      <c r="A455" t="str">
        <f t="shared" si="7"/>
        <v>ALR_INT_SCATTATO_2_IMP-Allarme interruttore scattato</v>
      </c>
      <c r="C455" s="82" t="s">
        <v>460</v>
      </c>
      <c r="D455" s="82" t="s">
        <v>459</v>
      </c>
      <c r="E455" s="82" t="s">
        <v>2163</v>
      </c>
      <c r="F455" s="82" t="s">
        <v>460</v>
      </c>
      <c r="G455" s="82" t="s">
        <v>1946</v>
      </c>
      <c r="H455" s="82" t="s">
        <v>2165</v>
      </c>
      <c r="I455" s="82" t="s">
        <v>24</v>
      </c>
      <c r="J455" s="82" t="s">
        <v>2171</v>
      </c>
      <c r="K455" s="82" t="s">
        <v>2167</v>
      </c>
      <c r="L455" s="82" t="s">
        <v>1946</v>
      </c>
      <c r="M455" s="82" t="s">
        <v>2090</v>
      </c>
      <c r="N455" s="82" t="s">
        <v>1946</v>
      </c>
      <c r="O455" s="82" t="s">
        <v>2173</v>
      </c>
    </row>
    <row r="456" spans="1:15" ht="15.75" hidden="1" x14ac:dyDescent="0.25">
      <c r="A456" t="str">
        <f t="shared" si="7"/>
        <v>ALR_INT_SCATTATO_MONTE-Allarme interruttore a monte scattato</v>
      </c>
      <c r="C456" s="82" t="s">
        <v>1959</v>
      </c>
      <c r="D456" s="82" t="s">
        <v>1960</v>
      </c>
      <c r="E456" s="82" t="s">
        <v>2163</v>
      </c>
      <c r="F456" s="82" t="s">
        <v>1959</v>
      </c>
      <c r="G456" s="82" t="s">
        <v>2182</v>
      </c>
      <c r="H456" s="82" t="s">
        <v>2165</v>
      </c>
      <c r="I456" s="82" t="s">
        <v>24</v>
      </c>
      <c r="J456" s="82" t="s">
        <v>2171</v>
      </c>
      <c r="K456" s="82" t="s">
        <v>2167</v>
      </c>
      <c r="L456" s="82" t="s">
        <v>2182</v>
      </c>
      <c r="M456" s="82" t="s">
        <v>2183</v>
      </c>
      <c r="N456" s="82" t="s">
        <v>1946</v>
      </c>
      <c r="O456" s="82" t="s">
        <v>2173</v>
      </c>
    </row>
    <row r="457" spans="1:15" ht="15.75" hidden="1" x14ac:dyDescent="0.25">
      <c r="A457" t="str">
        <f t="shared" si="7"/>
        <v>ALR_INT_SCATTATO_VALLE-Allarme interruttore a valle scattato</v>
      </c>
      <c r="C457" s="82" t="s">
        <v>1956</v>
      </c>
      <c r="D457" s="82" t="s">
        <v>1957</v>
      </c>
      <c r="E457" s="82" t="s">
        <v>2163</v>
      </c>
      <c r="F457" s="82" t="s">
        <v>1956</v>
      </c>
      <c r="G457" s="82" t="s">
        <v>2182</v>
      </c>
      <c r="H457" s="82" t="s">
        <v>2165</v>
      </c>
      <c r="I457" s="82" t="s">
        <v>24</v>
      </c>
      <c r="J457" s="82" t="s">
        <v>2171</v>
      </c>
      <c r="K457" s="82" t="s">
        <v>2167</v>
      </c>
      <c r="L457" s="82" t="s">
        <v>2182</v>
      </c>
      <c r="M457" s="82" t="s">
        <v>2183</v>
      </c>
      <c r="N457" s="82" t="s">
        <v>1946</v>
      </c>
      <c r="O457" s="82" t="s">
        <v>2173</v>
      </c>
    </row>
    <row r="458" spans="1:15" ht="15.75" hidden="1" x14ac:dyDescent="0.25">
      <c r="A458" t="str">
        <f t="shared" si="7"/>
        <v>ALR_INVERTER_GUASTO-Allarme Inverter guasto</v>
      </c>
      <c r="C458" s="82" t="s">
        <v>1368</v>
      </c>
      <c r="D458" s="82" t="s">
        <v>1369</v>
      </c>
      <c r="E458" s="82" t="s">
        <v>2163</v>
      </c>
      <c r="F458" s="82" t="s">
        <v>1368</v>
      </c>
      <c r="G458" s="82" t="s">
        <v>1946</v>
      </c>
      <c r="H458" s="82" t="s">
        <v>2165</v>
      </c>
      <c r="I458" s="82" t="s">
        <v>24</v>
      </c>
      <c r="J458" s="82" t="s">
        <v>2171</v>
      </c>
      <c r="K458" s="82" t="s">
        <v>2167</v>
      </c>
      <c r="L458" s="82" t="s">
        <v>1946</v>
      </c>
      <c r="M458" s="82" t="s">
        <v>2090</v>
      </c>
      <c r="N458" s="82" t="s">
        <v>1946</v>
      </c>
      <c r="O458" s="82" t="s">
        <v>2173</v>
      </c>
    </row>
    <row r="459" spans="1:15" ht="15.75" hidden="1" x14ac:dyDescent="0.25">
      <c r="A459" t="str">
        <f t="shared" si="7"/>
        <v>ALR_KO_CORSIA_1-Allarme non attiva corsia di emergenza</v>
      </c>
      <c r="C459" s="82" t="s">
        <v>1895</v>
      </c>
      <c r="D459" s="82" t="s">
        <v>1896</v>
      </c>
      <c r="E459" s="82" t="s">
        <v>2163</v>
      </c>
      <c r="F459" s="82" t="s">
        <v>1895</v>
      </c>
      <c r="G459" s="82" t="s">
        <v>2182</v>
      </c>
      <c r="H459" s="82" t="s">
        <v>2165</v>
      </c>
      <c r="I459" s="82" t="s">
        <v>24</v>
      </c>
      <c r="J459" s="82" t="s">
        <v>2171</v>
      </c>
      <c r="K459" s="82" t="s">
        <v>2167</v>
      </c>
      <c r="L459" s="82" t="s">
        <v>2182</v>
      </c>
      <c r="M459" s="82" t="s">
        <v>2184</v>
      </c>
      <c r="N459" s="82" t="s">
        <v>1946</v>
      </c>
      <c r="O459" s="82" t="s">
        <v>2173</v>
      </c>
    </row>
    <row r="460" spans="1:15" ht="15.75" hidden="1" x14ac:dyDescent="0.25">
      <c r="A460" t="str">
        <f t="shared" si="7"/>
        <v>ALR_KO_CORSIA_2-Allarme non attiva corsia di marcia</v>
      </c>
      <c r="C460" s="82" t="s">
        <v>1897</v>
      </c>
      <c r="D460" s="82" t="s">
        <v>1898</v>
      </c>
      <c r="E460" s="82" t="s">
        <v>2163</v>
      </c>
      <c r="F460" s="82" t="s">
        <v>1897</v>
      </c>
      <c r="G460" s="82" t="s">
        <v>2182</v>
      </c>
      <c r="H460" s="82" t="s">
        <v>2165</v>
      </c>
      <c r="I460" s="82" t="s">
        <v>24</v>
      </c>
      <c r="J460" s="82" t="s">
        <v>2171</v>
      </c>
      <c r="K460" s="82" t="s">
        <v>2167</v>
      </c>
      <c r="L460" s="82" t="s">
        <v>2182</v>
      </c>
      <c r="M460" s="82" t="s">
        <v>2184</v>
      </c>
      <c r="N460" s="82" t="s">
        <v>1946</v>
      </c>
      <c r="O460" s="82" t="s">
        <v>2173</v>
      </c>
    </row>
    <row r="461" spans="1:15" ht="15.75" hidden="1" x14ac:dyDescent="0.25">
      <c r="A461" t="str">
        <f t="shared" si="7"/>
        <v>ALR_KO_CORSIA_3-Allarme non attiva corsia veloce</v>
      </c>
      <c r="C461" s="82" t="s">
        <v>1899</v>
      </c>
      <c r="D461" s="82" t="s">
        <v>1900</v>
      </c>
      <c r="E461" s="82" t="s">
        <v>2163</v>
      </c>
      <c r="F461" s="82" t="s">
        <v>1899</v>
      </c>
      <c r="G461" s="82" t="s">
        <v>2182</v>
      </c>
      <c r="H461" s="82" t="s">
        <v>2165</v>
      </c>
      <c r="I461" s="82" t="s">
        <v>24</v>
      </c>
      <c r="J461" s="82" t="s">
        <v>2171</v>
      </c>
      <c r="K461" s="82" t="s">
        <v>2167</v>
      </c>
      <c r="L461" s="82" t="s">
        <v>2182</v>
      </c>
      <c r="M461" s="82" t="s">
        <v>2184</v>
      </c>
      <c r="N461" s="82" t="s">
        <v>1946</v>
      </c>
      <c r="O461" s="82" t="s">
        <v>2173</v>
      </c>
    </row>
    <row r="462" spans="1:15" ht="15.75" hidden="1" x14ac:dyDescent="0.25">
      <c r="A462" t="str">
        <f t="shared" si="7"/>
        <v>ALR_LAMPADA_SYRA-ALR_LAMPADA_SYRA</v>
      </c>
      <c r="C462" s="82" t="s">
        <v>2368</v>
      </c>
      <c r="D462" s="82" t="s">
        <v>2368</v>
      </c>
      <c r="E462" s="82" t="s">
        <v>2163</v>
      </c>
      <c r="F462" s="82" t="s">
        <v>2368</v>
      </c>
      <c r="G462" s="82" t="s">
        <v>1946</v>
      </c>
      <c r="H462" s="82" t="s">
        <v>2165</v>
      </c>
      <c r="I462" s="82" t="s">
        <v>24</v>
      </c>
      <c r="J462" s="82" t="s">
        <v>2171</v>
      </c>
      <c r="K462" s="82" t="s">
        <v>2167</v>
      </c>
      <c r="L462" s="82" t="s">
        <v>1946</v>
      </c>
      <c r="M462" s="82" t="s">
        <v>2090</v>
      </c>
      <c r="N462" s="82" t="s">
        <v>1946</v>
      </c>
      <c r="O462" s="82" t="s">
        <v>2173</v>
      </c>
    </row>
    <row r="463" spans="1:15" ht="15.75" hidden="1" x14ac:dyDescent="0.25">
      <c r="A463" t="str">
        <f t="shared" si="7"/>
        <v>ALR_LAMPEGGIANTE-Allarme lampeggiante attivo</v>
      </c>
      <c r="C463" s="82" t="s">
        <v>474</v>
      </c>
      <c r="D463" s="82" t="s">
        <v>475</v>
      </c>
      <c r="E463" s="82" t="s">
        <v>2163</v>
      </c>
      <c r="F463" s="82" t="s">
        <v>474</v>
      </c>
      <c r="G463" s="82" t="s">
        <v>1946</v>
      </c>
      <c r="H463" s="82" t="s">
        <v>2165</v>
      </c>
      <c r="I463" s="82" t="s">
        <v>157</v>
      </c>
      <c r="J463" s="82" t="s">
        <v>2181</v>
      </c>
      <c r="K463" s="82" t="s">
        <v>2167</v>
      </c>
      <c r="L463" s="82" t="s">
        <v>1946</v>
      </c>
      <c r="M463" s="82" t="s">
        <v>2176</v>
      </c>
      <c r="N463" s="82" t="s">
        <v>2177</v>
      </c>
      <c r="O463" s="82" t="s">
        <v>2173</v>
      </c>
    </row>
    <row r="464" spans="1:15" ht="15.75" hidden="1" x14ac:dyDescent="0.25">
      <c r="A464" t="str">
        <f t="shared" si="7"/>
        <v>ALR_LAVAGGIO_CASO_1_NORD-Allarme lavaggio caso 1 Nord</v>
      </c>
      <c r="C464" s="82" t="s">
        <v>1370</v>
      </c>
      <c r="D464" s="82" t="s">
        <v>1371</v>
      </c>
      <c r="E464" s="82" t="s">
        <v>2163</v>
      </c>
      <c r="F464" s="82" t="s">
        <v>1370</v>
      </c>
      <c r="G464" s="82" t="s">
        <v>1946</v>
      </c>
      <c r="H464" s="82" t="s">
        <v>2165</v>
      </c>
      <c r="I464" s="82" t="s">
        <v>24</v>
      </c>
      <c r="J464" s="82" t="s">
        <v>2171</v>
      </c>
      <c r="K464" s="82" t="s">
        <v>2167</v>
      </c>
      <c r="L464" s="82" t="s">
        <v>1946</v>
      </c>
      <c r="M464" s="82" t="s">
        <v>2090</v>
      </c>
      <c r="N464" s="82" t="s">
        <v>1946</v>
      </c>
      <c r="O464" s="82" t="s">
        <v>2173</v>
      </c>
    </row>
    <row r="465" spans="1:15" ht="15.75" hidden="1" x14ac:dyDescent="0.25">
      <c r="A465" t="str">
        <f t="shared" si="7"/>
        <v>ALR_LAVAGGIO_CASO_1_SUD-Allarme lavaggio caso 1 Sud</v>
      </c>
      <c r="C465" s="82" t="s">
        <v>1372</v>
      </c>
      <c r="D465" s="82" t="s">
        <v>1373</v>
      </c>
      <c r="E465" s="82" t="s">
        <v>2163</v>
      </c>
      <c r="F465" s="82" t="s">
        <v>1372</v>
      </c>
      <c r="G465" s="82" t="s">
        <v>1946</v>
      </c>
      <c r="H465" s="82" t="s">
        <v>2165</v>
      </c>
      <c r="I465" s="82" t="s">
        <v>24</v>
      </c>
      <c r="J465" s="82" t="s">
        <v>2171</v>
      </c>
      <c r="K465" s="82" t="s">
        <v>2167</v>
      </c>
      <c r="L465" s="82" t="s">
        <v>1946</v>
      </c>
      <c r="M465" s="82" t="s">
        <v>2090</v>
      </c>
      <c r="N465" s="82" t="s">
        <v>1946</v>
      </c>
      <c r="O465" s="82" t="s">
        <v>2173</v>
      </c>
    </row>
    <row r="466" spans="1:15" ht="15.75" hidden="1" x14ac:dyDescent="0.25">
      <c r="A466" t="str">
        <f t="shared" si="7"/>
        <v>ALR_LAVAGGIO_CASO_2_NORD-Allarme lavaggio caso 2 Nord</v>
      </c>
      <c r="C466" s="82" t="s">
        <v>1374</v>
      </c>
      <c r="D466" s="82" t="s">
        <v>1375</v>
      </c>
      <c r="E466" s="82" t="s">
        <v>2163</v>
      </c>
      <c r="F466" s="82" t="s">
        <v>1374</v>
      </c>
      <c r="G466" s="82" t="s">
        <v>1946</v>
      </c>
      <c r="H466" s="82" t="s">
        <v>2165</v>
      </c>
      <c r="I466" s="82" t="s">
        <v>24</v>
      </c>
      <c r="J466" s="82" t="s">
        <v>2171</v>
      </c>
      <c r="K466" s="82" t="s">
        <v>2167</v>
      </c>
      <c r="L466" s="82" t="s">
        <v>1946</v>
      </c>
      <c r="M466" s="82" t="s">
        <v>2090</v>
      </c>
      <c r="N466" s="82" t="s">
        <v>1946</v>
      </c>
      <c r="O466" s="82" t="s">
        <v>2173</v>
      </c>
    </row>
    <row r="467" spans="1:15" ht="15.75" hidden="1" x14ac:dyDescent="0.25">
      <c r="A467" t="str">
        <f t="shared" si="7"/>
        <v>ALR_LAVAGGIO_CASO_2_SUD-Allarme lavaggio caso 2 Sud</v>
      </c>
      <c r="C467" s="82" t="s">
        <v>1376</v>
      </c>
      <c r="D467" s="82" t="s">
        <v>1377</v>
      </c>
      <c r="E467" s="82" t="s">
        <v>2163</v>
      </c>
      <c r="F467" s="82" t="s">
        <v>1376</v>
      </c>
      <c r="G467" s="82" t="s">
        <v>1946</v>
      </c>
      <c r="H467" s="82" t="s">
        <v>2165</v>
      </c>
      <c r="I467" s="82" t="s">
        <v>24</v>
      </c>
      <c r="J467" s="82" t="s">
        <v>2171</v>
      </c>
      <c r="K467" s="82" t="s">
        <v>2167</v>
      </c>
      <c r="L467" s="82" t="s">
        <v>1946</v>
      </c>
      <c r="M467" s="82" t="s">
        <v>2090</v>
      </c>
      <c r="N467" s="82" t="s">
        <v>1946</v>
      </c>
      <c r="O467" s="82" t="s">
        <v>2173</v>
      </c>
    </row>
    <row r="468" spans="1:15" ht="15.75" hidden="1" x14ac:dyDescent="0.25">
      <c r="A468" t="str">
        <f t="shared" si="7"/>
        <v>ALR_LAVAGGIO_CASO_3_NORD-Allarme lavaggio caso 3 Nord</v>
      </c>
      <c r="C468" s="82" t="s">
        <v>1378</v>
      </c>
      <c r="D468" s="82" t="s">
        <v>1379</v>
      </c>
      <c r="E468" s="82" t="s">
        <v>2163</v>
      </c>
      <c r="F468" s="82" t="s">
        <v>1378</v>
      </c>
      <c r="G468" s="82" t="s">
        <v>1946</v>
      </c>
      <c r="H468" s="82" t="s">
        <v>2165</v>
      </c>
      <c r="I468" s="82" t="s">
        <v>24</v>
      </c>
      <c r="J468" s="82" t="s">
        <v>2171</v>
      </c>
      <c r="K468" s="82" t="s">
        <v>2167</v>
      </c>
      <c r="L468" s="82" t="s">
        <v>1946</v>
      </c>
      <c r="M468" s="82" t="s">
        <v>2090</v>
      </c>
      <c r="N468" s="82" t="s">
        <v>1946</v>
      </c>
      <c r="O468" s="82" t="s">
        <v>2173</v>
      </c>
    </row>
    <row r="469" spans="1:15" ht="15.75" hidden="1" x14ac:dyDescent="0.25">
      <c r="A469" t="str">
        <f t="shared" si="7"/>
        <v>ALR_LAVAGGIO_CASO_3_SUD-Allarme lavaggio caso 3 Sud</v>
      </c>
      <c r="C469" s="82" t="s">
        <v>1380</v>
      </c>
      <c r="D469" s="82" t="s">
        <v>1381</v>
      </c>
      <c r="E469" s="82" t="s">
        <v>2163</v>
      </c>
      <c r="F469" s="82" t="s">
        <v>1380</v>
      </c>
      <c r="G469" s="82" t="s">
        <v>1946</v>
      </c>
      <c r="H469" s="82" t="s">
        <v>2165</v>
      </c>
      <c r="I469" s="82" t="s">
        <v>24</v>
      </c>
      <c r="J469" s="82" t="s">
        <v>2171</v>
      </c>
      <c r="K469" s="82" t="s">
        <v>2167</v>
      </c>
      <c r="L469" s="82" t="s">
        <v>1946</v>
      </c>
      <c r="M469" s="82" t="s">
        <v>2090</v>
      </c>
      <c r="N469" s="82" t="s">
        <v>1946</v>
      </c>
      <c r="O469" s="82" t="s">
        <v>2173</v>
      </c>
    </row>
    <row r="470" spans="1:15" ht="15.75" hidden="1" x14ac:dyDescent="0.25">
      <c r="A470" t="str">
        <f t="shared" si="7"/>
        <v>ALR_LAVAGGIO_CASO_A_B_INCENDIO_NORD-Allarme lavaggio caso A-B incendio Nord</v>
      </c>
      <c r="C470" s="82" t="s">
        <v>2369</v>
      </c>
      <c r="D470" s="82" t="s">
        <v>2370</v>
      </c>
      <c r="E470" s="82" t="s">
        <v>2163</v>
      </c>
      <c r="F470" s="82" t="s">
        <v>2369</v>
      </c>
      <c r="G470" s="82" t="s">
        <v>1946</v>
      </c>
      <c r="H470" s="82" t="s">
        <v>2165</v>
      </c>
      <c r="I470" s="82" t="s">
        <v>33</v>
      </c>
      <c r="J470" s="82" t="s">
        <v>2174</v>
      </c>
      <c r="K470" s="82" t="s">
        <v>2173</v>
      </c>
      <c r="L470" s="82" t="s">
        <v>1946</v>
      </c>
      <c r="M470" s="82" t="s">
        <v>2090</v>
      </c>
      <c r="N470" s="82" t="s">
        <v>1946</v>
      </c>
      <c r="O470" s="82" t="s">
        <v>2173</v>
      </c>
    </row>
    <row r="471" spans="1:15" ht="15.75" hidden="1" x14ac:dyDescent="0.25">
      <c r="A471" t="str">
        <f t="shared" si="7"/>
        <v>ALR_LAVAGGIO_CASO_A_B_INCENDIO_SUD-Allarme lavaggio caso A-B incendio Sud</v>
      </c>
      <c r="C471" s="82" t="s">
        <v>2371</v>
      </c>
      <c r="D471" s="82" t="s">
        <v>2372</v>
      </c>
      <c r="E471" s="82" t="s">
        <v>2163</v>
      </c>
      <c r="F471" s="82" t="s">
        <v>2371</v>
      </c>
      <c r="G471" s="82" t="s">
        <v>1946</v>
      </c>
      <c r="H471" s="82" t="s">
        <v>2165</v>
      </c>
      <c r="I471" s="82" t="s">
        <v>33</v>
      </c>
      <c r="J471" s="82" t="s">
        <v>2174</v>
      </c>
      <c r="K471" s="82" t="s">
        <v>2173</v>
      </c>
      <c r="L471" s="82" t="s">
        <v>1946</v>
      </c>
      <c r="M471" s="82" t="s">
        <v>2090</v>
      </c>
      <c r="N471" s="82" t="s">
        <v>1946</v>
      </c>
      <c r="O471" s="82" t="s">
        <v>2173</v>
      </c>
    </row>
    <row r="472" spans="1:15" ht="15.75" hidden="1" x14ac:dyDescent="0.25">
      <c r="A472" t="str">
        <f t="shared" si="7"/>
        <v>ALR_LAVAGGIO_CASO_C_INCENDIO_NORD-Allarme lavaggio caso C incendio Nord</v>
      </c>
      <c r="C472" s="82" t="s">
        <v>2373</v>
      </c>
      <c r="D472" s="82" t="s">
        <v>2374</v>
      </c>
      <c r="E472" s="82" t="s">
        <v>2163</v>
      </c>
      <c r="F472" s="82" t="s">
        <v>2373</v>
      </c>
      <c r="G472" s="82" t="s">
        <v>1946</v>
      </c>
      <c r="H472" s="82" t="s">
        <v>2165</v>
      </c>
      <c r="I472" s="82" t="s">
        <v>33</v>
      </c>
      <c r="J472" s="82" t="s">
        <v>2174</v>
      </c>
      <c r="K472" s="82" t="s">
        <v>2173</v>
      </c>
      <c r="L472" s="82" t="s">
        <v>1946</v>
      </c>
      <c r="M472" s="82" t="s">
        <v>2090</v>
      </c>
      <c r="N472" s="82" t="s">
        <v>1946</v>
      </c>
      <c r="O472" s="82" t="s">
        <v>2173</v>
      </c>
    </row>
    <row r="473" spans="1:15" ht="15.75" hidden="1" x14ac:dyDescent="0.25">
      <c r="A473" t="str">
        <f t="shared" si="7"/>
        <v>ALR_LAVAGGIO_CASO_C_INCENDIO_SUD-Allarme lavaggio caso C incendio Sud</v>
      </c>
      <c r="C473" s="82" t="s">
        <v>2375</v>
      </c>
      <c r="D473" s="82" t="s">
        <v>2376</v>
      </c>
      <c r="E473" s="82" t="s">
        <v>2163</v>
      </c>
      <c r="F473" s="82" t="s">
        <v>2375</v>
      </c>
      <c r="G473" s="82" t="s">
        <v>1946</v>
      </c>
      <c r="H473" s="82" t="s">
        <v>2165</v>
      </c>
      <c r="I473" s="82" t="s">
        <v>33</v>
      </c>
      <c r="J473" s="82" t="s">
        <v>2174</v>
      </c>
      <c r="K473" s="82" t="s">
        <v>2173</v>
      </c>
      <c r="L473" s="82" t="s">
        <v>1946</v>
      </c>
      <c r="M473" s="82" t="s">
        <v>2090</v>
      </c>
      <c r="N473" s="82" t="s">
        <v>1946</v>
      </c>
      <c r="O473" s="82" t="s">
        <v>2173</v>
      </c>
    </row>
    <row r="474" spans="1:15" ht="15.75" hidden="1" x14ac:dyDescent="0.25">
      <c r="A474" t="str">
        <f t="shared" si="7"/>
        <v>ALR_LETTURA_INCLINAZIONE_PALE-Allarme inclinazione pale</v>
      </c>
      <c r="C474" s="82" t="s">
        <v>2377</v>
      </c>
      <c r="D474" s="82" t="s">
        <v>2378</v>
      </c>
      <c r="E474" s="82" t="s">
        <v>2163</v>
      </c>
      <c r="F474" s="82" t="s">
        <v>2377</v>
      </c>
      <c r="G474" s="82" t="s">
        <v>1946</v>
      </c>
      <c r="H474" s="82" t="s">
        <v>2165</v>
      </c>
      <c r="I474" s="82" t="s">
        <v>24</v>
      </c>
      <c r="J474" s="82" t="s">
        <v>2171</v>
      </c>
      <c r="K474" s="82" t="s">
        <v>2167</v>
      </c>
      <c r="L474" s="82" t="s">
        <v>1946</v>
      </c>
      <c r="M474" s="82" t="s">
        <v>2090</v>
      </c>
      <c r="N474" s="82" t="s">
        <v>1946</v>
      </c>
      <c r="O474" s="82" t="s">
        <v>2173</v>
      </c>
    </row>
    <row r="475" spans="1:15" ht="15.75" hidden="1" x14ac:dyDescent="0.25">
      <c r="A475" t="str">
        <f t="shared" si="7"/>
        <v>ALR_LETTURA_PRESSIONE_ASSOLUTA-Allarme lettura pressione assoluta</v>
      </c>
      <c r="C475" s="82" t="s">
        <v>2379</v>
      </c>
      <c r="D475" s="82" t="s">
        <v>2380</v>
      </c>
      <c r="E475" s="82" t="s">
        <v>2163</v>
      </c>
      <c r="F475" s="82" t="s">
        <v>2379</v>
      </c>
      <c r="G475" s="82" t="s">
        <v>1946</v>
      </c>
      <c r="H475" s="82" t="s">
        <v>2165</v>
      </c>
      <c r="I475" s="82" t="s">
        <v>24</v>
      </c>
      <c r="J475" s="82" t="s">
        <v>2171</v>
      </c>
      <c r="K475" s="82" t="s">
        <v>2167</v>
      </c>
      <c r="L475" s="82" t="s">
        <v>1946</v>
      </c>
      <c r="M475" s="82" t="s">
        <v>2090</v>
      </c>
      <c r="N475" s="82" t="s">
        <v>1946</v>
      </c>
      <c r="O475" s="82" t="s">
        <v>2173</v>
      </c>
    </row>
    <row r="476" spans="1:15" ht="15.75" hidden="1" x14ac:dyDescent="0.25">
      <c r="A476" t="str">
        <f t="shared" si="7"/>
        <v>ALR_LETTURA_PRESSIONE_DIFFERENZIALE-Allarme lettura pressione differenziale</v>
      </c>
      <c r="C476" s="82" t="s">
        <v>2381</v>
      </c>
      <c r="D476" s="82" t="s">
        <v>2382</v>
      </c>
      <c r="E476" s="82" t="s">
        <v>2163</v>
      </c>
      <c r="F476" s="82" t="s">
        <v>2381</v>
      </c>
      <c r="G476" s="82" t="s">
        <v>1946</v>
      </c>
      <c r="H476" s="82" t="s">
        <v>2165</v>
      </c>
      <c r="I476" s="82" t="s">
        <v>24</v>
      </c>
      <c r="J476" s="82" t="s">
        <v>2171</v>
      </c>
      <c r="K476" s="82" t="s">
        <v>2167</v>
      </c>
      <c r="L476" s="82" t="s">
        <v>1946</v>
      </c>
      <c r="M476" s="82" t="s">
        <v>2090</v>
      </c>
      <c r="N476" s="82" t="s">
        <v>1946</v>
      </c>
      <c r="O476" s="82" t="s">
        <v>2173</v>
      </c>
    </row>
    <row r="477" spans="1:15" ht="15.75" hidden="1" x14ac:dyDescent="0.25">
      <c r="A477" t="str">
        <f t="shared" si="7"/>
        <v>ALR_LETTURA_TEMPERATURA-Allarme lettura temperatura</v>
      </c>
      <c r="C477" s="82" t="s">
        <v>2383</v>
      </c>
      <c r="D477" s="82" t="s">
        <v>2384</v>
      </c>
      <c r="E477" s="82" t="s">
        <v>2163</v>
      </c>
      <c r="F477" s="82" t="s">
        <v>2383</v>
      </c>
      <c r="G477" s="82" t="s">
        <v>1946</v>
      </c>
      <c r="H477" s="82" t="s">
        <v>2165</v>
      </c>
      <c r="I477" s="82" t="s">
        <v>24</v>
      </c>
      <c r="J477" s="82" t="s">
        <v>2171</v>
      </c>
      <c r="K477" s="82" t="s">
        <v>2167</v>
      </c>
      <c r="L477" s="82" t="s">
        <v>1946</v>
      </c>
      <c r="M477" s="82" t="s">
        <v>2090</v>
      </c>
      <c r="N477" s="82" t="s">
        <v>1946</v>
      </c>
      <c r="O477" s="82" t="s">
        <v>2173</v>
      </c>
    </row>
    <row r="478" spans="1:15" ht="15.75" hidden="1" x14ac:dyDescent="0.25">
      <c r="A478" t="str">
        <f t="shared" si="7"/>
        <v>ALR_LETTURA_TEMPERATURA_FLUSSO_ARIA-Allarme lettura temperatura flusso aria</v>
      </c>
      <c r="C478" s="82" t="s">
        <v>2385</v>
      </c>
      <c r="D478" s="82" t="s">
        <v>2386</v>
      </c>
      <c r="E478" s="82" t="s">
        <v>2163</v>
      </c>
      <c r="F478" s="82" t="s">
        <v>2385</v>
      </c>
      <c r="G478" s="82" t="s">
        <v>1946</v>
      </c>
      <c r="H478" s="82" t="s">
        <v>2165</v>
      </c>
      <c r="I478" s="82" t="s">
        <v>24</v>
      </c>
      <c r="J478" s="82" t="s">
        <v>2171</v>
      </c>
      <c r="K478" s="82" t="s">
        <v>2167</v>
      </c>
      <c r="L478" s="82" t="s">
        <v>1946</v>
      </c>
      <c r="M478" s="82" t="s">
        <v>2090</v>
      </c>
      <c r="N478" s="82" t="s">
        <v>1946</v>
      </c>
      <c r="O478" s="82" t="s">
        <v>2173</v>
      </c>
    </row>
    <row r="479" spans="1:15" ht="15.75" hidden="1" x14ac:dyDescent="0.25">
      <c r="A479" t="str">
        <f t="shared" si="7"/>
        <v>ALR_LETTURA_VELOCITA_MOTORE_1-Allarme lettura velocita motore</v>
      </c>
      <c r="C479" s="82" t="s">
        <v>2387</v>
      </c>
      <c r="D479" s="82" t="s">
        <v>2388</v>
      </c>
      <c r="E479" s="82" t="s">
        <v>2163</v>
      </c>
      <c r="F479" s="82" t="s">
        <v>2387</v>
      </c>
      <c r="G479" s="82" t="s">
        <v>1946</v>
      </c>
      <c r="H479" s="82" t="s">
        <v>2165</v>
      </c>
      <c r="I479" s="82" t="s">
        <v>24</v>
      </c>
      <c r="J479" s="82" t="s">
        <v>2171</v>
      </c>
      <c r="K479" s="82" t="s">
        <v>2167</v>
      </c>
      <c r="L479" s="82" t="s">
        <v>1946</v>
      </c>
      <c r="M479" s="82" t="s">
        <v>2090</v>
      </c>
      <c r="N479" s="82" t="s">
        <v>1946</v>
      </c>
      <c r="O479" s="82" t="s">
        <v>2173</v>
      </c>
    </row>
    <row r="480" spans="1:15" ht="15.75" hidden="1" x14ac:dyDescent="0.25">
      <c r="A480" t="str">
        <f t="shared" si="7"/>
        <v>ALR_LETTURA_VELOCITA_MOTORE_2-Allarme lettura velocita motore</v>
      </c>
      <c r="C480" s="82" t="s">
        <v>2389</v>
      </c>
      <c r="D480" s="82" t="s">
        <v>2388</v>
      </c>
      <c r="E480" s="82" t="s">
        <v>2163</v>
      </c>
      <c r="F480" s="82" t="s">
        <v>2389</v>
      </c>
      <c r="G480" s="82" t="s">
        <v>1946</v>
      </c>
      <c r="H480" s="82" t="s">
        <v>2165</v>
      </c>
      <c r="I480" s="82" t="s">
        <v>24</v>
      </c>
      <c r="J480" s="82" t="s">
        <v>2171</v>
      </c>
      <c r="K480" s="82" t="s">
        <v>2167</v>
      </c>
      <c r="L480" s="82" t="s">
        <v>1946</v>
      </c>
      <c r="M480" s="82" t="s">
        <v>2090</v>
      </c>
      <c r="N480" s="82" t="s">
        <v>1946</v>
      </c>
      <c r="O480" s="82" t="s">
        <v>2173</v>
      </c>
    </row>
    <row r="481" spans="1:15" ht="15.75" hidden="1" x14ac:dyDescent="0.25">
      <c r="A481" t="str">
        <f t="shared" si="7"/>
        <v>ALR_LETTURA_VIBRAZIONI-Allarme lettura vibrazioni</v>
      </c>
      <c r="C481" s="82" t="s">
        <v>2390</v>
      </c>
      <c r="D481" s="82" t="s">
        <v>2391</v>
      </c>
      <c r="E481" s="82" t="s">
        <v>2163</v>
      </c>
      <c r="F481" s="82" t="s">
        <v>2390</v>
      </c>
      <c r="G481" s="82" t="s">
        <v>1946</v>
      </c>
      <c r="H481" s="82" t="s">
        <v>2165</v>
      </c>
      <c r="I481" s="82" t="s">
        <v>24</v>
      </c>
      <c r="J481" s="82" t="s">
        <v>2171</v>
      </c>
      <c r="K481" s="82" t="s">
        <v>2167</v>
      </c>
      <c r="L481" s="82" t="s">
        <v>1946</v>
      </c>
      <c r="M481" s="82" t="s">
        <v>2090</v>
      </c>
      <c r="N481" s="82" t="s">
        <v>1946</v>
      </c>
      <c r="O481" s="82" t="s">
        <v>2173</v>
      </c>
    </row>
    <row r="482" spans="1:15" ht="15.75" hidden="1" x14ac:dyDescent="0.25">
      <c r="A482" t="str">
        <f t="shared" si="7"/>
        <v>ALR_LIMITE_POMPAGGIO-Allarme limite pompaggio</v>
      </c>
      <c r="C482" s="82" t="s">
        <v>2392</v>
      </c>
      <c r="D482" s="82" t="s">
        <v>2393</v>
      </c>
      <c r="E482" s="82" t="s">
        <v>2163</v>
      </c>
      <c r="F482" s="82" t="s">
        <v>2392</v>
      </c>
      <c r="G482" s="82" t="s">
        <v>1946</v>
      </c>
      <c r="H482" s="82" t="s">
        <v>2165</v>
      </c>
      <c r="I482" s="82" t="s">
        <v>24</v>
      </c>
      <c r="J482" s="82" t="s">
        <v>2171</v>
      </c>
      <c r="K482" s="82" t="s">
        <v>2167</v>
      </c>
      <c r="L482" s="82" t="s">
        <v>1946</v>
      </c>
      <c r="M482" s="82" t="s">
        <v>2090</v>
      </c>
      <c r="N482" s="82" t="s">
        <v>1946</v>
      </c>
      <c r="O482" s="82" t="s">
        <v>2173</v>
      </c>
    </row>
    <row r="483" spans="1:15" ht="15.75" hidden="1" x14ac:dyDescent="0.25">
      <c r="A483" t="str">
        <f t="shared" si="7"/>
        <v>ALR_LIVELLO_ACQUA_BASSO-Allarme livello serbatoio acqua in esaurimento</v>
      </c>
      <c r="C483" s="82" t="s">
        <v>481</v>
      </c>
      <c r="D483" s="82" t="s">
        <v>479</v>
      </c>
      <c r="E483" s="82" t="s">
        <v>2163</v>
      </c>
      <c r="F483" s="82" t="s">
        <v>481</v>
      </c>
      <c r="G483" s="82" t="s">
        <v>1946</v>
      </c>
      <c r="H483" s="82" t="s">
        <v>2165</v>
      </c>
      <c r="I483" s="82" t="s">
        <v>157</v>
      </c>
      <c r="J483" s="82" t="s">
        <v>2181</v>
      </c>
      <c r="K483" s="82" t="s">
        <v>2167</v>
      </c>
      <c r="L483" s="82" t="s">
        <v>1946</v>
      </c>
      <c r="M483" s="82" t="s">
        <v>2090</v>
      </c>
      <c r="N483" s="82" t="s">
        <v>1946</v>
      </c>
      <c r="O483" s="82" t="s">
        <v>2173</v>
      </c>
    </row>
    <row r="484" spans="1:15" ht="15.75" hidden="1" x14ac:dyDescent="0.25">
      <c r="A484" t="str">
        <f t="shared" si="7"/>
        <v>ALR_LIVELLO_ACQUA_MEDIO-Allarme livello acqua medio</v>
      </c>
      <c r="C484" s="82" t="s">
        <v>482</v>
      </c>
      <c r="D484" s="82" t="s">
        <v>483</v>
      </c>
      <c r="E484" s="82" t="s">
        <v>2163</v>
      </c>
      <c r="F484" s="82" t="s">
        <v>482</v>
      </c>
      <c r="G484" s="82" t="s">
        <v>1946</v>
      </c>
      <c r="H484" s="82" t="s">
        <v>2165</v>
      </c>
      <c r="I484" s="82" t="s">
        <v>24</v>
      </c>
      <c r="J484" s="82" t="s">
        <v>2171</v>
      </c>
      <c r="K484" s="82" t="s">
        <v>2167</v>
      </c>
      <c r="L484" s="82" t="s">
        <v>1946</v>
      </c>
      <c r="M484" s="82" t="s">
        <v>2090</v>
      </c>
      <c r="N484" s="82" t="s">
        <v>1946</v>
      </c>
      <c r="O484" s="82" t="s">
        <v>2173</v>
      </c>
    </row>
    <row r="485" spans="1:15" ht="15.75" hidden="1" x14ac:dyDescent="0.25">
      <c r="A485" t="str">
        <f t="shared" si="7"/>
        <v>ALR_LIVELLO_ACQUA_MINIMO-Allarme livello acqua minimo</v>
      </c>
      <c r="C485" s="82" t="s">
        <v>1382</v>
      </c>
      <c r="D485" s="82" t="s">
        <v>1383</v>
      </c>
      <c r="E485" s="82" t="s">
        <v>2163</v>
      </c>
      <c r="F485" s="82" t="s">
        <v>1382</v>
      </c>
      <c r="G485" s="82" t="s">
        <v>1946</v>
      </c>
      <c r="H485" s="82" t="s">
        <v>2165</v>
      </c>
      <c r="I485" s="82" t="s">
        <v>24</v>
      </c>
      <c r="J485" s="82" t="s">
        <v>2171</v>
      </c>
      <c r="K485" s="82" t="s">
        <v>2167</v>
      </c>
      <c r="L485" s="82" t="s">
        <v>1946</v>
      </c>
      <c r="M485" s="82" t="s">
        <v>2090</v>
      </c>
      <c r="N485" s="82" t="s">
        <v>1946</v>
      </c>
      <c r="O485" s="82" t="s">
        <v>2173</v>
      </c>
    </row>
    <row r="486" spans="1:15" ht="15.75" hidden="1" x14ac:dyDescent="0.25">
      <c r="A486" t="str">
        <f t="shared" si="7"/>
        <v>ALR_LIVELLO_ACQUA_PIENO-Allarme livello acqua pieno</v>
      </c>
      <c r="C486" s="82" t="s">
        <v>1384</v>
      </c>
      <c r="D486" s="82" t="s">
        <v>1385</v>
      </c>
      <c r="E486" s="82" t="s">
        <v>2163</v>
      </c>
      <c r="F486" s="82" t="s">
        <v>1384</v>
      </c>
      <c r="G486" s="82" t="s">
        <v>1946</v>
      </c>
      <c r="H486" s="82" t="s">
        <v>2165</v>
      </c>
      <c r="I486" s="82" t="s">
        <v>24</v>
      </c>
      <c r="J486" s="82" t="s">
        <v>2171</v>
      </c>
      <c r="K486" s="82" t="s">
        <v>2167</v>
      </c>
      <c r="L486" s="82" t="s">
        <v>1946</v>
      </c>
      <c r="M486" s="82" t="s">
        <v>2090</v>
      </c>
      <c r="N486" s="82" t="s">
        <v>1946</v>
      </c>
      <c r="O486" s="82" t="s">
        <v>2173</v>
      </c>
    </row>
    <row r="487" spans="1:15" ht="15.75" hidden="1" x14ac:dyDescent="0.25">
      <c r="A487" t="str">
        <f t="shared" si="7"/>
        <v>ALR_LIVELLO_MASSIMO_COMBUSTIBILE-Allarme livello massimo combustibile</v>
      </c>
      <c r="C487" s="82" t="s">
        <v>484</v>
      </c>
      <c r="D487" s="82" t="s">
        <v>485</v>
      </c>
      <c r="E487" s="82" t="s">
        <v>2163</v>
      </c>
      <c r="F487" s="82" t="s">
        <v>484</v>
      </c>
      <c r="G487" s="82" t="s">
        <v>1946</v>
      </c>
      <c r="H487" s="82" t="s">
        <v>2165</v>
      </c>
      <c r="I487" s="82" t="s">
        <v>24</v>
      </c>
      <c r="J487" s="82" t="s">
        <v>2171</v>
      </c>
      <c r="K487" s="82" t="s">
        <v>2167</v>
      </c>
      <c r="L487" s="82" t="s">
        <v>1946</v>
      </c>
      <c r="M487" s="82" t="s">
        <v>2090</v>
      </c>
      <c r="N487" s="82" t="s">
        <v>1946</v>
      </c>
      <c r="O487" s="82" t="s">
        <v>2173</v>
      </c>
    </row>
    <row r="488" spans="1:15" ht="15.75" hidden="1" x14ac:dyDescent="0.25">
      <c r="A488" t="str">
        <f t="shared" si="7"/>
        <v>ALR_LIVELLO_MEDIO_COMBUSTIBILE-ALR_LIVELLO_MEDIO_COMBUSTIBILE</v>
      </c>
      <c r="C488" s="82" t="s">
        <v>2394</v>
      </c>
      <c r="D488" s="82" t="s">
        <v>2394</v>
      </c>
      <c r="E488" s="82" t="s">
        <v>2163</v>
      </c>
      <c r="F488" s="82" t="s">
        <v>2394</v>
      </c>
      <c r="G488" s="82" t="s">
        <v>1946</v>
      </c>
      <c r="H488" s="82" t="s">
        <v>2165</v>
      </c>
      <c r="I488" s="82" t="s">
        <v>24</v>
      </c>
      <c r="J488" s="82" t="s">
        <v>2171</v>
      </c>
      <c r="K488" s="82" t="s">
        <v>2167</v>
      </c>
      <c r="L488" s="82" t="s">
        <v>1946</v>
      </c>
      <c r="M488" s="82" t="s">
        <v>2090</v>
      </c>
      <c r="N488" s="82" t="s">
        <v>1946</v>
      </c>
      <c r="O488" s="82" t="s">
        <v>2173</v>
      </c>
    </row>
    <row r="489" spans="1:15" ht="15.75" hidden="1" x14ac:dyDescent="0.25">
      <c r="A489" t="str">
        <f t="shared" si="7"/>
        <v>ALR_LIVELLO_MINIMO_COMBUSTIBILE-Allarme livello serbatoio gasolio in esaurimento</v>
      </c>
      <c r="C489" s="82" t="s">
        <v>2395</v>
      </c>
      <c r="D489" s="82" t="s">
        <v>155</v>
      </c>
      <c r="E489" s="82" t="s">
        <v>2163</v>
      </c>
      <c r="F489" s="82" t="s">
        <v>2395</v>
      </c>
      <c r="G489" s="82" t="s">
        <v>1946</v>
      </c>
      <c r="H489" s="82" t="s">
        <v>2165</v>
      </c>
      <c r="I489" s="82" t="s">
        <v>157</v>
      </c>
      <c r="J489" s="82" t="s">
        <v>2181</v>
      </c>
      <c r="K489" s="82" t="s">
        <v>2173</v>
      </c>
      <c r="L489" s="82" t="s">
        <v>1946</v>
      </c>
      <c r="M489" s="82" t="s">
        <v>2252</v>
      </c>
      <c r="N489" s="82" t="s">
        <v>1946</v>
      </c>
      <c r="O489" s="82" t="s">
        <v>2173</v>
      </c>
    </row>
    <row r="490" spans="1:15" ht="15.75" hidden="1" x14ac:dyDescent="0.25">
      <c r="A490" t="str">
        <f t="shared" si="7"/>
        <v>ALR_LIVELLO_MINIMO_COMBUSTIBILE_1_IMP-Allarme livello minimo combustibile</v>
      </c>
      <c r="C490" s="82" t="s">
        <v>486</v>
      </c>
      <c r="D490" s="82" t="s">
        <v>487</v>
      </c>
      <c r="E490" s="82" t="s">
        <v>2163</v>
      </c>
      <c r="F490" s="82" t="s">
        <v>486</v>
      </c>
      <c r="G490" s="82" t="s">
        <v>1946</v>
      </c>
      <c r="H490" s="82" t="s">
        <v>2165</v>
      </c>
      <c r="I490" s="82" t="s">
        <v>157</v>
      </c>
      <c r="J490" s="82" t="s">
        <v>2181</v>
      </c>
      <c r="K490" s="82" t="s">
        <v>2167</v>
      </c>
      <c r="L490" s="82" t="s">
        <v>1946</v>
      </c>
      <c r="M490" s="82" t="s">
        <v>2090</v>
      </c>
      <c r="N490" s="82" t="s">
        <v>1946</v>
      </c>
      <c r="O490" s="82" t="s">
        <v>2173</v>
      </c>
    </row>
    <row r="491" spans="1:15" ht="15.75" hidden="1" x14ac:dyDescent="0.25">
      <c r="A491" t="str">
        <f t="shared" si="7"/>
        <v>ALR_LIVELLO_MINIMO_COMBUSTIBILE_2_IMP-Allarme livello serbatoio gasolio in esaurimento</v>
      </c>
      <c r="C491" s="82" t="s">
        <v>488</v>
      </c>
      <c r="D491" s="82" t="s">
        <v>155</v>
      </c>
      <c r="E491" s="82" t="s">
        <v>2163</v>
      </c>
      <c r="F491" s="82" t="s">
        <v>488</v>
      </c>
      <c r="G491" s="82" t="s">
        <v>1946</v>
      </c>
      <c r="H491" s="82" t="s">
        <v>2165</v>
      </c>
      <c r="I491" s="82" t="s">
        <v>24</v>
      </c>
      <c r="J491" s="82" t="s">
        <v>2171</v>
      </c>
      <c r="K491" s="82" t="s">
        <v>2167</v>
      </c>
      <c r="L491" s="82" t="s">
        <v>1946</v>
      </c>
      <c r="M491" s="82" t="s">
        <v>2090</v>
      </c>
      <c r="N491" s="82" t="s">
        <v>1946</v>
      </c>
      <c r="O491" s="82" t="s">
        <v>2173</v>
      </c>
    </row>
    <row r="492" spans="1:15" ht="15.75" hidden="1" x14ac:dyDescent="0.25">
      <c r="A492" t="str">
        <f t="shared" si="7"/>
        <v>ALR_LIV_BATTERIA_BASSO-Allarme batteria in scarica</v>
      </c>
      <c r="C492" s="82" t="s">
        <v>476</v>
      </c>
      <c r="D492" s="82" t="s">
        <v>477</v>
      </c>
      <c r="E492" s="82" t="s">
        <v>2163</v>
      </c>
      <c r="F492" s="82" t="s">
        <v>476</v>
      </c>
      <c r="G492" s="82" t="s">
        <v>1946</v>
      </c>
      <c r="H492" s="82" t="s">
        <v>2165</v>
      </c>
      <c r="I492" s="82" t="s">
        <v>24</v>
      </c>
      <c r="J492" s="82" t="s">
        <v>2171</v>
      </c>
      <c r="K492" s="82" t="s">
        <v>2167</v>
      </c>
      <c r="L492" s="82" t="s">
        <v>1946</v>
      </c>
      <c r="M492" s="82" t="s">
        <v>2090</v>
      </c>
      <c r="N492" s="82" t="s">
        <v>1946</v>
      </c>
      <c r="O492" s="82" t="s">
        <v>2173</v>
      </c>
    </row>
    <row r="493" spans="1:15" ht="15.75" hidden="1" x14ac:dyDescent="0.25">
      <c r="A493" t="str">
        <f t="shared" si="7"/>
        <v>ALR_LIV_VASCA_ANTINCENDIO-Allarme livello serbatoio acqua in esaurimento</v>
      </c>
      <c r="C493" s="82" t="s">
        <v>478</v>
      </c>
      <c r="D493" s="82" t="s">
        <v>479</v>
      </c>
      <c r="E493" s="82" t="s">
        <v>2163</v>
      </c>
      <c r="F493" s="82" t="s">
        <v>478</v>
      </c>
      <c r="G493" s="82" t="s">
        <v>1946</v>
      </c>
      <c r="H493" s="82" t="s">
        <v>2165</v>
      </c>
      <c r="I493" s="82" t="s">
        <v>157</v>
      </c>
      <c r="J493" s="82" t="s">
        <v>2181</v>
      </c>
      <c r="K493" s="82" t="s">
        <v>2167</v>
      </c>
      <c r="L493" s="82" t="s">
        <v>1946</v>
      </c>
      <c r="M493" s="82" t="s">
        <v>2090</v>
      </c>
      <c r="N493" s="82" t="s">
        <v>1946</v>
      </c>
      <c r="O493" s="82" t="s">
        <v>2173</v>
      </c>
    </row>
    <row r="494" spans="1:15" ht="15.75" hidden="1" x14ac:dyDescent="0.25">
      <c r="A494" t="str">
        <f t="shared" si="7"/>
        <v>ALR_LOGICA_BLOCCATA-Allarme logica bloccata</v>
      </c>
      <c r="C494" s="82" t="s">
        <v>1386</v>
      </c>
      <c r="D494" s="82" t="s">
        <v>1387</v>
      </c>
      <c r="E494" s="82" t="s">
        <v>2163</v>
      </c>
      <c r="F494" s="82" t="s">
        <v>1386</v>
      </c>
      <c r="G494" s="82" t="s">
        <v>1946</v>
      </c>
      <c r="H494" s="82" t="s">
        <v>2165</v>
      </c>
      <c r="I494" s="82" t="s">
        <v>24</v>
      </c>
      <c r="J494" s="82" t="s">
        <v>2171</v>
      </c>
      <c r="K494" s="82" t="s">
        <v>2167</v>
      </c>
      <c r="L494" s="82" t="s">
        <v>1946</v>
      </c>
      <c r="M494" s="82" t="s">
        <v>2090</v>
      </c>
      <c r="N494" s="82" t="s">
        <v>1946</v>
      </c>
      <c r="O494" s="82" t="s">
        <v>2173</v>
      </c>
    </row>
    <row r="495" spans="1:15" ht="15.75" hidden="1" x14ac:dyDescent="0.25">
      <c r="A495" t="str">
        <f t="shared" si="7"/>
        <v>ALR_MALFUNZIONAMENTO-Allarme malfunzionamento</v>
      </c>
      <c r="C495" s="82" t="s">
        <v>1941</v>
      </c>
      <c r="D495" s="82" t="s">
        <v>1942</v>
      </c>
      <c r="E495" s="82" t="s">
        <v>2163</v>
      </c>
      <c r="F495" s="82" t="s">
        <v>1941</v>
      </c>
      <c r="G495" s="82" t="s">
        <v>1946</v>
      </c>
      <c r="H495" s="82" t="s">
        <v>2165</v>
      </c>
      <c r="I495" s="82" t="s">
        <v>24</v>
      </c>
      <c r="J495" s="82" t="s">
        <v>2171</v>
      </c>
      <c r="K495" s="82" t="s">
        <v>2173</v>
      </c>
      <c r="L495" s="82" t="s">
        <v>1946</v>
      </c>
      <c r="M495" s="82" t="s">
        <v>2090</v>
      </c>
      <c r="N495" s="82" t="s">
        <v>1946</v>
      </c>
      <c r="O495" s="82" t="s">
        <v>2173</v>
      </c>
    </row>
    <row r="496" spans="1:15" ht="15.75" hidden="1" x14ac:dyDescent="0.25">
      <c r="A496" t="str">
        <f t="shared" si="7"/>
        <v>ALR_MANCANZA_POTENZA-Allarme mancanza potenza</v>
      </c>
      <c r="C496" s="82" t="s">
        <v>491</v>
      </c>
      <c r="D496" s="82" t="s">
        <v>492</v>
      </c>
      <c r="E496" s="82" t="s">
        <v>2163</v>
      </c>
      <c r="F496" s="82" t="s">
        <v>491</v>
      </c>
      <c r="G496" s="82" t="s">
        <v>1946</v>
      </c>
      <c r="H496" s="82" t="s">
        <v>2165</v>
      </c>
      <c r="I496" s="82" t="s">
        <v>24</v>
      </c>
      <c r="J496" s="82" t="s">
        <v>2171</v>
      </c>
      <c r="K496" s="82" t="s">
        <v>2167</v>
      </c>
      <c r="L496" s="82" t="s">
        <v>1946</v>
      </c>
      <c r="M496" s="82" t="s">
        <v>2090</v>
      </c>
      <c r="N496" s="82" t="s">
        <v>1946</v>
      </c>
      <c r="O496" s="82" t="s">
        <v>2173</v>
      </c>
    </row>
    <row r="497" spans="1:15" ht="15.75" hidden="1" x14ac:dyDescent="0.25">
      <c r="A497" t="str">
        <f t="shared" si="7"/>
        <v>ALR_MANCANZA_SEGNALE_VIDEO-Allarme mancanza segnale video</v>
      </c>
      <c r="C497" s="82" t="s">
        <v>1388</v>
      </c>
      <c r="D497" s="82" t="s">
        <v>1389</v>
      </c>
      <c r="E497" s="82" t="s">
        <v>2163</v>
      </c>
      <c r="F497" s="82" t="s">
        <v>1388</v>
      </c>
      <c r="G497" s="82" t="s">
        <v>1946</v>
      </c>
      <c r="H497" s="82" t="s">
        <v>2165</v>
      </c>
      <c r="I497" s="82" t="s">
        <v>24</v>
      </c>
      <c r="J497" s="82" t="s">
        <v>2171</v>
      </c>
      <c r="K497" s="82" t="s">
        <v>2167</v>
      </c>
      <c r="L497" s="82" t="s">
        <v>1946</v>
      </c>
      <c r="M497" s="82" t="s">
        <v>2090</v>
      </c>
      <c r="N497" s="82" t="s">
        <v>1946</v>
      </c>
      <c r="O497" s="82" t="s">
        <v>2173</v>
      </c>
    </row>
    <row r="498" spans="1:15" ht="15.75" hidden="1" x14ac:dyDescent="0.25">
      <c r="A498" t="str">
        <f t="shared" si="7"/>
        <v>ALR_MANCATA_ACCENSIONE_LUCE_GIALLA-Allarme mancata accensione luce gialla</v>
      </c>
      <c r="C498" s="82" t="s">
        <v>2126</v>
      </c>
      <c r="D498" s="82" t="s">
        <v>2127</v>
      </c>
      <c r="E498" s="82" t="s">
        <v>2163</v>
      </c>
      <c r="F498" s="82" t="s">
        <v>2126</v>
      </c>
      <c r="G498" s="82" t="s">
        <v>2182</v>
      </c>
      <c r="H498" s="82" t="s">
        <v>2165</v>
      </c>
      <c r="I498" s="82" t="s">
        <v>24</v>
      </c>
      <c r="J498" s="82" t="s">
        <v>2171</v>
      </c>
      <c r="K498" s="82" t="s">
        <v>2167</v>
      </c>
      <c r="L498" s="82" t="s">
        <v>2182</v>
      </c>
      <c r="M498" s="82" t="s">
        <v>2183</v>
      </c>
      <c r="N498" s="82" t="s">
        <v>1946</v>
      </c>
      <c r="O498" s="82" t="s">
        <v>2173</v>
      </c>
    </row>
    <row r="499" spans="1:15" ht="15.75" hidden="1" x14ac:dyDescent="0.25">
      <c r="A499" t="str">
        <f t="shared" si="7"/>
        <v>ALR_MANCATA_ACCENSIONE_LUCE_ROSSA-Allarme mancata accensione luce rossa</v>
      </c>
      <c r="C499" s="82" t="s">
        <v>2128</v>
      </c>
      <c r="D499" s="82" t="s">
        <v>2129</v>
      </c>
      <c r="E499" s="82" t="s">
        <v>2163</v>
      </c>
      <c r="F499" s="82" t="s">
        <v>2128</v>
      </c>
      <c r="G499" s="82" t="s">
        <v>2182</v>
      </c>
      <c r="H499" s="82" t="s">
        <v>2165</v>
      </c>
      <c r="I499" s="82" t="s">
        <v>24</v>
      </c>
      <c r="J499" s="82" t="s">
        <v>2171</v>
      </c>
      <c r="K499" s="82" t="s">
        <v>2167</v>
      </c>
      <c r="L499" s="82" t="s">
        <v>2182</v>
      </c>
      <c r="M499" s="82" t="s">
        <v>2183</v>
      </c>
      <c r="N499" s="82" t="s">
        <v>1946</v>
      </c>
      <c r="O499" s="82" t="s">
        <v>2173</v>
      </c>
    </row>
    <row r="500" spans="1:15" ht="15.75" hidden="1" x14ac:dyDescent="0.25">
      <c r="A500" t="str">
        <f t="shared" si="7"/>
        <v>ALR_MANCATA_ACCENSIONE_LUCE_VERDE-Allarme mancata accensione luce verde</v>
      </c>
      <c r="C500" s="82" t="s">
        <v>2130</v>
      </c>
      <c r="D500" s="82" t="s">
        <v>2131</v>
      </c>
      <c r="E500" s="82" t="s">
        <v>2163</v>
      </c>
      <c r="F500" s="82" t="s">
        <v>2130</v>
      </c>
      <c r="G500" s="82" t="s">
        <v>2182</v>
      </c>
      <c r="H500" s="82" t="s">
        <v>2165</v>
      </c>
      <c r="I500" s="82" t="s">
        <v>24</v>
      </c>
      <c r="J500" s="82" t="s">
        <v>2171</v>
      </c>
      <c r="K500" s="82" t="s">
        <v>2167</v>
      </c>
      <c r="L500" s="82" t="s">
        <v>2182</v>
      </c>
      <c r="M500" s="82" t="s">
        <v>2183</v>
      </c>
      <c r="N500" s="82" t="s">
        <v>1946</v>
      </c>
      <c r="O500" s="82" t="s">
        <v>2173</v>
      </c>
    </row>
    <row r="501" spans="1:15" ht="15.75" hidden="1" x14ac:dyDescent="0.25">
      <c r="A501" t="str">
        <f t="shared" si="7"/>
        <v>ALR_MANCATA_APERTURA_GCB-Allarme mancata apertura contattore generatore</v>
      </c>
      <c r="C501" s="82" t="s">
        <v>493</v>
      </c>
      <c r="D501" s="82" t="s">
        <v>494</v>
      </c>
      <c r="E501" s="82" t="s">
        <v>2163</v>
      </c>
      <c r="F501" s="82" t="s">
        <v>493</v>
      </c>
      <c r="G501" s="82" t="s">
        <v>1946</v>
      </c>
      <c r="H501" s="82" t="s">
        <v>2165</v>
      </c>
      <c r="I501" s="82" t="s">
        <v>24</v>
      </c>
      <c r="J501" s="82" t="s">
        <v>2171</v>
      </c>
      <c r="K501" s="82" t="s">
        <v>2167</v>
      </c>
      <c r="L501" s="82" t="s">
        <v>1946</v>
      </c>
      <c r="M501" s="82" t="s">
        <v>2090</v>
      </c>
      <c r="N501" s="82" t="s">
        <v>1946</v>
      </c>
      <c r="O501" s="82" t="s">
        <v>2173</v>
      </c>
    </row>
    <row r="502" spans="1:15" ht="15.75" hidden="1" x14ac:dyDescent="0.25">
      <c r="A502" t="str">
        <f t="shared" si="7"/>
        <v>ALR_MANCATA_APERTURA_INTERRUTTORE-Allarme mancata apertura interruttore</v>
      </c>
      <c r="C502" s="82" t="s">
        <v>1392</v>
      </c>
      <c r="D502" s="82" t="s">
        <v>1393</v>
      </c>
      <c r="E502" s="82" t="s">
        <v>2163</v>
      </c>
      <c r="F502" s="82" t="s">
        <v>1392</v>
      </c>
      <c r="G502" s="82" t="s">
        <v>1946</v>
      </c>
      <c r="H502" s="82" t="s">
        <v>2165</v>
      </c>
      <c r="I502" s="82" t="s">
        <v>157</v>
      </c>
      <c r="J502" s="82" t="s">
        <v>2181</v>
      </c>
      <c r="K502" s="82" t="s">
        <v>2167</v>
      </c>
      <c r="L502" s="82" t="s">
        <v>1946</v>
      </c>
      <c r="M502" s="82" t="s">
        <v>2090</v>
      </c>
      <c r="N502" s="82" t="s">
        <v>1946</v>
      </c>
      <c r="O502" s="82" t="s">
        <v>2173</v>
      </c>
    </row>
    <row r="503" spans="1:15" ht="15.75" hidden="1" x14ac:dyDescent="0.25">
      <c r="A503" t="str">
        <f t="shared" si="7"/>
        <v>ALR_MANCATA_APERTURA_MCB-Allarme mancata apertura contattore di rete</v>
      </c>
      <c r="C503" s="82" t="s">
        <v>495</v>
      </c>
      <c r="D503" s="82" t="s">
        <v>496</v>
      </c>
      <c r="E503" s="82" t="s">
        <v>2163</v>
      </c>
      <c r="F503" s="82" t="s">
        <v>495</v>
      </c>
      <c r="G503" s="82" t="s">
        <v>1946</v>
      </c>
      <c r="H503" s="82" t="s">
        <v>2165</v>
      </c>
      <c r="I503" s="82" t="s">
        <v>24</v>
      </c>
      <c r="J503" s="82" t="s">
        <v>2171</v>
      </c>
      <c r="K503" s="82" t="s">
        <v>2167</v>
      </c>
      <c r="L503" s="82" t="s">
        <v>1946</v>
      </c>
      <c r="M503" s="82" t="s">
        <v>2090</v>
      </c>
      <c r="N503" s="82" t="s">
        <v>1946</v>
      </c>
      <c r="O503" s="82" t="s">
        <v>2173</v>
      </c>
    </row>
    <row r="504" spans="1:15" ht="15.75" hidden="1" x14ac:dyDescent="0.25">
      <c r="A504" t="str">
        <f t="shared" si="7"/>
        <v>ALR_MANCATA_ATTIVAZIONE-Allarme mancata attivazione</v>
      </c>
      <c r="C504" s="82" t="s">
        <v>1394</v>
      </c>
      <c r="D504" s="82" t="s">
        <v>1395</v>
      </c>
      <c r="E504" s="82" t="s">
        <v>2163</v>
      </c>
      <c r="F504" s="82" t="s">
        <v>1394</v>
      </c>
      <c r="G504" s="82" t="s">
        <v>1946</v>
      </c>
      <c r="H504" s="82" t="s">
        <v>2165</v>
      </c>
      <c r="I504" s="82" t="s">
        <v>24</v>
      </c>
      <c r="J504" s="82" t="s">
        <v>2171</v>
      </c>
      <c r="K504" s="82" t="s">
        <v>2167</v>
      </c>
      <c r="L504" s="82" t="s">
        <v>1946</v>
      </c>
      <c r="M504" s="82" t="s">
        <v>2090</v>
      </c>
      <c r="N504" s="82" t="s">
        <v>1946</v>
      </c>
      <c r="O504" s="82" t="s">
        <v>2173</v>
      </c>
    </row>
    <row r="505" spans="1:15" ht="15.75" hidden="1" x14ac:dyDescent="0.25">
      <c r="A505" t="str">
        <f t="shared" si="7"/>
        <v>ALR_MANCATA_ATTIVAZIONE_CE1-Allarme mancata attivazione CE1</v>
      </c>
      <c r="C505" s="82" t="s">
        <v>1398</v>
      </c>
      <c r="D505" s="82" t="s">
        <v>1399</v>
      </c>
      <c r="E505" s="82" t="s">
        <v>2163</v>
      </c>
      <c r="F505" s="82" t="s">
        <v>1398</v>
      </c>
      <c r="G505" s="82" t="s">
        <v>1946</v>
      </c>
      <c r="H505" s="82" t="s">
        <v>2165</v>
      </c>
      <c r="I505" s="82" t="s">
        <v>24</v>
      </c>
      <c r="J505" s="82" t="s">
        <v>2171</v>
      </c>
      <c r="K505" s="82" t="s">
        <v>2167</v>
      </c>
      <c r="L505" s="82" t="s">
        <v>1946</v>
      </c>
      <c r="M505" s="82" t="s">
        <v>2090</v>
      </c>
      <c r="N505" s="82" t="s">
        <v>1946</v>
      </c>
      <c r="O505" s="82" t="s">
        <v>2173</v>
      </c>
    </row>
    <row r="506" spans="1:15" ht="15.75" hidden="1" x14ac:dyDescent="0.25">
      <c r="A506" t="str">
        <f t="shared" si="7"/>
        <v>ALR_MANCATA_ATTIVAZIONE_CE2-Allarme mancata attivazione CE2</v>
      </c>
      <c r="C506" s="82" t="s">
        <v>1400</v>
      </c>
      <c r="D506" s="82" t="s">
        <v>1401</v>
      </c>
      <c r="E506" s="82" t="s">
        <v>2163</v>
      </c>
      <c r="F506" s="82" t="s">
        <v>1400</v>
      </c>
      <c r="G506" s="82" t="s">
        <v>1946</v>
      </c>
      <c r="H506" s="82" t="s">
        <v>2165</v>
      </c>
      <c r="I506" s="82" t="s">
        <v>24</v>
      </c>
      <c r="J506" s="82" t="s">
        <v>2171</v>
      </c>
      <c r="K506" s="82" t="s">
        <v>2167</v>
      </c>
      <c r="L506" s="82" t="s">
        <v>1946</v>
      </c>
      <c r="M506" s="82" t="s">
        <v>2090</v>
      </c>
      <c r="N506" s="82" t="s">
        <v>1946</v>
      </c>
      <c r="O506" s="82" t="s">
        <v>2173</v>
      </c>
    </row>
    <row r="507" spans="1:15" ht="15.75" hidden="1" x14ac:dyDescent="0.25">
      <c r="A507" t="str">
        <f t="shared" si="7"/>
        <v>ALR_MANCATA_CHIUSURA_GCB-Allarme mancata chiusura contattore generatore</v>
      </c>
      <c r="C507" s="82" t="s">
        <v>497</v>
      </c>
      <c r="D507" s="82" t="s">
        <v>498</v>
      </c>
      <c r="E507" s="82" t="s">
        <v>2163</v>
      </c>
      <c r="F507" s="82" t="s">
        <v>497</v>
      </c>
      <c r="G507" s="82" t="s">
        <v>1946</v>
      </c>
      <c r="H507" s="82" t="s">
        <v>2165</v>
      </c>
      <c r="I507" s="82" t="s">
        <v>24</v>
      </c>
      <c r="J507" s="82" t="s">
        <v>2171</v>
      </c>
      <c r="K507" s="82" t="s">
        <v>2167</v>
      </c>
      <c r="L507" s="82" t="s">
        <v>1946</v>
      </c>
      <c r="M507" s="82" t="s">
        <v>2090</v>
      </c>
      <c r="N507" s="82" t="s">
        <v>1946</v>
      </c>
      <c r="O507" s="82" t="s">
        <v>2173</v>
      </c>
    </row>
    <row r="508" spans="1:15" ht="15.75" hidden="1" x14ac:dyDescent="0.25">
      <c r="A508" t="str">
        <f t="shared" si="7"/>
        <v>ALR_MANCATA_CHIUSURA_INTERRUTTORE-Allarme mancata interruttore</v>
      </c>
      <c r="C508" s="82" t="s">
        <v>1402</v>
      </c>
      <c r="D508" s="82" t="s">
        <v>1403</v>
      </c>
      <c r="E508" s="82" t="s">
        <v>2163</v>
      </c>
      <c r="F508" s="82" t="s">
        <v>1402</v>
      </c>
      <c r="G508" s="82" t="s">
        <v>1946</v>
      </c>
      <c r="H508" s="82" t="s">
        <v>2165</v>
      </c>
      <c r="I508" s="82" t="s">
        <v>157</v>
      </c>
      <c r="J508" s="82" t="s">
        <v>2181</v>
      </c>
      <c r="K508" s="82" t="s">
        <v>2167</v>
      </c>
      <c r="L508" s="82" t="s">
        <v>1946</v>
      </c>
      <c r="M508" s="82" t="s">
        <v>2090</v>
      </c>
      <c r="N508" s="82" t="s">
        <v>1946</v>
      </c>
      <c r="O508" s="82" t="s">
        <v>2173</v>
      </c>
    </row>
    <row r="509" spans="1:15" ht="15.75" hidden="1" x14ac:dyDescent="0.25">
      <c r="A509" t="str">
        <f t="shared" si="7"/>
        <v>ALR_MANCATA_CHIUSURA_MCB-Allarme mancata chiusura contattore di rete</v>
      </c>
      <c r="C509" s="82" t="s">
        <v>499</v>
      </c>
      <c r="D509" s="82" t="s">
        <v>500</v>
      </c>
      <c r="E509" s="82" t="s">
        <v>2163</v>
      </c>
      <c r="F509" s="82" t="s">
        <v>499</v>
      </c>
      <c r="G509" s="82" t="s">
        <v>1946</v>
      </c>
      <c r="H509" s="82" t="s">
        <v>2165</v>
      </c>
      <c r="I509" s="82" t="s">
        <v>24</v>
      </c>
      <c r="J509" s="82" t="s">
        <v>2171</v>
      </c>
      <c r="K509" s="82" t="s">
        <v>2167</v>
      </c>
      <c r="L509" s="82" t="s">
        <v>1946</v>
      </c>
      <c r="M509" s="82" t="s">
        <v>2090</v>
      </c>
      <c r="N509" s="82" t="s">
        <v>1946</v>
      </c>
      <c r="O509" s="82" t="s">
        <v>2173</v>
      </c>
    </row>
    <row r="510" spans="1:15" ht="15.75" hidden="1" x14ac:dyDescent="0.25">
      <c r="A510" t="str">
        <f t="shared" si="7"/>
        <v>ALR_MANCATA_DISATTIVAZIONE-Allarme mancata disattivazione</v>
      </c>
      <c r="C510" s="82" t="s">
        <v>1404</v>
      </c>
      <c r="D510" s="82" t="s">
        <v>1405</v>
      </c>
      <c r="E510" s="82" t="s">
        <v>2163</v>
      </c>
      <c r="F510" s="82" t="s">
        <v>1404</v>
      </c>
      <c r="G510" s="82" t="s">
        <v>1946</v>
      </c>
      <c r="H510" s="82" t="s">
        <v>2165</v>
      </c>
      <c r="I510" s="82" t="s">
        <v>24</v>
      </c>
      <c r="J510" s="82" t="s">
        <v>2171</v>
      </c>
      <c r="K510" s="82" t="s">
        <v>2167</v>
      </c>
      <c r="L510" s="82" t="s">
        <v>1946</v>
      </c>
      <c r="M510" s="82" t="s">
        <v>2090</v>
      </c>
      <c r="N510" s="82" t="s">
        <v>1946</v>
      </c>
      <c r="O510" s="82" t="s">
        <v>2173</v>
      </c>
    </row>
    <row r="511" spans="1:15" ht="15.75" hidden="1" x14ac:dyDescent="0.25">
      <c r="A511" t="str">
        <f t="shared" si="7"/>
        <v>ALR_MANCATA_DISATTIVAZIONE_CE1-Allarme mancata disattivazione CE1</v>
      </c>
      <c r="C511" s="82" t="s">
        <v>1406</v>
      </c>
      <c r="D511" s="82" t="s">
        <v>1407</v>
      </c>
      <c r="E511" s="82" t="s">
        <v>2163</v>
      </c>
      <c r="F511" s="82" t="s">
        <v>1406</v>
      </c>
      <c r="G511" s="82" t="s">
        <v>1946</v>
      </c>
      <c r="H511" s="82" t="s">
        <v>2165</v>
      </c>
      <c r="I511" s="82" t="s">
        <v>24</v>
      </c>
      <c r="J511" s="82" t="s">
        <v>2171</v>
      </c>
      <c r="K511" s="82" t="s">
        <v>2167</v>
      </c>
      <c r="L511" s="82" t="s">
        <v>1946</v>
      </c>
      <c r="M511" s="82" t="s">
        <v>2090</v>
      </c>
      <c r="N511" s="82" t="s">
        <v>1946</v>
      </c>
      <c r="O511" s="82" t="s">
        <v>2173</v>
      </c>
    </row>
    <row r="512" spans="1:15" ht="15.75" hidden="1" x14ac:dyDescent="0.25">
      <c r="A512" t="str">
        <f t="shared" si="7"/>
        <v>ALR_MANCATA_DISATTIVAZIONE_CE2-Allarme mancata disattivazione CE2</v>
      </c>
      <c r="C512" s="82" t="s">
        <v>1408</v>
      </c>
      <c r="D512" s="82" t="s">
        <v>1409</v>
      </c>
      <c r="E512" s="82" t="s">
        <v>2163</v>
      </c>
      <c r="F512" s="82" t="s">
        <v>1408</v>
      </c>
      <c r="G512" s="82" t="s">
        <v>1946</v>
      </c>
      <c r="H512" s="82" t="s">
        <v>2165</v>
      </c>
      <c r="I512" s="82" t="s">
        <v>24</v>
      </c>
      <c r="J512" s="82" t="s">
        <v>2171</v>
      </c>
      <c r="K512" s="82" t="s">
        <v>2167</v>
      </c>
      <c r="L512" s="82" t="s">
        <v>1946</v>
      </c>
      <c r="M512" s="82" t="s">
        <v>2090</v>
      </c>
      <c r="N512" s="82" t="s">
        <v>1946</v>
      </c>
      <c r="O512" s="82" t="s">
        <v>2173</v>
      </c>
    </row>
    <row r="513" spans="1:15" ht="15.75" hidden="1" x14ac:dyDescent="0.25">
      <c r="A513" t="str">
        <f t="shared" si="7"/>
        <v>ALR_MANCATO_ARRESTO-Allarme mancato arresto ventilatore</v>
      </c>
      <c r="C513" s="82" t="s">
        <v>501</v>
      </c>
      <c r="D513" s="82" t="s">
        <v>502</v>
      </c>
      <c r="E513" s="82" t="s">
        <v>2163</v>
      </c>
      <c r="F513" s="82" t="s">
        <v>501</v>
      </c>
      <c r="G513" s="82" t="s">
        <v>1946</v>
      </c>
      <c r="H513" s="82" t="s">
        <v>2165</v>
      </c>
      <c r="I513" s="82" t="s">
        <v>24</v>
      </c>
      <c r="J513" s="82" t="s">
        <v>2171</v>
      </c>
      <c r="K513" s="82" t="s">
        <v>2167</v>
      </c>
      <c r="L513" s="82" t="s">
        <v>1946</v>
      </c>
      <c r="M513" s="82" t="s">
        <v>2090</v>
      </c>
      <c r="N513" s="82" t="s">
        <v>1946</v>
      </c>
      <c r="O513" s="82" t="s">
        <v>2173</v>
      </c>
    </row>
    <row r="514" spans="1:15" ht="15.75" hidden="1" x14ac:dyDescent="0.25">
      <c r="A514" t="str">
        <f t="shared" si="7"/>
        <v>ALR_MANCATO_ARRESTO_ESTRATTORE-Allarme mancato arresto estrattore</v>
      </c>
      <c r="C514" s="82" t="s">
        <v>2396</v>
      </c>
      <c r="D514" s="82" t="s">
        <v>2397</v>
      </c>
      <c r="E514" s="82" t="s">
        <v>2163</v>
      </c>
      <c r="F514" s="82" t="s">
        <v>2396</v>
      </c>
      <c r="G514" s="82" t="s">
        <v>1946</v>
      </c>
      <c r="H514" s="82" t="s">
        <v>2165</v>
      </c>
      <c r="I514" s="82" t="s">
        <v>24</v>
      </c>
      <c r="J514" s="82" t="s">
        <v>2171</v>
      </c>
      <c r="K514" s="82" t="s">
        <v>2167</v>
      </c>
      <c r="L514" s="82" t="s">
        <v>1946</v>
      </c>
      <c r="M514" s="82" t="s">
        <v>2090</v>
      </c>
      <c r="N514" s="82" t="s">
        <v>1946</v>
      </c>
      <c r="O514" s="82" t="s">
        <v>2173</v>
      </c>
    </row>
    <row r="515" spans="1:15" ht="15.75" hidden="1" x14ac:dyDescent="0.25">
      <c r="A515" t="str">
        <f t="shared" ref="A515:A578" si="8">CONCATENATE(F515,"-",D515)</f>
        <v>ALR_MANCATO_AVVIO-Allarme mancato avvio Gruppo Elettrogeno</v>
      </c>
      <c r="C515" s="82" t="s">
        <v>503</v>
      </c>
      <c r="D515" s="82" t="s">
        <v>504</v>
      </c>
      <c r="E515" s="82" t="s">
        <v>2163</v>
      </c>
      <c r="F515" s="82" t="s">
        <v>503</v>
      </c>
      <c r="G515" s="82" t="s">
        <v>1946</v>
      </c>
      <c r="H515" s="82" t="s">
        <v>2165</v>
      </c>
      <c r="I515" s="82" t="s">
        <v>157</v>
      </c>
      <c r="J515" s="82" t="s">
        <v>2181</v>
      </c>
      <c r="K515" s="82" t="s">
        <v>2167</v>
      </c>
      <c r="L515" s="82" t="s">
        <v>1946</v>
      </c>
      <c r="M515" s="82" t="s">
        <v>2183</v>
      </c>
      <c r="N515" s="82" t="s">
        <v>1946</v>
      </c>
      <c r="O515" s="82" t="s">
        <v>2173</v>
      </c>
    </row>
    <row r="516" spans="1:15" ht="15.75" hidden="1" x14ac:dyDescent="0.25">
      <c r="A516" t="str">
        <f t="shared" si="8"/>
        <v>ALR_MANCATO_AVVIO_ESTRATTORE-Allarme mancato avvio estrattore</v>
      </c>
      <c r="C516" s="82" t="s">
        <v>2398</v>
      </c>
      <c r="D516" s="82" t="s">
        <v>2399</v>
      </c>
      <c r="E516" s="82" t="s">
        <v>2163</v>
      </c>
      <c r="F516" s="82" t="s">
        <v>2398</v>
      </c>
      <c r="G516" s="82" t="s">
        <v>1946</v>
      </c>
      <c r="H516" s="82" t="s">
        <v>2165</v>
      </c>
      <c r="I516" s="82" t="s">
        <v>24</v>
      </c>
      <c r="J516" s="82" t="s">
        <v>2171</v>
      </c>
      <c r="K516" s="82" t="s">
        <v>2167</v>
      </c>
      <c r="L516" s="82" t="s">
        <v>1946</v>
      </c>
      <c r="M516" s="82" t="s">
        <v>2090</v>
      </c>
      <c r="N516" s="82" t="s">
        <v>1946</v>
      </c>
      <c r="O516" s="82" t="s">
        <v>2173</v>
      </c>
    </row>
    <row r="517" spans="1:15" ht="15.75" hidden="1" x14ac:dyDescent="0.25">
      <c r="A517" t="str">
        <f t="shared" si="8"/>
        <v>ALR_MANCATO_AVVIO_VENTILATORE-Allarme mancato avvio ventilatore</v>
      </c>
      <c r="C517" s="82" t="s">
        <v>505</v>
      </c>
      <c r="D517" s="82" t="s">
        <v>506</v>
      </c>
      <c r="E517" s="82" t="s">
        <v>2163</v>
      </c>
      <c r="F517" s="82" t="s">
        <v>505</v>
      </c>
      <c r="G517" s="82" t="s">
        <v>1946</v>
      </c>
      <c r="H517" s="82" t="s">
        <v>2165</v>
      </c>
      <c r="I517" s="82" t="s">
        <v>24</v>
      </c>
      <c r="J517" s="82" t="s">
        <v>2171</v>
      </c>
      <c r="K517" s="82" t="s">
        <v>2167</v>
      </c>
      <c r="L517" s="82" t="s">
        <v>1946</v>
      </c>
      <c r="M517" s="82" t="s">
        <v>2090</v>
      </c>
      <c r="N517" s="82" t="s">
        <v>1946</v>
      </c>
      <c r="O517" s="82" t="s">
        <v>2173</v>
      </c>
    </row>
    <row r="518" spans="1:15" ht="15.75" hidden="1" x14ac:dyDescent="0.25">
      <c r="A518" t="str">
        <f t="shared" si="8"/>
        <v>ALR_MANCATO_COMANDO_50-Allarme mancato comando 50%</v>
      </c>
      <c r="C518" s="82" t="s">
        <v>2400</v>
      </c>
      <c r="D518" s="82" t="s">
        <v>2401</v>
      </c>
      <c r="E518" s="82" t="s">
        <v>2163</v>
      </c>
      <c r="F518" s="82" t="s">
        <v>2400</v>
      </c>
      <c r="G518" s="82" t="s">
        <v>1946</v>
      </c>
      <c r="H518" s="82" t="s">
        <v>2165</v>
      </c>
      <c r="I518" s="82" t="s">
        <v>24</v>
      </c>
      <c r="J518" s="82" t="s">
        <v>2171</v>
      </c>
      <c r="K518" s="82" t="s">
        <v>2167</v>
      </c>
      <c r="L518" s="82" t="s">
        <v>1946</v>
      </c>
      <c r="M518" s="82" t="s">
        <v>2090</v>
      </c>
      <c r="N518" s="82" t="s">
        <v>1946</v>
      </c>
      <c r="O518" s="82" t="s">
        <v>2173</v>
      </c>
    </row>
    <row r="519" spans="1:15" ht="15.75" hidden="1" x14ac:dyDescent="0.25">
      <c r="A519" t="str">
        <f t="shared" si="8"/>
        <v>ALR_MANCATO_COMANDO_ACCENSIONE-Allarme mancato comando accensione</v>
      </c>
      <c r="C519" s="82" t="s">
        <v>1410</v>
      </c>
      <c r="D519" s="82" t="s">
        <v>1411</v>
      </c>
      <c r="E519" s="82" t="s">
        <v>2163</v>
      </c>
      <c r="F519" s="82" t="s">
        <v>1410</v>
      </c>
      <c r="G519" s="82" t="s">
        <v>1946</v>
      </c>
      <c r="H519" s="82" t="s">
        <v>2165</v>
      </c>
      <c r="I519" s="82" t="s">
        <v>24</v>
      </c>
      <c r="J519" s="82" t="s">
        <v>2171</v>
      </c>
      <c r="K519" s="82" t="s">
        <v>2167</v>
      </c>
      <c r="L519" s="82" t="s">
        <v>1946</v>
      </c>
      <c r="M519" s="82" t="s">
        <v>2090</v>
      </c>
      <c r="N519" s="82" t="s">
        <v>1946</v>
      </c>
      <c r="O519" s="82" t="s">
        <v>2173</v>
      </c>
    </row>
    <row r="520" spans="1:15" ht="15.75" hidden="1" x14ac:dyDescent="0.25">
      <c r="A520" t="str">
        <f t="shared" si="8"/>
        <v>ALR_MANCATO_COMANDO_DIR_DX-Allarme mancato comando dx</v>
      </c>
      <c r="C520" s="82" t="s">
        <v>1414</v>
      </c>
      <c r="D520" s="82" t="s">
        <v>1415</v>
      </c>
      <c r="E520" s="82" t="s">
        <v>2163</v>
      </c>
      <c r="F520" s="82" t="s">
        <v>1414</v>
      </c>
      <c r="G520" s="82" t="s">
        <v>1946</v>
      </c>
      <c r="H520" s="82" t="s">
        <v>2165</v>
      </c>
      <c r="I520" s="82" t="s">
        <v>24</v>
      </c>
      <c r="J520" s="82" t="s">
        <v>2171</v>
      </c>
      <c r="K520" s="82" t="s">
        <v>2167</v>
      </c>
      <c r="L520" s="82" t="s">
        <v>1946</v>
      </c>
      <c r="M520" s="82" t="s">
        <v>2090</v>
      </c>
      <c r="N520" s="82" t="s">
        <v>1946</v>
      </c>
      <c r="O520" s="82" t="s">
        <v>2173</v>
      </c>
    </row>
    <row r="521" spans="1:15" ht="15.75" hidden="1" x14ac:dyDescent="0.25">
      <c r="A521" t="str">
        <f t="shared" si="8"/>
        <v>ALR_MANCATO_COMANDO_DIR_SX-Allarme mancato comando sx</v>
      </c>
      <c r="C521" s="82" t="s">
        <v>1416</v>
      </c>
      <c r="D521" s="82" t="s">
        <v>1417</v>
      </c>
      <c r="E521" s="82" t="s">
        <v>2163</v>
      </c>
      <c r="F521" s="82" t="s">
        <v>1416</v>
      </c>
      <c r="G521" s="82" t="s">
        <v>1946</v>
      </c>
      <c r="H521" s="82" t="s">
        <v>2165</v>
      </c>
      <c r="I521" s="82" t="s">
        <v>24</v>
      </c>
      <c r="J521" s="82" t="s">
        <v>2171</v>
      </c>
      <c r="K521" s="82" t="s">
        <v>2167</v>
      </c>
      <c r="L521" s="82" t="s">
        <v>1946</v>
      </c>
      <c r="M521" s="82" t="s">
        <v>2090</v>
      </c>
      <c r="N521" s="82" t="s">
        <v>1946</v>
      </c>
      <c r="O521" s="82" t="s">
        <v>2173</v>
      </c>
    </row>
    <row r="522" spans="1:15" ht="15.75" hidden="1" x14ac:dyDescent="0.25">
      <c r="A522" t="str">
        <f t="shared" si="8"/>
        <v>ALR_MANCATO_COMANDO_SPEGNIMENTO-Allarme mancato comando spegnimento</v>
      </c>
      <c r="C522" s="82" t="s">
        <v>1418</v>
      </c>
      <c r="D522" s="82" t="s">
        <v>1419</v>
      </c>
      <c r="E522" s="82" t="s">
        <v>2163</v>
      </c>
      <c r="F522" s="82" t="s">
        <v>1418</v>
      </c>
      <c r="G522" s="82" t="s">
        <v>1946</v>
      </c>
      <c r="H522" s="82" t="s">
        <v>2165</v>
      </c>
      <c r="I522" s="82" t="s">
        <v>24</v>
      </c>
      <c r="J522" s="82" t="s">
        <v>2171</v>
      </c>
      <c r="K522" s="82" t="s">
        <v>2167</v>
      </c>
      <c r="L522" s="82" t="s">
        <v>1946</v>
      </c>
      <c r="M522" s="82" t="s">
        <v>2090</v>
      </c>
      <c r="N522" s="82" t="s">
        <v>1946</v>
      </c>
      <c r="O522" s="82" t="s">
        <v>2173</v>
      </c>
    </row>
    <row r="523" spans="1:15" ht="15.75" hidden="1" x14ac:dyDescent="0.25">
      <c r="A523" t="str">
        <f t="shared" si="8"/>
        <v>ALR_MANCATO_DISIMPEGNO_ELETTROVALVOLA-Allarme mancato disimpegno elettrovalvola</v>
      </c>
      <c r="C523" s="82" t="s">
        <v>2402</v>
      </c>
      <c r="D523" s="82" t="s">
        <v>2403</v>
      </c>
      <c r="E523" s="82" t="s">
        <v>2163</v>
      </c>
      <c r="F523" s="82" t="s">
        <v>2402</v>
      </c>
      <c r="G523" s="82" t="s">
        <v>1946</v>
      </c>
      <c r="H523" s="82" t="s">
        <v>2165</v>
      </c>
      <c r="I523" s="82" t="s">
        <v>24</v>
      </c>
      <c r="J523" s="82" t="s">
        <v>2171</v>
      </c>
      <c r="K523" s="82" t="s">
        <v>2167</v>
      </c>
      <c r="L523" s="82" t="s">
        <v>1946</v>
      </c>
      <c r="M523" s="82" t="s">
        <v>2090</v>
      </c>
      <c r="N523" s="82" t="s">
        <v>1946</v>
      </c>
      <c r="O523" s="82" t="s">
        <v>2173</v>
      </c>
    </row>
    <row r="524" spans="1:15" ht="15.75" hidden="1" x14ac:dyDescent="0.25">
      <c r="A524" t="str">
        <f t="shared" si="8"/>
        <v>ALR_MANCATO_IMPEGNO_ELETTROVALVOLA-Allarme mancato impegno elettrovalvola</v>
      </c>
      <c r="C524" s="82" t="s">
        <v>2404</v>
      </c>
      <c r="D524" s="82" t="s">
        <v>2405</v>
      </c>
      <c r="E524" s="82" t="s">
        <v>2163</v>
      </c>
      <c r="F524" s="82" t="s">
        <v>2404</v>
      </c>
      <c r="G524" s="82" t="s">
        <v>1946</v>
      </c>
      <c r="H524" s="82" t="s">
        <v>2165</v>
      </c>
      <c r="I524" s="82" t="s">
        <v>24</v>
      </c>
      <c r="J524" s="82" t="s">
        <v>2171</v>
      </c>
      <c r="K524" s="82" t="s">
        <v>2167</v>
      </c>
      <c r="L524" s="82" t="s">
        <v>1946</v>
      </c>
      <c r="M524" s="82" t="s">
        <v>2090</v>
      </c>
      <c r="N524" s="82" t="s">
        <v>1946</v>
      </c>
      <c r="O524" s="82" t="s">
        <v>2173</v>
      </c>
    </row>
    <row r="525" spans="1:15" ht="15.75" hidden="1" x14ac:dyDescent="0.25">
      <c r="A525" t="str">
        <f t="shared" si="8"/>
        <v>ALR_MANCATO_PRERISCALDO_GE-Allarme mancato preriscaldo gruppo elettrogeno</v>
      </c>
      <c r="C525" s="82" t="s">
        <v>1420</v>
      </c>
      <c r="D525" s="82" t="s">
        <v>1421</v>
      </c>
      <c r="E525" s="82" t="s">
        <v>2163</v>
      </c>
      <c r="F525" s="82" t="s">
        <v>1420</v>
      </c>
      <c r="G525" s="82" t="s">
        <v>1946</v>
      </c>
      <c r="H525" s="82" t="s">
        <v>2165</v>
      </c>
      <c r="I525" s="82" t="s">
        <v>24</v>
      </c>
      <c r="J525" s="82" t="s">
        <v>2171</v>
      </c>
      <c r="K525" s="82" t="s">
        <v>2167</v>
      </c>
      <c r="L525" s="82" t="s">
        <v>1946</v>
      </c>
      <c r="M525" s="82" t="s">
        <v>2090</v>
      </c>
      <c r="N525" s="82" t="s">
        <v>1946</v>
      </c>
      <c r="O525" s="82" t="s">
        <v>2173</v>
      </c>
    </row>
    <row r="526" spans="1:15" ht="15.75" hidden="1" x14ac:dyDescent="0.25">
      <c r="A526" t="str">
        <f t="shared" si="8"/>
        <v>ALR_MANCATO_RIPRISTINO-Allarme mancato ripristino</v>
      </c>
      <c r="C526" s="82" t="s">
        <v>2406</v>
      </c>
      <c r="D526" s="82" t="s">
        <v>2407</v>
      </c>
      <c r="E526" s="82" t="s">
        <v>2163</v>
      </c>
      <c r="F526" s="82" t="s">
        <v>2406</v>
      </c>
      <c r="G526" s="82" t="s">
        <v>1946</v>
      </c>
      <c r="H526" s="82" t="s">
        <v>2165</v>
      </c>
      <c r="I526" s="82" t="s">
        <v>24</v>
      </c>
      <c r="J526" s="82" t="s">
        <v>2171</v>
      </c>
      <c r="K526" s="82" t="s">
        <v>2167</v>
      </c>
      <c r="L526" s="82" t="s">
        <v>1946</v>
      </c>
      <c r="M526" s="82" t="s">
        <v>2090</v>
      </c>
      <c r="N526" s="82" t="s">
        <v>1946</v>
      </c>
      <c r="O526" s="82" t="s">
        <v>2173</v>
      </c>
    </row>
    <row r="527" spans="1:15" ht="15.75" hidden="1" x14ac:dyDescent="0.25">
      <c r="A527" t="str">
        <f t="shared" si="8"/>
        <v>ALR_MANOMISSIONE-Allarme intrusione in cabina</v>
      </c>
      <c r="C527" s="82" t="s">
        <v>507</v>
      </c>
      <c r="D527" s="82" t="s">
        <v>470</v>
      </c>
      <c r="E527" s="82" t="s">
        <v>2163</v>
      </c>
      <c r="F527" s="82" t="s">
        <v>507</v>
      </c>
      <c r="G527" s="82" t="s">
        <v>1946</v>
      </c>
      <c r="H527" s="82" t="s">
        <v>2165</v>
      </c>
      <c r="I527" s="82" t="s">
        <v>33</v>
      </c>
      <c r="J527" s="82" t="s">
        <v>2174</v>
      </c>
      <c r="K527" s="82" t="s">
        <v>2173</v>
      </c>
      <c r="L527" s="82" t="s">
        <v>1946</v>
      </c>
      <c r="M527" s="82" t="s">
        <v>2176</v>
      </c>
      <c r="N527" s="82" t="s">
        <v>2180</v>
      </c>
      <c r="O527" s="82" t="s">
        <v>2173</v>
      </c>
    </row>
    <row r="528" spans="1:15" ht="15.75" hidden="1" x14ac:dyDescent="0.25">
      <c r="A528" t="str">
        <f t="shared" si="8"/>
        <v>ALR_MANUTENZIONE_SCADUTA-Allarme manutenzione scaduta</v>
      </c>
      <c r="C528" s="82" t="s">
        <v>509</v>
      </c>
      <c r="D528" s="82" t="s">
        <v>510</v>
      </c>
      <c r="E528" s="82" t="s">
        <v>2163</v>
      </c>
      <c r="F528" s="82" t="s">
        <v>509</v>
      </c>
      <c r="G528" s="82" t="s">
        <v>2182</v>
      </c>
      <c r="H528" s="82" t="s">
        <v>2165</v>
      </c>
      <c r="I528" s="82" t="s">
        <v>24</v>
      </c>
      <c r="J528" s="82" t="s">
        <v>2171</v>
      </c>
      <c r="K528" s="82" t="s">
        <v>2167</v>
      </c>
      <c r="L528" s="82" t="s">
        <v>2182</v>
      </c>
      <c r="M528" s="82" t="s">
        <v>2183</v>
      </c>
      <c r="N528" s="82" t="s">
        <v>1946</v>
      </c>
      <c r="O528" s="82" t="s">
        <v>2173</v>
      </c>
    </row>
    <row r="529" spans="1:15" ht="15.75" hidden="1" x14ac:dyDescent="0.25">
      <c r="A529" t="str">
        <f t="shared" si="8"/>
        <v>ALR_MASSIMA_CORRENTE-Allarme corrente massima</v>
      </c>
      <c r="C529" s="82" t="s">
        <v>1422</v>
      </c>
      <c r="D529" s="82" t="s">
        <v>1423</v>
      </c>
      <c r="E529" s="82" t="s">
        <v>2163</v>
      </c>
      <c r="F529" s="82" t="s">
        <v>1422</v>
      </c>
      <c r="G529" s="82" t="s">
        <v>1946</v>
      </c>
      <c r="H529" s="82" t="s">
        <v>2165</v>
      </c>
      <c r="I529" s="82" t="s">
        <v>24</v>
      </c>
      <c r="J529" s="82" t="s">
        <v>2171</v>
      </c>
      <c r="K529" s="82" t="s">
        <v>2167</v>
      </c>
      <c r="L529" s="82" t="s">
        <v>1946</v>
      </c>
      <c r="M529" s="82" t="s">
        <v>2090</v>
      </c>
      <c r="N529" s="82" t="s">
        <v>1946</v>
      </c>
      <c r="O529" s="82" t="s">
        <v>2173</v>
      </c>
    </row>
    <row r="530" spans="1:15" ht="15.75" hidden="1" x14ac:dyDescent="0.25">
      <c r="A530" t="str">
        <f t="shared" si="8"/>
        <v>ALR_MAX_CORRENTE_FASE_SOGLIA_1-Allarme massima corrente di fase soglia 1</v>
      </c>
      <c r="C530" s="82" t="s">
        <v>2408</v>
      </c>
      <c r="D530" s="82" t="s">
        <v>2409</v>
      </c>
      <c r="E530" s="82" t="s">
        <v>2163</v>
      </c>
      <c r="F530" s="82" t="s">
        <v>2408</v>
      </c>
      <c r="G530" s="82" t="s">
        <v>1946</v>
      </c>
      <c r="H530" s="82" t="s">
        <v>2165</v>
      </c>
      <c r="I530" s="82" t="s">
        <v>24</v>
      </c>
      <c r="J530" s="82" t="s">
        <v>2171</v>
      </c>
      <c r="K530" s="82" t="s">
        <v>2167</v>
      </c>
      <c r="L530" s="82" t="s">
        <v>1946</v>
      </c>
      <c r="M530" s="82" t="s">
        <v>2090</v>
      </c>
      <c r="N530" s="82" t="s">
        <v>1946</v>
      </c>
      <c r="O530" s="82" t="s">
        <v>2173</v>
      </c>
    </row>
    <row r="531" spans="1:15" ht="15.75" hidden="1" x14ac:dyDescent="0.25">
      <c r="A531" t="str">
        <f t="shared" si="8"/>
        <v>ALR_MAX_CORRENTE_FASE_SOGLIA_2-Allarme massima corrente di fase soglia 2</v>
      </c>
      <c r="C531" s="82" t="s">
        <v>2410</v>
      </c>
      <c r="D531" s="82" t="s">
        <v>2411</v>
      </c>
      <c r="E531" s="82" t="s">
        <v>2163</v>
      </c>
      <c r="F531" s="82" t="s">
        <v>2410</v>
      </c>
      <c r="G531" s="82" t="s">
        <v>1946</v>
      </c>
      <c r="H531" s="82" t="s">
        <v>2165</v>
      </c>
      <c r="I531" s="82" t="s">
        <v>24</v>
      </c>
      <c r="J531" s="82" t="s">
        <v>2171</v>
      </c>
      <c r="K531" s="82" t="s">
        <v>2167</v>
      </c>
      <c r="L531" s="82" t="s">
        <v>1946</v>
      </c>
      <c r="M531" s="82" t="s">
        <v>2090</v>
      </c>
      <c r="N531" s="82" t="s">
        <v>1946</v>
      </c>
      <c r="O531" s="82" t="s">
        <v>2173</v>
      </c>
    </row>
    <row r="532" spans="1:15" ht="15.75" hidden="1" x14ac:dyDescent="0.25">
      <c r="A532" t="str">
        <f t="shared" si="8"/>
        <v>ALR_MAX_CORRENTE_FASE_SOGLIA_3-Allarme massima corrente di fase soglia 3</v>
      </c>
      <c r="C532" s="82" t="s">
        <v>2412</v>
      </c>
      <c r="D532" s="82" t="s">
        <v>2413</v>
      </c>
      <c r="E532" s="82" t="s">
        <v>2163</v>
      </c>
      <c r="F532" s="82" t="s">
        <v>2412</v>
      </c>
      <c r="G532" s="82" t="s">
        <v>1946</v>
      </c>
      <c r="H532" s="82" t="s">
        <v>2165</v>
      </c>
      <c r="I532" s="82" t="s">
        <v>24</v>
      </c>
      <c r="J532" s="82" t="s">
        <v>2171</v>
      </c>
      <c r="K532" s="82" t="s">
        <v>2167</v>
      </c>
      <c r="L532" s="82" t="s">
        <v>1946</v>
      </c>
      <c r="M532" s="82" t="s">
        <v>2090</v>
      </c>
      <c r="N532" s="82" t="s">
        <v>1946</v>
      </c>
      <c r="O532" s="82" t="s">
        <v>2173</v>
      </c>
    </row>
    <row r="533" spans="1:15" ht="15.75" hidden="1" x14ac:dyDescent="0.25">
      <c r="A533" t="str">
        <f t="shared" si="8"/>
        <v>ALR_MAX_CORRENTE_FASE_SOGLIA_4-Allarme massima corrente di fase soglia 4</v>
      </c>
      <c r="C533" s="82" t="s">
        <v>2414</v>
      </c>
      <c r="D533" s="82" t="s">
        <v>2415</v>
      </c>
      <c r="E533" s="82" t="s">
        <v>2163</v>
      </c>
      <c r="F533" s="82" t="s">
        <v>2414</v>
      </c>
      <c r="G533" s="82" t="s">
        <v>1946</v>
      </c>
      <c r="H533" s="82" t="s">
        <v>2165</v>
      </c>
      <c r="I533" s="82" t="s">
        <v>24</v>
      </c>
      <c r="J533" s="82" t="s">
        <v>2171</v>
      </c>
      <c r="K533" s="82" t="s">
        <v>2167</v>
      </c>
      <c r="L533" s="82" t="s">
        <v>1946</v>
      </c>
      <c r="M533" s="82" t="s">
        <v>2090</v>
      </c>
      <c r="N533" s="82" t="s">
        <v>1946</v>
      </c>
      <c r="O533" s="82" t="s">
        <v>2173</v>
      </c>
    </row>
    <row r="534" spans="1:15" ht="15.75" hidden="1" x14ac:dyDescent="0.25">
      <c r="A534" t="str">
        <f t="shared" si="8"/>
        <v>ALR_MAX_CORRENTE_INVERSA_SOGLIA_1-Allarme massima corrente inversa soglia 1</v>
      </c>
      <c r="C534" s="82" t="s">
        <v>2416</v>
      </c>
      <c r="D534" s="82" t="s">
        <v>2417</v>
      </c>
      <c r="E534" s="82" t="s">
        <v>2163</v>
      </c>
      <c r="F534" s="82" t="s">
        <v>2416</v>
      </c>
      <c r="G534" s="82" t="s">
        <v>1946</v>
      </c>
      <c r="H534" s="82" t="s">
        <v>2165</v>
      </c>
      <c r="I534" s="82" t="s">
        <v>24</v>
      </c>
      <c r="J534" s="82" t="s">
        <v>2171</v>
      </c>
      <c r="K534" s="82" t="s">
        <v>2167</v>
      </c>
      <c r="L534" s="82" t="s">
        <v>1946</v>
      </c>
      <c r="M534" s="82" t="s">
        <v>2090</v>
      </c>
      <c r="N534" s="82" t="s">
        <v>1946</v>
      </c>
      <c r="O534" s="82" t="s">
        <v>2173</v>
      </c>
    </row>
    <row r="535" spans="1:15" ht="15.75" hidden="1" x14ac:dyDescent="0.25">
      <c r="A535" t="str">
        <f t="shared" si="8"/>
        <v>ALR_MAX_CORRENTE_INVERSA_SOGLIA_2-Allarme massima corrente inversa soglia 2</v>
      </c>
      <c r="C535" s="82" t="s">
        <v>2418</v>
      </c>
      <c r="D535" s="82" t="s">
        <v>2419</v>
      </c>
      <c r="E535" s="82" t="s">
        <v>2163</v>
      </c>
      <c r="F535" s="82" t="s">
        <v>2418</v>
      </c>
      <c r="G535" s="82" t="s">
        <v>1946</v>
      </c>
      <c r="H535" s="82" t="s">
        <v>2165</v>
      </c>
      <c r="I535" s="82" t="s">
        <v>24</v>
      </c>
      <c r="J535" s="82" t="s">
        <v>2171</v>
      </c>
      <c r="K535" s="82" t="s">
        <v>2167</v>
      </c>
      <c r="L535" s="82" t="s">
        <v>1946</v>
      </c>
      <c r="M535" s="82" t="s">
        <v>2090</v>
      </c>
      <c r="N535" s="82" t="s">
        <v>1946</v>
      </c>
      <c r="O535" s="82" t="s">
        <v>2173</v>
      </c>
    </row>
    <row r="536" spans="1:15" ht="15.75" hidden="1" x14ac:dyDescent="0.25">
      <c r="A536" t="str">
        <f t="shared" si="8"/>
        <v>ALR_MAX_CORRENTE_TERRA_SOGLIA_1-Allarme massima corrente di terra soglia 1</v>
      </c>
      <c r="C536" s="82" t="s">
        <v>2420</v>
      </c>
      <c r="D536" s="82" t="s">
        <v>2421</v>
      </c>
      <c r="E536" s="82" t="s">
        <v>2163</v>
      </c>
      <c r="F536" s="82" t="s">
        <v>2420</v>
      </c>
      <c r="G536" s="82" t="s">
        <v>1946</v>
      </c>
      <c r="H536" s="82" t="s">
        <v>2165</v>
      </c>
      <c r="I536" s="82" t="s">
        <v>24</v>
      </c>
      <c r="J536" s="82" t="s">
        <v>2171</v>
      </c>
      <c r="K536" s="82" t="s">
        <v>2167</v>
      </c>
      <c r="L536" s="82" t="s">
        <v>1946</v>
      </c>
      <c r="M536" s="82" t="s">
        <v>2090</v>
      </c>
      <c r="N536" s="82" t="s">
        <v>1946</v>
      </c>
      <c r="O536" s="82" t="s">
        <v>2173</v>
      </c>
    </row>
    <row r="537" spans="1:15" ht="15.75" hidden="1" x14ac:dyDescent="0.25">
      <c r="A537" t="str">
        <f t="shared" si="8"/>
        <v>ALR_MAX_CORRENTE_TERRA_SOGLIA_2-Allarme massima corrente di terra soglia 2</v>
      </c>
      <c r="C537" s="82" t="s">
        <v>2422</v>
      </c>
      <c r="D537" s="82" t="s">
        <v>2423</v>
      </c>
      <c r="E537" s="82" t="s">
        <v>2163</v>
      </c>
      <c r="F537" s="82" t="s">
        <v>2422</v>
      </c>
      <c r="G537" s="82" t="s">
        <v>1946</v>
      </c>
      <c r="H537" s="82" t="s">
        <v>2165</v>
      </c>
      <c r="I537" s="82" t="s">
        <v>24</v>
      </c>
      <c r="J537" s="82" t="s">
        <v>2171</v>
      </c>
      <c r="K537" s="82" t="s">
        <v>2167</v>
      </c>
      <c r="L537" s="82" t="s">
        <v>1946</v>
      </c>
      <c r="M537" s="82" t="s">
        <v>2090</v>
      </c>
      <c r="N537" s="82" t="s">
        <v>1946</v>
      </c>
      <c r="O537" s="82" t="s">
        <v>2173</v>
      </c>
    </row>
    <row r="538" spans="1:15" ht="15.75" hidden="1" x14ac:dyDescent="0.25">
      <c r="A538" t="str">
        <f t="shared" si="8"/>
        <v>ALR_MAX_CORRENTE_TERRA_SOGLIA_3-Allarme massima corrente di terra soglia 3</v>
      </c>
      <c r="C538" s="82" t="s">
        <v>2424</v>
      </c>
      <c r="D538" s="82" t="s">
        <v>2425</v>
      </c>
      <c r="E538" s="82" t="s">
        <v>2163</v>
      </c>
      <c r="F538" s="82" t="s">
        <v>2424</v>
      </c>
      <c r="G538" s="82" t="s">
        <v>1946</v>
      </c>
      <c r="H538" s="82" t="s">
        <v>2165</v>
      </c>
      <c r="I538" s="82" t="s">
        <v>24</v>
      </c>
      <c r="J538" s="82" t="s">
        <v>2171</v>
      </c>
      <c r="K538" s="82" t="s">
        <v>2167</v>
      </c>
      <c r="L538" s="82" t="s">
        <v>1946</v>
      </c>
      <c r="M538" s="82" t="s">
        <v>2090</v>
      </c>
      <c r="N538" s="82" t="s">
        <v>1946</v>
      </c>
      <c r="O538" s="82" t="s">
        <v>2173</v>
      </c>
    </row>
    <row r="539" spans="1:15" ht="15.75" hidden="1" x14ac:dyDescent="0.25">
      <c r="A539" t="str">
        <f t="shared" si="8"/>
        <v>ALR_MAX_CORRENTE_TERRA_SOGLIA_4-Allarme massima corrente di terra soglia 4</v>
      </c>
      <c r="C539" s="82" t="s">
        <v>2426</v>
      </c>
      <c r="D539" s="82" t="s">
        <v>2427</v>
      </c>
      <c r="E539" s="82" t="s">
        <v>2163</v>
      </c>
      <c r="F539" s="82" t="s">
        <v>2426</v>
      </c>
      <c r="G539" s="82" t="s">
        <v>1946</v>
      </c>
      <c r="H539" s="82" t="s">
        <v>2165</v>
      </c>
      <c r="I539" s="82" t="s">
        <v>24</v>
      </c>
      <c r="J539" s="82" t="s">
        <v>2171</v>
      </c>
      <c r="K539" s="82" t="s">
        <v>2167</v>
      </c>
      <c r="L539" s="82" t="s">
        <v>1946</v>
      </c>
      <c r="M539" s="82" t="s">
        <v>2090</v>
      </c>
      <c r="N539" s="82" t="s">
        <v>1946</v>
      </c>
      <c r="O539" s="82" t="s">
        <v>2173</v>
      </c>
    </row>
    <row r="540" spans="1:15" ht="15.75" hidden="1" x14ac:dyDescent="0.25">
      <c r="A540" t="str">
        <f t="shared" si="8"/>
        <v>ALR_MAX_FREQUENZA_FASE_SOGLIA_1-Allarme massima frequenza di fase soglia 1</v>
      </c>
      <c r="C540" s="82" t="s">
        <v>2428</v>
      </c>
      <c r="D540" s="82" t="s">
        <v>2429</v>
      </c>
      <c r="E540" s="82" t="s">
        <v>2163</v>
      </c>
      <c r="F540" s="82" t="s">
        <v>2428</v>
      </c>
      <c r="G540" s="82" t="s">
        <v>1946</v>
      </c>
      <c r="H540" s="82" t="s">
        <v>2165</v>
      </c>
      <c r="I540" s="82" t="s">
        <v>24</v>
      </c>
      <c r="J540" s="82" t="s">
        <v>2171</v>
      </c>
      <c r="K540" s="82" t="s">
        <v>2167</v>
      </c>
      <c r="L540" s="82" t="s">
        <v>1946</v>
      </c>
      <c r="M540" s="82" t="s">
        <v>2090</v>
      </c>
      <c r="N540" s="82" t="s">
        <v>1946</v>
      </c>
      <c r="O540" s="82" t="s">
        <v>2173</v>
      </c>
    </row>
    <row r="541" spans="1:15" ht="15.75" hidden="1" x14ac:dyDescent="0.25">
      <c r="A541" t="str">
        <f t="shared" si="8"/>
        <v>ALR_MAX_FREQUENZA_FASE_SOGLIA_2-Allarme massima frequenza di fase soglia 2</v>
      </c>
      <c r="C541" s="82" t="s">
        <v>2430</v>
      </c>
      <c r="D541" s="82" t="s">
        <v>2431</v>
      </c>
      <c r="E541" s="82" t="s">
        <v>2163</v>
      </c>
      <c r="F541" s="82" t="s">
        <v>2430</v>
      </c>
      <c r="G541" s="82" t="s">
        <v>1946</v>
      </c>
      <c r="H541" s="82" t="s">
        <v>2165</v>
      </c>
      <c r="I541" s="82" t="s">
        <v>24</v>
      </c>
      <c r="J541" s="82" t="s">
        <v>2171</v>
      </c>
      <c r="K541" s="82" t="s">
        <v>2167</v>
      </c>
      <c r="L541" s="82" t="s">
        <v>1946</v>
      </c>
      <c r="M541" s="82" t="s">
        <v>2090</v>
      </c>
      <c r="N541" s="82" t="s">
        <v>1946</v>
      </c>
      <c r="O541" s="82" t="s">
        <v>2173</v>
      </c>
    </row>
    <row r="542" spans="1:15" ht="15.75" hidden="1" x14ac:dyDescent="0.25">
      <c r="A542" t="str">
        <f t="shared" si="8"/>
        <v>ALR_MAX_INCLINAZIONE_IN_ESTRAZIONE-Allarme inclinazione in estrazione</v>
      </c>
      <c r="C542" s="82" t="s">
        <v>2432</v>
      </c>
      <c r="D542" s="82" t="s">
        <v>2433</v>
      </c>
      <c r="E542" s="82" t="s">
        <v>2163</v>
      </c>
      <c r="F542" s="82" t="s">
        <v>2432</v>
      </c>
      <c r="G542" s="82" t="s">
        <v>1946</v>
      </c>
      <c r="H542" s="82" t="s">
        <v>2165</v>
      </c>
      <c r="I542" s="82" t="s">
        <v>24</v>
      </c>
      <c r="J542" s="82" t="s">
        <v>2171</v>
      </c>
      <c r="K542" s="82" t="s">
        <v>2167</v>
      </c>
      <c r="L542" s="82" t="s">
        <v>1946</v>
      </c>
      <c r="M542" s="82" t="s">
        <v>2090</v>
      </c>
      <c r="N542" s="82" t="s">
        <v>1946</v>
      </c>
      <c r="O542" s="82" t="s">
        <v>2173</v>
      </c>
    </row>
    <row r="543" spans="1:15" ht="15.75" hidden="1" x14ac:dyDescent="0.25">
      <c r="A543" t="str">
        <f t="shared" si="8"/>
        <v>ALR_MAX_INCLINAZIONE_IN_IMMISSIONE-Allarme inclinazione in imissione</v>
      </c>
      <c r="C543" s="82" t="s">
        <v>2434</v>
      </c>
      <c r="D543" s="82" t="s">
        <v>2435</v>
      </c>
      <c r="E543" s="82" t="s">
        <v>2163</v>
      </c>
      <c r="F543" s="82" t="s">
        <v>2434</v>
      </c>
      <c r="G543" s="82" t="s">
        <v>1946</v>
      </c>
      <c r="H543" s="82" t="s">
        <v>2165</v>
      </c>
      <c r="I543" s="82" t="s">
        <v>24</v>
      </c>
      <c r="J543" s="82" t="s">
        <v>2171</v>
      </c>
      <c r="K543" s="82" t="s">
        <v>2167</v>
      </c>
      <c r="L543" s="82" t="s">
        <v>1946</v>
      </c>
      <c r="M543" s="82" t="s">
        <v>2090</v>
      </c>
      <c r="N543" s="82" t="s">
        <v>1946</v>
      </c>
      <c r="O543" s="82" t="s">
        <v>2173</v>
      </c>
    </row>
    <row r="544" spans="1:15" ht="15.75" hidden="1" x14ac:dyDescent="0.25">
      <c r="A544" t="str">
        <f t="shared" si="8"/>
        <v>ALR_MAX_TENSIONE-Allarme massima tensione</v>
      </c>
      <c r="C544" s="82" t="s">
        <v>1424</v>
      </c>
      <c r="D544" s="82" t="s">
        <v>1425</v>
      </c>
      <c r="E544" s="82" t="s">
        <v>2163</v>
      </c>
      <c r="F544" s="82" t="s">
        <v>1424</v>
      </c>
      <c r="G544" s="82" t="s">
        <v>1946</v>
      </c>
      <c r="H544" s="82" t="s">
        <v>2165</v>
      </c>
      <c r="I544" s="82" t="s">
        <v>24</v>
      </c>
      <c r="J544" s="82" t="s">
        <v>2171</v>
      </c>
      <c r="K544" s="82" t="s">
        <v>2167</v>
      </c>
      <c r="L544" s="82" t="s">
        <v>1946</v>
      </c>
      <c r="M544" s="82" t="s">
        <v>2090</v>
      </c>
      <c r="N544" s="82" t="s">
        <v>1946</v>
      </c>
      <c r="O544" s="82" t="s">
        <v>2173</v>
      </c>
    </row>
    <row r="545" spans="1:15" ht="15.75" hidden="1" x14ac:dyDescent="0.25">
      <c r="A545" t="str">
        <f t="shared" si="8"/>
        <v>ALR_MAX_TENSIONE_CONCATENATA_FASE_SOGLIA_1-Allarme massima tensione concatenata di fase soglia 1</v>
      </c>
      <c r="C545" s="82" t="s">
        <v>2436</v>
      </c>
      <c r="D545" s="82" t="s">
        <v>2437</v>
      </c>
      <c r="E545" s="82" t="s">
        <v>2163</v>
      </c>
      <c r="F545" s="82" t="s">
        <v>2436</v>
      </c>
      <c r="G545" s="82" t="s">
        <v>1946</v>
      </c>
      <c r="H545" s="82" t="s">
        <v>2165</v>
      </c>
      <c r="I545" s="82" t="s">
        <v>24</v>
      </c>
      <c r="J545" s="82" t="s">
        <v>2171</v>
      </c>
      <c r="K545" s="82" t="s">
        <v>2167</v>
      </c>
      <c r="L545" s="82" t="s">
        <v>1946</v>
      </c>
      <c r="M545" s="82" t="s">
        <v>2090</v>
      </c>
      <c r="N545" s="82" t="s">
        <v>1946</v>
      </c>
      <c r="O545" s="82" t="s">
        <v>2173</v>
      </c>
    </row>
    <row r="546" spans="1:15" ht="15.75" hidden="1" x14ac:dyDescent="0.25">
      <c r="A546" t="str">
        <f t="shared" si="8"/>
        <v>ALR_MAX_TENSIONE_CONCATENATA_FASE_SOGLIA_2-Allarme massima tensione concatenata di fase soglia 2</v>
      </c>
      <c r="C546" s="82" t="s">
        <v>2438</v>
      </c>
      <c r="D546" s="82" t="s">
        <v>2439</v>
      </c>
      <c r="E546" s="82" t="s">
        <v>2163</v>
      </c>
      <c r="F546" s="82" t="s">
        <v>2438</v>
      </c>
      <c r="G546" s="82" t="s">
        <v>1946</v>
      </c>
      <c r="H546" s="82" t="s">
        <v>2165</v>
      </c>
      <c r="I546" s="82" t="s">
        <v>24</v>
      </c>
      <c r="J546" s="82" t="s">
        <v>2171</v>
      </c>
      <c r="K546" s="82" t="s">
        <v>2167</v>
      </c>
      <c r="L546" s="82" t="s">
        <v>1946</v>
      </c>
      <c r="M546" s="82" t="s">
        <v>2090</v>
      </c>
      <c r="N546" s="82" t="s">
        <v>1946</v>
      </c>
      <c r="O546" s="82" t="s">
        <v>2173</v>
      </c>
    </row>
    <row r="547" spans="1:15" ht="15.75" hidden="1" x14ac:dyDescent="0.25">
      <c r="A547" t="str">
        <f t="shared" si="8"/>
        <v>ALR_MAX_TENSIONE_INVERSA-Allarme massima tensione inversa</v>
      </c>
      <c r="C547" s="82" t="s">
        <v>2440</v>
      </c>
      <c r="D547" s="82" t="s">
        <v>2441</v>
      </c>
      <c r="E547" s="82" t="s">
        <v>2163</v>
      </c>
      <c r="F547" s="82" t="s">
        <v>2440</v>
      </c>
      <c r="G547" s="82" t="s">
        <v>1946</v>
      </c>
      <c r="H547" s="82" t="s">
        <v>2165</v>
      </c>
      <c r="I547" s="82" t="s">
        <v>24</v>
      </c>
      <c r="J547" s="82" t="s">
        <v>2171</v>
      </c>
      <c r="K547" s="82" t="s">
        <v>2167</v>
      </c>
      <c r="L547" s="82" t="s">
        <v>1946</v>
      </c>
      <c r="M547" s="82" t="s">
        <v>2090</v>
      </c>
      <c r="N547" s="82" t="s">
        <v>1946</v>
      </c>
      <c r="O547" s="82" t="s">
        <v>2173</v>
      </c>
    </row>
    <row r="548" spans="1:15" ht="15.75" hidden="1" x14ac:dyDescent="0.25">
      <c r="A548" t="str">
        <f t="shared" si="8"/>
        <v>ALR_MAX_TENSIONE_RESIDUA_FASE_SOGLIA_1-Allarme massima tensione residua di fase soglia 1</v>
      </c>
      <c r="C548" s="82" t="s">
        <v>2442</v>
      </c>
      <c r="D548" s="82" t="s">
        <v>2443</v>
      </c>
      <c r="E548" s="82" t="s">
        <v>2163</v>
      </c>
      <c r="F548" s="82" t="s">
        <v>2442</v>
      </c>
      <c r="G548" s="82" t="s">
        <v>1946</v>
      </c>
      <c r="H548" s="82" t="s">
        <v>2165</v>
      </c>
      <c r="I548" s="82" t="s">
        <v>24</v>
      </c>
      <c r="J548" s="82" t="s">
        <v>2171</v>
      </c>
      <c r="K548" s="82" t="s">
        <v>2167</v>
      </c>
      <c r="L548" s="82" t="s">
        <v>1946</v>
      </c>
      <c r="M548" s="82" t="s">
        <v>2090</v>
      </c>
      <c r="N548" s="82" t="s">
        <v>1946</v>
      </c>
      <c r="O548" s="82" t="s">
        <v>2173</v>
      </c>
    </row>
    <row r="549" spans="1:15" ht="15.75" hidden="1" x14ac:dyDescent="0.25">
      <c r="A549" t="str">
        <f t="shared" si="8"/>
        <v>ALR_MAX_TENSIONE_RESIDUA_FASE_SOGLIA_2-Allarme massima tensione residua di fase soglia 2</v>
      </c>
      <c r="C549" s="82" t="s">
        <v>2444</v>
      </c>
      <c r="D549" s="82" t="s">
        <v>2445</v>
      </c>
      <c r="E549" s="82" t="s">
        <v>2163</v>
      </c>
      <c r="F549" s="82" t="s">
        <v>2444</v>
      </c>
      <c r="G549" s="82" t="s">
        <v>1946</v>
      </c>
      <c r="H549" s="82" t="s">
        <v>2165</v>
      </c>
      <c r="I549" s="82" t="s">
        <v>24</v>
      </c>
      <c r="J549" s="82" t="s">
        <v>2171</v>
      </c>
      <c r="K549" s="82" t="s">
        <v>2167</v>
      </c>
      <c r="L549" s="82" t="s">
        <v>1946</v>
      </c>
      <c r="M549" s="82" t="s">
        <v>2090</v>
      </c>
      <c r="N549" s="82" t="s">
        <v>1946</v>
      </c>
      <c r="O549" s="82" t="s">
        <v>2173</v>
      </c>
    </row>
    <row r="550" spans="1:15" ht="15.75" hidden="1" x14ac:dyDescent="0.25">
      <c r="A550" t="str">
        <f t="shared" si="8"/>
        <v>ALR_MEMORIA-Allarme memoria</v>
      </c>
      <c r="C550" s="82" t="s">
        <v>1426</v>
      </c>
      <c r="D550" s="82" t="s">
        <v>1427</v>
      </c>
      <c r="E550" s="82" t="s">
        <v>2163</v>
      </c>
      <c r="F550" s="82" t="s">
        <v>1426</v>
      </c>
      <c r="G550" s="82" t="s">
        <v>1946</v>
      </c>
      <c r="H550" s="82" t="s">
        <v>2165</v>
      </c>
      <c r="I550" s="82" t="s">
        <v>24</v>
      </c>
      <c r="J550" s="82" t="s">
        <v>2171</v>
      </c>
      <c r="K550" s="82" t="s">
        <v>2167</v>
      </c>
      <c r="L550" s="82" t="s">
        <v>1946</v>
      </c>
      <c r="M550" s="82" t="s">
        <v>2090</v>
      </c>
      <c r="N550" s="82" t="s">
        <v>1946</v>
      </c>
      <c r="O550" s="82" t="s">
        <v>2173</v>
      </c>
    </row>
    <row r="551" spans="1:15" ht="15.75" hidden="1" x14ac:dyDescent="0.25">
      <c r="A551" t="str">
        <f t="shared" si="8"/>
        <v>ALR_MEMORIA_113-Allarme memoria 113</v>
      </c>
      <c r="C551" s="82" t="s">
        <v>1428</v>
      </c>
      <c r="D551" s="82" t="s">
        <v>1429</v>
      </c>
      <c r="E551" s="82" t="s">
        <v>2163</v>
      </c>
      <c r="F551" s="82" t="s">
        <v>1428</v>
      </c>
      <c r="G551" s="82" t="s">
        <v>1946</v>
      </c>
      <c r="H551" s="82" t="s">
        <v>2165</v>
      </c>
      <c r="I551" s="82" t="s">
        <v>24</v>
      </c>
      <c r="J551" s="82" t="s">
        <v>2171</v>
      </c>
      <c r="K551" s="82" t="s">
        <v>2167</v>
      </c>
      <c r="L551" s="82" t="s">
        <v>1946</v>
      </c>
      <c r="M551" s="82" t="s">
        <v>2090</v>
      </c>
      <c r="N551" s="82" t="s">
        <v>1946</v>
      </c>
      <c r="O551" s="82" t="s">
        <v>2173</v>
      </c>
    </row>
    <row r="552" spans="1:15" ht="15.75" hidden="1" x14ac:dyDescent="0.25">
      <c r="A552" t="str">
        <f t="shared" si="8"/>
        <v>ALR_MEMORIA_115-Allarme memoria 115</v>
      </c>
      <c r="C552" s="82" t="s">
        <v>1430</v>
      </c>
      <c r="D552" s="82" t="s">
        <v>1431</v>
      </c>
      <c r="E552" s="82" t="s">
        <v>2163</v>
      </c>
      <c r="F552" s="82" t="s">
        <v>1430</v>
      </c>
      <c r="G552" s="82" t="s">
        <v>1946</v>
      </c>
      <c r="H552" s="82" t="s">
        <v>2165</v>
      </c>
      <c r="I552" s="82" t="s">
        <v>24</v>
      </c>
      <c r="J552" s="82" t="s">
        <v>2171</v>
      </c>
      <c r="K552" s="82" t="s">
        <v>2167</v>
      </c>
      <c r="L552" s="82" t="s">
        <v>1946</v>
      </c>
      <c r="M552" s="82" t="s">
        <v>2090</v>
      </c>
      <c r="N552" s="82" t="s">
        <v>1946</v>
      </c>
      <c r="O552" s="82" t="s">
        <v>2173</v>
      </c>
    </row>
    <row r="553" spans="1:15" ht="15.75" hidden="1" x14ac:dyDescent="0.25">
      <c r="A553" t="str">
        <f t="shared" si="8"/>
        <v>ALR_MEMORIA_118-Allarme memoria 118</v>
      </c>
      <c r="C553" s="82" t="s">
        <v>1432</v>
      </c>
      <c r="D553" s="82" t="s">
        <v>1433</v>
      </c>
      <c r="E553" s="82" t="s">
        <v>2163</v>
      </c>
      <c r="F553" s="82" t="s">
        <v>1432</v>
      </c>
      <c r="G553" s="82" t="s">
        <v>1946</v>
      </c>
      <c r="H553" s="82" t="s">
        <v>2165</v>
      </c>
      <c r="I553" s="82" t="s">
        <v>24</v>
      </c>
      <c r="J553" s="82" t="s">
        <v>2171</v>
      </c>
      <c r="K553" s="82" t="s">
        <v>2167</v>
      </c>
      <c r="L553" s="82" t="s">
        <v>1946</v>
      </c>
      <c r="M553" s="82" t="s">
        <v>2090</v>
      </c>
      <c r="N553" s="82" t="s">
        <v>1946</v>
      </c>
      <c r="O553" s="82" t="s">
        <v>2173</v>
      </c>
    </row>
    <row r="554" spans="1:15" ht="15.75" hidden="1" x14ac:dyDescent="0.25">
      <c r="A554" t="str">
        <f t="shared" si="8"/>
        <v>ALR_MEMORIA_803116-Allarme memoria SOS soccorso meccanico</v>
      </c>
      <c r="C554" s="82" t="s">
        <v>1434</v>
      </c>
      <c r="D554" s="82" t="s">
        <v>1435</v>
      </c>
      <c r="E554" s="82" t="s">
        <v>2163</v>
      </c>
      <c r="F554" s="82" t="s">
        <v>1434</v>
      </c>
      <c r="G554" s="82" t="s">
        <v>1946</v>
      </c>
      <c r="H554" s="82" t="s">
        <v>2165</v>
      </c>
      <c r="I554" s="82" t="s">
        <v>24</v>
      </c>
      <c r="J554" s="82" t="s">
        <v>2171</v>
      </c>
      <c r="K554" s="82" t="s">
        <v>2167</v>
      </c>
      <c r="L554" s="82" t="s">
        <v>1946</v>
      </c>
      <c r="M554" s="82" t="s">
        <v>2090</v>
      </c>
      <c r="N554" s="82" t="s">
        <v>1946</v>
      </c>
      <c r="O554" s="82" t="s">
        <v>2173</v>
      </c>
    </row>
    <row r="555" spans="1:15" ht="15.75" hidden="1" x14ac:dyDescent="0.25">
      <c r="A555" t="str">
        <f t="shared" si="8"/>
        <v>ALR_MEMORIA_CO-Allarme memoria CO</v>
      </c>
      <c r="C555" s="82" t="s">
        <v>1436</v>
      </c>
      <c r="D555" s="82" t="s">
        <v>1437</v>
      </c>
      <c r="E555" s="82" t="s">
        <v>2163</v>
      </c>
      <c r="F555" s="82" t="s">
        <v>1436</v>
      </c>
      <c r="G555" s="82" t="s">
        <v>1946</v>
      </c>
      <c r="H555" s="82" t="s">
        <v>2165</v>
      </c>
      <c r="I555" s="82" t="s">
        <v>24</v>
      </c>
      <c r="J555" s="82" t="s">
        <v>2171</v>
      </c>
      <c r="K555" s="82" t="s">
        <v>2167</v>
      </c>
      <c r="L555" s="82" t="s">
        <v>1946</v>
      </c>
      <c r="M555" s="82" t="s">
        <v>2090</v>
      </c>
      <c r="N555" s="82" t="s">
        <v>1946</v>
      </c>
      <c r="O555" s="82" t="s">
        <v>2173</v>
      </c>
    </row>
    <row r="556" spans="1:15" ht="15.75" hidden="1" x14ac:dyDescent="0.25">
      <c r="A556" t="str">
        <f t="shared" si="8"/>
        <v>ALR_MEMORIA_ESTINTORE_2_ESTRATTO-Allarme memoria estintore 2 estratto</v>
      </c>
      <c r="C556" s="82" t="s">
        <v>1439</v>
      </c>
      <c r="D556" s="82" t="s">
        <v>1440</v>
      </c>
      <c r="E556" s="82" t="s">
        <v>2163</v>
      </c>
      <c r="F556" s="82" t="s">
        <v>1439</v>
      </c>
      <c r="G556" s="82" t="s">
        <v>1946</v>
      </c>
      <c r="H556" s="82" t="s">
        <v>2165</v>
      </c>
      <c r="I556" s="82" t="s">
        <v>24</v>
      </c>
      <c r="J556" s="82" t="s">
        <v>2171</v>
      </c>
      <c r="K556" s="82" t="s">
        <v>2167</v>
      </c>
      <c r="L556" s="82" t="s">
        <v>1946</v>
      </c>
      <c r="M556" s="82" t="s">
        <v>2090</v>
      </c>
      <c r="N556" s="82" t="s">
        <v>1946</v>
      </c>
      <c r="O556" s="82" t="s">
        <v>2173</v>
      </c>
    </row>
    <row r="557" spans="1:15" ht="15.75" hidden="1" x14ac:dyDescent="0.25">
      <c r="A557" t="str">
        <f t="shared" si="8"/>
        <v>ALR_MEMORIA_ESTINTORE_ESTRATTO-Allarme memoria estintore estratto</v>
      </c>
      <c r="C557" s="82" t="s">
        <v>1441</v>
      </c>
      <c r="D557" s="82" t="s">
        <v>1442</v>
      </c>
      <c r="E557" s="82" t="s">
        <v>2163</v>
      </c>
      <c r="F557" s="82" t="s">
        <v>1441</v>
      </c>
      <c r="G557" s="82" t="s">
        <v>1946</v>
      </c>
      <c r="H557" s="82" t="s">
        <v>2165</v>
      </c>
      <c r="I557" s="82" t="s">
        <v>24</v>
      </c>
      <c r="J557" s="82" t="s">
        <v>2171</v>
      </c>
      <c r="K557" s="82" t="s">
        <v>2167</v>
      </c>
      <c r="L557" s="82" t="s">
        <v>1946</v>
      </c>
      <c r="M557" s="82" t="s">
        <v>2090</v>
      </c>
      <c r="N557" s="82" t="s">
        <v>1946</v>
      </c>
      <c r="O557" s="82" t="s">
        <v>2173</v>
      </c>
    </row>
    <row r="558" spans="1:15" ht="15.75" hidden="1" x14ac:dyDescent="0.25">
      <c r="A558" t="str">
        <f t="shared" si="8"/>
        <v>ALR_MEMORIA_OP-Allarme memoria OP</v>
      </c>
      <c r="C558" s="82" t="s">
        <v>1443</v>
      </c>
      <c r="D558" s="82" t="s">
        <v>1444</v>
      </c>
      <c r="E558" s="82" t="s">
        <v>2163</v>
      </c>
      <c r="F558" s="82" t="s">
        <v>1443</v>
      </c>
      <c r="G558" s="82" t="s">
        <v>1946</v>
      </c>
      <c r="H558" s="82" t="s">
        <v>2165</v>
      </c>
      <c r="I558" s="82" t="s">
        <v>24</v>
      </c>
      <c r="J558" s="82" t="s">
        <v>2171</v>
      </c>
      <c r="K558" s="82" t="s">
        <v>2167</v>
      </c>
      <c r="L558" s="82" t="s">
        <v>1946</v>
      </c>
      <c r="M558" s="82" t="s">
        <v>2090</v>
      </c>
      <c r="N558" s="82" t="s">
        <v>1946</v>
      </c>
      <c r="O558" s="82" t="s">
        <v>2173</v>
      </c>
    </row>
    <row r="559" spans="1:15" ht="15.75" hidden="1" x14ac:dyDescent="0.25">
      <c r="A559" t="str">
        <f t="shared" si="8"/>
        <v>ALR_MEMORIA_PORTA_MANICHETTA-Allarme memoria porta manichetta aperta</v>
      </c>
      <c r="C559" s="82" t="s">
        <v>1446</v>
      </c>
      <c r="D559" s="82" t="s">
        <v>1447</v>
      </c>
      <c r="E559" s="82" t="s">
        <v>2163</v>
      </c>
      <c r="F559" s="82" t="s">
        <v>1446</v>
      </c>
      <c r="G559" s="82" t="s">
        <v>1946</v>
      </c>
      <c r="H559" s="82" t="s">
        <v>2165</v>
      </c>
      <c r="I559" s="82" t="s">
        <v>24</v>
      </c>
      <c r="J559" s="82" t="s">
        <v>2171</v>
      </c>
      <c r="K559" s="82" t="s">
        <v>2167</v>
      </c>
      <c r="L559" s="82" t="s">
        <v>1946</v>
      </c>
      <c r="M559" s="82" t="s">
        <v>2090</v>
      </c>
      <c r="N559" s="82" t="s">
        <v>1946</v>
      </c>
      <c r="O559" s="82" t="s">
        <v>2173</v>
      </c>
    </row>
    <row r="560" spans="1:15" ht="15.75" hidden="1" x14ac:dyDescent="0.25">
      <c r="A560" t="str">
        <f t="shared" si="8"/>
        <v>ALR_MEMORIA_PULSANTE_CHIAMATA_SOS-Allarme memoria pulsante chiamata sos</v>
      </c>
      <c r="C560" s="82" t="s">
        <v>1448</v>
      </c>
      <c r="D560" s="82" t="s">
        <v>1449</v>
      </c>
      <c r="E560" s="82" t="s">
        <v>2163</v>
      </c>
      <c r="F560" s="82" t="s">
        <v>1448</v>
      </c>
      <c r="G560" s="82" t="s">
        <v>1946</v>
      </c>
      <c r="H560" s="82" t="s">
        <v>2165</v>
      </c>
      <c r="I560" s="82" t="s">
        <v>24</v>
      </c>
      <c r="J560" s="82" t="s">
        <v>2171</v>
      </c>
      <c r="K560" s="82" t="s">
        <v>2167</v>
      </c>
      <c r="L560" s="82" t="s">
        <v>1946</v>
      </c>
      <c r="M560" s="82" t="s">
        <v>2090</v>
      </c>
      <c r="N560" s="82" t="s">
        <v>1946</v>
      </c>
      <c r="O560" s="82" t="s">
        <v>2173</v>
      </c>
    </row>
    <row r="561" spans="1:15" ht="15.75" hidden="1" x14ac:dyDescent="0.25">
      <c r="A561" t="str">
        <f t="shared" si="8"/>
        <v>ALR_MEMORIA_VIBRAZIONE_1-Chiusura Allarme memoria vibrazione 1</v>
      </c>
      <c r="C561" s="82" t="s">
        <v>2446</v>
      </c>
      <c r="D561" s="82" t="s">
        <v>2447</v>
      </c>
      <c r="E561" s="82" t="s">
        <v>2163</v>
      </c>
      <c r="F561" s="82" t="s">
        <v>2446</v>
      </c>
      <c r="G561" s="82" t="s">
        <v>1946</v>
      </c>
      <c r="H561" s="82" t="s">
        <v>2165</v>
      </c>
      <c r="I561" s="82" t="s">
        <v>24</v>
      </c>
      <c r="J561" s="82" t="s">
        <v>2171</v>
      </c>
      <c r="K561" s="82" t="s">
        <v>2167</v>
      </c>
      <c r="L561" s="82" t="s">
        <v>1946</v>
      </c>
      <c r="M561" s="82" t="s">
        <v>2090</v>
      </c>
      <c r="N561" s="82" t="s">
        <v>1946</v>
      </c>
      <c r="O561" s="82" t="s">
        <v>2173</v>
      </c>
    </row>
    <row r="562" spans="1:15" ht="15.75" hidden="1" x14ac:dyDescent="0.25">
      <c r="A562" t="str">
        <f t="shared" si="8"/>
        <v>ALR_MEMORIA_VIBRAZIONE_1_S1-Chiusura Allarme memoria vibrazione</v>
      </c>
      <c r="C562" s="82" t="s">
        <v>2448</v>
      </c>
      <c r="D562" s="82" t="s">
        <v>2449</v>
      </c>
      <c r="E562" s="82" t="s">
        <v>2163</v>
      </c>
      <c r="F562" s="82" t="s">
        <v>2448</v>
      </c>
      <c r="G562" s="82" t="s">
        <v>1946</v>
      </c>
      <c r="H562" s="82" t="s">
        <v>2165</v>
      </c>
      <c r="I562" s="82" t="s">
        <v>24</v>
      </c>
      <c r="J562" s="82" t="s">
        <v>2171</v>
      </c>
      <c r="K562" s="82" t="s">
        <v>2167</v>
      </c>
      <c r="L562" s="82" t="s">
        <v>1946</v>
      </c>
      <c r="M562" s="82" t="s">
        <v>2090</v>
      </c>
      <c r="N562" s="82" t="s">
        <v>1946</v>
      </c>
      <c r="O562" s="82" t="s">
        <v>2173</v>
      </c>
    </row>
    <row r="563" spans="1:15" ht="15.75" hidden="1" x14ac:dyDescent="0.25">
      <c r="A563" t="str">
        <f t="shared" si="8"/>
        <v>ALR_MEMORIA_VIBRAZIONE_1_S2-Chiusura Allarme memoria vibrazione</v>
      </c>
      <c r="C563" s="82" t="s">
        <v>2450</v>
      </c>
      <c r="D563" s="82" t="s">
        <v>2449</v>
      </c>
      <c r="E563" s="82" t="s">
        <v>2163</v>
      </c>
      <c r="F563" s="82" t="s">
        <v>2450</v>
      </c>
      <c r="G563" s="82" t="s">
        <v>1946</v>
      </c>
      <c r="H563" s="82" t="s">
        <v>2165</v>
      </c>
      <c r="I563" s="82" t="s">
        <v>24</v>
      </c>
      <c r="J563" s="82" t="s">
        <v>2171</v>
      </c>
      <c r="K563" s="82" t="s">
        <v>2167</v>
      </c>
      <c r="L563" s="82" t="s">
        <v>1946</v>
      </c>
      <c r="M563" s="82" t="s">
        <v>2090</v>
      </c>
      <c r="N563" s="82" t="s">
        <v>1946</v>
      </c>
      <c r="O563" s="82" t="s">
        <v>2173</v>
      </c>
    </row>
    <row r="564" spans="1:15" ht="15.75" hidden="1" x14ac:dyDescent="0.25">
      <c r="A564" t="str">
        <f t="shared" si="8"/>
        <v>ALR_MEMORIA_VIBRAZIONE_2-Chiusura Allarme memoria vibrazione 2</v>
      </c>
      <c r="C564" s="82" t="s">
        <v>2451</v>
      </c>
      <c r="D564" s="82" t="s">
        <v>2452</v>
      </c>
      <c r="E564" s="82" t="s">
        <v>2163</v>
      </c>
      <c r="F564" s="82" t="s">
        <v>2451</v>
      </c>
      <c r="G564" s="82" t="s">
        <v>1946</v>
      </c>
      <c r="H564" s="82" t="s">
        <v>2165</v>
      </c>
      <c r="I564" s="82" t="s">
        <v>24</v>
      </c>
      <c r="J564" s="82" t="s">
        <v>2171</v>
      </c>
      <c r="K564" s="82" t="s">
        <v>2167</v>
      </c>
      <c r="L564" s="82" t="s">
        <v>1946</v>
      </c>
      <c r="M564" s="82" t="s">
        <v>2090</v>
      </c>
      <c r="N564" s="82" t="s">
        <v>1946</v>
      </c>
      <c r="O564" s="82" t="s">
        <v>2173</v>
      </c>
    </row>
    <row r="565" spans="1:15" ht="15.75" hidden="1" x14ac:dyDescent="0.25">
      <c r="A565" t="str">
        <f t="shared" si="8"/>
        <v>ALR_MEMORIA_VIBRAZIONE_2_S1-Chiusura Allarme memoria vibrazione</v>
      </c>
      <c r="C565" s="82" t="s">
        <v>2453</v>
      </c>
      <c r="D565" s="82" t="s">
        <v>2449</v>
      </c>
      <c r="E565" s="82" t="s">
        <v>2163</v>
      </c>
      <c r="F565" s="82" t="s">
        <v>2453</v>
      </c>
      <c r="G565" s="82" t="s">
        <v>1946</v>
      </c>
      <c r="H565" s="82" t="s">
        <v>2165</v>
      </c>
      <c r="I565" s="82" t="s">
        <v>24</v>
      </c>
      <c r="J565" s="82" t="s">
        <v>2171</v>
      </c>
      <c r="K565" s="82" t="s">
        <v>2167</v>
      </c>
      <c r="L565" s="82" t="s">
        <v>1946</v>
      </c>
      <c r="M565" s="82" t="s">
        <v>2090</v>
      </c>
      <c r="N565" s="82" t="s">
        <v>1946</v>
      </c>
      <c r="O565" s="82" t="s">
        <v>2173</v>
      </c>
    </row>
    <row r="566" spans="1:15" ht="15.75" hidden="1" x14ac:dyDescent="0.25">
      <c r="A566" t="str">
        <f t="shared" si="8"/>
        <v>ALR_MEMORIA_VIBRAZIONE_2_S2-Chiusura Allarme memoria vibrazione</v>
      </c>
      <c r="C566" s="82" t="s">
        <v>2454</v>
      </c>
      <c r="D566" s="82" t="s">
        <v>2449</v>
      </c>
      <c r="E566" s="82" t="s">
        <v>2163</v>
      </c>
      <c r="F566" s="82" t="s">
        <v>2454</v>
      </c>
      <c r="G566" s="82" t="s">
        <v>1946</v>
      </c>
      <c r="H566" s="82" t="s">
        <v>2165</v>
      </c>
      <c r="I566" s="82" t="s">
        <v>24</v>
      </c>
      <c r="J566" s="82" t="s">
        <v>2171</v>
      </c>
      <c r="K566" s="82" t="s">
        <v>2167</v>
      </c>
      <c r="L566" s="82" t="s">
        <v>1946</v>
      </c>
      <c r="M566" s="82" t="s">
        <v>2090</v>
      </c>
      <c r="N566" s="82" t="s">
        <v>1946</v>
      </c>
      <c r="O566" s="82" t="s">
        <v>2173</v>
      </c>
    </row>
    <row r="567" spans="1:15" ht="15.75" hidden="1" x14ac:dyDescent="0.25">
      <c r="A567" t="str">
        <f t="shared" si="8"/>
        <v>ALR_MEZZI_PESANTI_DX-Allarme mezzi pesanti lato destro quadri</v>
      </c>
      <c r="C567" s="82" t="s">
        <v>1450</v>
      </c>
      <c r="D567" s="82" t="s">
        <v>1451</v>
      </c>
      <c r="E567" s="82" t="s">
        <v>2163</v>
      </c>
      <c r="F567" s="82" t="s">
        <v>1450</v>
      </c>
      <c r="G567" s="82" t="s">
        <v>1946</v>
      </c>
      <c r="H567" s="82" t="s">
        <v>2165</v>
      </c>
      <c r="I567" s="82" t="s">
        <v>33</v>
      </c>
      <c r="J567" s="82" t="s">
        <v>2174</v>
      </c>
      <c r="K567" s="82" t="s">
        <v>2173</v>
      </c>
      <c r="L567" s="82" t="s">
        <v>2175</v>
      </c>
      <c r="M567" s="82" t="s">
        <v>2176</v>
      </c>
      <c r="N567" s="82" t="s">
        <v>2177</v>
      </c>
      <c r="O567" s="82" t="s">
        <v>2173</v>
      </c>
    </row>
    <row r="568" spans="1:15" ht="15.75" hidden="1" x14ac:dyDescent="0.25">
      <c r="A568" t="str">
        <f t="shared" si="8"/>
        <v>ALR_MEZZI_PESANTI_DX_QUADRI-Allarme mezzi pesanti lato destro</v>
      </c>
      <c r="C568" s="82" t="s">
        <v>1452</v>
      </c>
      <c r="D568" s="82" t="s">
        <v>1453</v>
      </c>
      <c r="E568" s="82" t="s">
        <v>2163</v>
      </c>
      <c r="F568" s="82" t="s">
        <v>1452</v>
      </c>
      <c r="G568" s="82" t="s">
        <v>1946</v>
      </c>
      <c r="H568" s="82" t="s">
        <v>2165</v>
      </c>
      <c r="I568" s="82" t="s">
        <v>33</v>
      </c>
      <c r="J568" s="82" t="s">
        <v>2174</v>
      </c>
      <c r="K568" s="82" t="s">
        <v>2173</v>
      </c>
      <c r="L568" s="82" t="s">
        <v>2175</v>
      </c>
      <c r="M568" s="82" t="s">
        <v>2176</v>
      </c>
      <c r="N568" s="82" t="s">
        <v>2177</v>
      </c>
      <c r="O568" s="82" t="s">
        <v>2173</v>
      </c>
    </row>
    <row r="569" spans="1:15" ht="15.75" hidden="1" x14ac:dyDescent="0.25">
      <c r="A569" t="str">
        <f t="shared" si="8"/>
        <v>ALR_MEZZI_PESANTI_SX-Allarme mezzi pesanti lato sinistro quadri</v>
      </c>
      <c r="C569" s="82" t="s">
        <v>1454</v>
      </c>
      <c r="D569" s="82" t="s">
        <v>1455</v>
      </c>
      <c r="E569" s="82" t="s">
        <v>2163</v>
      </c>
      <c r="F569" s="82" t="s">
        <v>1454</v>
      </c>
      <c r="G569" s="82" t="s">
        <v>1946</v>
      </c>
      <c r="H569" s="82" t="s">
        <v>2165</v>
      </c>
      <c r="I569" s="82" t="s">
        <v>33</v>
      </c>
      <c r="J569" s="82" t="s">
        <v>2174</v>
      </c>
      <c r="K569" s="82" t="s">
        <v>2173</v>
      </c>
      <c r="L569" s="82" t="s">
        <v>2175</v>
      </c>
      <c r="M569" s="82" t="s">
        <v>2176</v>
      </c>
      <c r="N569" s="82" t="s">
        <v>2177</v>
      </c>
      <c r="O569" s="82" t="s">
        <v>2173</v>
      </c>
    </row>
    <row r="570" spans="1:15" ht="15.75" hidden="1" x14ac:dyDescent="0.25">
      <c r="A570" t="str">
        <f t="shared" si="8"/>
        <v>ALR_MEZZI_PESANTI_SX_QUADRI-Allarme mezzi pesanti lato sinistro</v>
      </c>
      <c r="C570" s="82" t="s">
        <v>1456</v>
      </c>
      <c r="D570" s="82" t="s">
        <v>1457</v>
      </c>
      <c r="E570" s="82" t="s">
        <v>2163</v>
      </c>
      <c r="F570" s="82" t="s">
        <v>1456</v>
      </c>
      <c r="G570" s="82" t="s">
        <v>1946</v>
      </c>
      <c r="H570" s="82" t="s">
        <v>2165</v>
      </c>
      <c r="I570" s="82" t="s">
        <v>33</v>
      </c>
      <c r="J570" s="82" t="s">
        <v>2174</v>
      </c>
      <c r="K570" s="82" t="s">
        <v>2173</v>
      </c>
      <c r="L570" s="82" t="s">
        <v>2175</v>
      </c>
      <c r="M570" s="82" t="s">
        <v>2176</v>
      </c>
      <c r="N570" s="82" t="s">
        <v>2177</v>
      </c>
      <c r="O570" s="82" t="s">
        <v>2173</v>
      </c>
    </row>
    <row r="571" spans="1:15" ht="15.75" hidden="1" x14ac:dyDescent="0.25">
      <c r="A571" t="str">
        <f t="shared" si="8"/>
        <v>ALR_MINIMA_FREQUENZA_FASE_SOGLIA_1-Allarme minima frequenza di fase soglia 1</v>
      </c>
      <c r="C571" s="82" t="s">
        <v>2455</v>
      </c>
      <c r="D571" s="82" t="s">
        <v>2456</v>
      </c>
      <c r="E571" s="82" t="s">
        <v>2163</v>
      </c>
      <c r="F571" s="82" t="s">
        <v>2455</v>
      </c>
      <c r="G571" s="82" t="s">
        <v>1946</v>
      </c>
      <c r="H571" s="82" t="s">
        <v>2165</v>
      </c>
      <c r="I571" s="82" t="s">
        <v>24</v>
      </c>
      <c r="J571" s="82" t="s">
        <v>2171</v>
      </c>
      <c r="K571" s="82" t="s">
        <v>2167</v>
      </c>
      <c r="L571" s="82" t="s">
        <v>1946</v>
      </c>
      <c r="M571" s="82" t="s">
        <v>2090</v>
      </c>
      <c r="N571" s="82" t="s">
        <v>1946</v>
      </c>
      <c r="O571" s="82" t="s">
        <v>2173</v>
      </c>
    </row>
    <row r="572" spans="1:15" ht="15.75" hidden="1" x14ac:dyDescent="0.25">
      <c r="A572" t="str">
        <f t="shared" si="8"/>
        <v>ALR_MINIMA_FREQUENZA_FASE_SOGLIA_2-Allarme minima frequenza di fase soglia 2</v>
      </c>
      <c r="C572" s="82" t="s">
        <v>2457</v>
      </c>
      <c r="D572" s="82" t="s">
        <v>2458</v>
      </c>
      <c r="E572" s="82" t="s">
        <v>2163</v>
      </c>
      <c r="F572" s="82" t="s">
        <v>2457</v>
      </c>
      <c r="G572" s="82" t="s">
        <v>1946</v>
      </c>
      <c r="H572" s="82" t="s">
        <v>2165</v>
      </c>
      <c r="I572" s="82" t="s">
        <v>24</v>
      </c>
      <c r="J572" s="82" t="s">
        <v>2171</v>
      </c>
      <c r="K572" s="82" t="s">
        <v>2167</v>
      </c>
      <c r="L572" s="82" t="s">
        <v>1946</v>
      </c>
      <c r="M572" s="82" t="s">
        <v>2090</v>
      </c>
      <c r="N572" s="82" t="s">
        <v>1946</v>
      </c>
      <c r="O572" s="82" t="s">
        <v>2173</v>
      </c>
    </row>
    <row r="573" spans="1:15" ht="15.75" hidden="1" x14ac:dyDescent="0.25">
      <c r="A573" t="str">
        <f t="shared" si="8"/>
        <v>ALR_MINIMA_FREQUENZA_FASE_SOGLIA_3-Allarme minima frequenza di fase soglia 3</v>
      </c>
      <c r="C573" s="82" t="s">
        <v>2459</v>
      </c>
      <c r="D573" s="82" t="s">
        <v>2460</v>
      </c>
      <c r="E573" s="82" t="s">
        <v>2163</v>
      </c>
      <c r="F573" s="82" t="s">
        <v>2459</v>
      </c>
      <c r="G573" s="82" t="s">
        <v>1946</v>
      </c>
      <c r="H573" s="82" t="s">
        <v>2165</v>
      </c>
      <c r="I573" s="82" t="s">
        <v>24</v>
      </c>
      <c r="J573" s="82" t="s">
        <v>2171</v>
      </c>
      <c r="K573" s="82" t="s">
        <v>2167</v>
      </c>
      <c r="L573" s="82" t="s">
        <v>1946</v>
      </c>
      <c r="M573" s="82" t="s">
        <v>2090</v>
      </c>
      <c r="N573" s="82" t="s">
        <v>1946</v>
      </c>
      <c r="O573" s="82" t="s">
        <v>2173</v>
      </c>
    </row>
    <row r="574" spans="1:15" ht="15.75" hidden="1" x14ac:dyDescent="0.25">
      <c r="A574" t="str">
        <f t="shared" si="8"/>
        <v>ALR_MINIMA_FREQUENZA_FASE_SOGLIA_4-Allarme minima frequenza di fase soglia 4</v>
      </c>
      <c r="C574" s="82" t="s">
        <v>2461</v>
      </c>
      <c r="D574" s="82" t="s">
        <v>2462</v>
      </c>
      <c r="E574" s="82" t="s">
        <v>2163</v>
      </c>
      <c r="F574" s="82" t="s">
        <v>2461</v>
      </c>
      <c r="G574" s="82" t="s">
        <v>1946</v>
      </c>
      <c r="H574" s="82" t="s">
        <v>2165</v>
      </c>
      <c r="I574" s="82" t="s">
        <v>24</v>
      </c>
      <c r="J574" s="82" t="s">
        <v>2171</v>
      </c>
      <c r="K574" s="82" t="s">
        <v>2167</v>
      </c>
      <c r="L574" s="82" t="s">
        <v>1946</v>
      </c>
      <c r="M574" s="82" t="s">
        <v>2090</v>
      </c>
      <c r="N574" s="82" t="s">
        <v>1946</v>
      </c>
      <c r="O574" s="82" t="s">
        <v>2173</v>
      </c>
    </row>
    <row r="575" spans="1:15" ht="15.75" hidden="1" x14ac:dyDescent="0.25">
      <c r="A575" t="str">
        <f t="shared" si="8"/>
        <v>ALR_MINIMA_TENSIONE_SOGLIA_1-Allarme minima tensione soglia 1</v>
      </c>
      <c r="C575" s="82" t="s">
        <v>2463</v>
      </c>
      <c r="D575" s="82" t="s">
        <v>2464</v>
      </c>
      <c r="E575" s="82" t="s">
        <v>2163</v>
      </c>
      <c r="F575" s="82" t="s">
        <v>2463</v>
      </c>
      <c r="G575" s="82" t="s">
        <v>1946</v>
      </c>
      <c r="H575" s="82" t="s">
        <v>2165</v>
      </c>
      <c r="I575" s="82" t="s">
        <v>24</v>
      </c>
      <c r="J575" s="82" t="s">
        <v>2171</v>
      </c>
      <c r="K575" s="82" t="s">
        <v>2167</v>
      </c>
      <c r="L575" s="82" t="s">
        <v>1946</v>
      </c>
      <c r="M575" s="82" t="s">
        <v>2090</v>
      </c>
      <c r="N575" s="82" t="s">
        <v>1946</v>
      </c>
      <c r="O575" s="82" t="s">
        <v>2173</v>
      </c>
    </row>
    <row r="576" spans="1:15" ht="15.75" hidden="1" x14ac:dyDescent="0.25">
      <c r="A576" t="str">
        <f t="shared" si="8"/>
        <v>ALR_MINIMA_TENSIONE_SOGLIA_2-Allarme minima tensione soglia 2</v>
      </c>
      <c r="C576" s="82" t="s">
        <v>2465</v>
      </c>
      <c r="D576" s="82" t="s">
        <v>2466</v>
      </c>
      <c r="E576" s="82" t="s">
        <v>2163</v>
      </c>
      <c r="F576" s="82" t="s">
        <v>2465</v>
      </c>
      <c r="G576" s="82" t="s">
        <v>1946</v>
      </c>
      <c r="H576" s="82" t="s">
        <v>2165</v>
      </c>
      <c r="I576" s="82" t="s">
        <v>24</v>
      </c>
      <c r="J576" s="82" t="s">
        <v>2171</v>
      </c>
      <c r="K576" s="82" t="s">
        <v>2167</v>
      </c>
      <c r="L576" s="82" t="s">
        <v>1946</v>
      </c>
      <c r="M576" s="82" t="s">
        <v>2090</v>
      </c>
      <c r="N576" s="82" t="s">
        <v>1946</v>
      </c>
      <c r="O576" s="82" t="s">
        <v>2173</v>
      </c>
    </row>
    <row r="577" spans="1:15" ht="15.75" hidden="1" x14ac:dyDescent="0.25">
      <c r="A577" t="str">
        <f t="shared" si="8"/>
        <v>ALR_MINIMO_LIVELLO_ASPIRAZIONE-Allarme Minimo Livello Aspirazione</v>
      </c>
      <c r="C577" s="82" t="s">
        <v>1458</v>
      </c>
      <c r="D577" s="82" t="s">
        <v>1459</v>
      </c>
      <c r="E577" s="82" t="s">
        <v>2163</v>
      </c>
      <c r="F577" s="82" t="s">
        <v>1458</v>
      </c>
      <c r="G577" s="82" t="s">
        <v>1946</v>
      </c>
      <c r="H577" s="82" t="s">
        <v>2165</v>
      </c>
      <c r="I577" s="82" t="s">
        <v>24</v>
      </c>
      <c r="J577" s="82" t="s">
        <v>2171</v>
      </c>
      <c r="K577" s="82" t="s">
        <v>2167</v>
      </c>
      <c r="L577" s="82" t="s">
        <v>1946</v>
      </c>
      <c r="M577" s="82" t="s">
        <v>2090</v>
      </c>
      <c r="N577" s="82" t="s">
        <v>1946</v>
      </c>
      <c r="O577" s="82" t="s">
        <v>2173</v>
      </c>
    </row>
    <row r="578" spans="1:15" ht="15.75" hidden="1" x14ac:dyDescent="0.25">
      <c r="A578" t="str">
        <f t="shared" si="8"/>
        <v>ALR_MINIMO_LIV_CARBURANTE_MOTOPOMPA-Allarme minimo livello carburante motopompa</v>
      </c>
      <c r="C578" s="82" t="s">
        <v>511</v>
      </c>
      <c r="D578" s="82" t="s">
        <v>512</v>
      </c>
      <c r="E578" s="82" t="s">
        <v>2163</v>
      </c>
      <c r="F578" s="82" t="s">
        <v>511</v>
      </c>
      <c r="G578" s="82" t="s">
        <v>1946</v>
      </c>
      <c r="H578" s="82" t="s">
        <v>2165</v>
      </c>
      <c r="I578" s="82" t="s">
        <v>157</v>
      </c>
      <c r="J578" s="82" t="s">
        <v>2181</v>
      </c>
      <c r="K578" s="82" t="s">
        <v>2167</v>
      </c>
      <c r="L578" s="82" t="s">
        <v>1946</v>
      </c>
      <c r="M578" s="82" t="s">
        <v>2090</v>
      </c>
      <c r="N578" s="82" t="s">
        <v>1946</v>
      </c>
      <c r="O578" s="82" t="s">
        <v>2173</v>
      </c>
    </row>
    <row r="579" spans="1:15" ht="15.75" hidden="1" x14ac:dyDescent="0.25">
      <c r="A579" t="str">
        <f t="shared" ref="A579:A642" si="9">CONCATENATE(F579,"-",D579)</f>
        <v>ALR_MIN_LIVELLO_OLIO-Allarme minimo livello olio</v>
      </c>
      <c r="C579" s="82" t="s">
        <v>2467</v>
      </c>
      <c r="D579" s="82" t="s">
        <v>2468</v>
      </c>
      <c r="E579" s="82" t="s">
        <v>2163</v>
      </c>
      <c r="F579" s="82" t="s">
        <v>2467</v>
      </c>
      <c r="G579" s="82" t="s">
        <v>1946</v>
      </c>
      <c r="H579" s="82" t="s">
        <v>2165</v>
      </c>
      <c r="I579" s="82" t="s">
        <v>24</v>
      </c>
      <c r="J579" s="82" t="s">
        <v>2171</v>
      </c>
      <c r="K579" s="82" t="s">
        <v>2167</v>
      </c>
      <c r="L579" s="82" t="s">
        <v>1946</v>
      </c>
      <c r="M579" s="82" t="s">
        <v>2090</v>
      </c>
      <c r="N579" s="82" t="s">
        <v>1946</v>
      </c>
      <c r="O579" s="82" t="s">
        <v>2173</v>
      </c>
    </row>
    <row r="580" spans="1:15" ht="15.75" hidden="1" x14ac:dyDescent="0.25">
      <c r="A580" t="str">
        <f t="shared" si="9"/>
        <v>ALR_MISURA_METRICA-Allarme Guasto Misura Metrica</v>
      </c>
      <c r="C580" s="82" t="s">
        <v>1460</v>
      </c>
      <c r="D580" s="82" t="s">
        <v>1461</v>
      </c>
      <c r="E580" s="82" t="s">
        <v>2163</v>
      </c>
      <c r="F580" s="82" t="s">
        <v>1460</v>
      </c>
      <c r="G580" s="82" t="s">
        <v>1946</v>
      </c>
      <c r="H580" s="82" t="s">
        <v>2165</v>
      </c>
      <c r="I580" s="82" t="s">
        <v>33</v>
      </c>
      <c r="J580" s="82" t="s">
        <v>2174</v>
      </c>
      <c r="K580" s="82" t="s">
        <v>2173</v>
      </c>
      <c r="L580" s="82" t="s">
        <v>1946</v>
      </c>
      <c r="M580" s="82" t="s">
        <v>2176</v>
      </c>
      <c r="N580" s="82" t="s">
        <v>2188</v>
      </c>
      <c r="O580" s="82" t="s">
        <v>2173</v>
      </c>
    </row>
    <row r="581" spans="1:15" ht="15.75" hidden="1" x14ac:dyDescent="0.25">
      <c r="A581" t="str">
        <f t="shared" si="9"/>
        <v>ALR_MOLLE_SCARICHE-Allarme molle scariche</v>
      </c>
      <c r="C581" s="82" t="s">
        <v>1462</v>
      </c>
      <c r="D581" s="82" t="s">
        <v>1463</v>
      </c>
      <c r="E581" s="82" t="s">
        <v>2163</v>
      </c>
      <c r="F581" s="82" t="s">
        <v>1462</v>
      </c>
      <c r="G581" s="82" t="s">
        <v>1946</v>
      </c>
      <c r="H581" s="82" t="s">
        <v>2165</v>
      </c>
      <c r="I581" s="82" t="s">
        <v>157</v>
      </c>
      <c r="J581" s="82" t="s">
        <v>2181</v>
      </c>
      <c r="K581" s="82" t="s">
        <v>2167</v>
      </c>
      <c r="L581" s="82" t="s">
        <v>1946</v>
      </c>
      <c r="M581" s="82" t="s">
        <v>2090</v>
      </c>
      <c r="N581" s="82" t="s">
        <v>1946</v>
      </c>
      <c r="O581" s="82" t="s">
        <v>2173</v>
      </c>
    </row>
    <row r="582" spans="1:15" ht="15.75" hidden="1" x14ac:dyDescent="0.25">
      <c r="A582" t="str">
        <f t="shared" si="9"/>
        <v>ALR_MONOSSIDO-Allarme guasto sensore CO</v>
      </c>
      <c r="C582" s="82" t="s">
        <v>513</v>
      </c>
      <c r="D582" s="82" t="s">
        <v>514</v>
      </c>
      <c r="E582" s="82" t="s">
        <v>2163</v>
      </c>
      <c r="F582" s="82" t="s">
        <v>513</v>
      </c>
      <c r="G582" s="82" t="s">
        <v>1946</v>
      </c>
      <c r="H582" s="82" t="s">
        <v>2165</v>
      </c>
      <c r="I582" s="82" t="s">
        <v>24</v>
      </c>
      <c r="J582" s="82" t="s">
        <v>2171</v>
      </c>
      <c r="K582" s="82" t="s">
        <v>2167</v>
      </c>
      <c r="L582" s="82" t="s">
        <v>1946</v>
      </c>
      <c r="M582" s="82" t="s">
        <v>2090</v>
      </c>
      <c r="N582" s="82" t="s">
        <v>1946</v>
      </c>
      <c r="O582" s="82" t="s">
        <v>2173</v>
      </c>
    </row>
    <row r="583" spans="1:15" ht="15.75" hidden="1" x14ac:dyDescent="0.25">
      <c r="A583" t="str">
        <f t="shared" si="9"/>
        <v>ALR_MOTOPOMPA_AVVIATA-Allarme Motopompa avviata</v>
      </c>
      <c r="C583" s="82" t="s">
        <v>515</v>
      </c>
      <c r="D583" s="82" t="s">
        <v>516</v>
      </c>
      <c r="E583" s="82" t="s">
        <v>2163</v>
      </c>
      <c r="F583" s="82" t="s">
        <v>515</v>
      </c>
      <c r="G583" s="82" t="s">
        <v>1946</v>
      </c>
      <c r="H583" s="82" t="s">
        <v>2165</v>
      </c>
      <c r="I583" s="82" t="s">
        <v>33</v>
      </c>
      <c r="J583" s="82" t="s">
        <v>2174</v>
      </c>
      <c r="K583" s="82" t="s">
        <v>2173</v>
      </c>
      <c r="L583" s="82" t="s">
        <v>1946</v>
      </c>
      <c r="M583" s="82" t="s">
        <v>2176</v>
      </c>
      <c r="N583" s="82" t="s">
        <v>2180</v>
      </c>
      <c r="O583" s="82" t="s">
        <v>2173</v>
      </c>
    </row>
    <row r="584" spans="1:15" ht="15.75" hidden="1" x14ac:dyDescent="0.25">
      <c r="A584" t="str">
        <f t="shared" si="9"/>
        <v>ALR_MOVIMENTO-Allarme movimento in cabina</v>
      </c>
      <c r="C584" s="82" t="s">
        <v>517</v>
      </c>
      <c r="D584" s="82" t="s">
        <v>518</v>
      </c>
      <c r="E584" s="82" t="s">
        <v>2163</v>
      </c>
      <c r="F584" s="82" t="s">
        <v>517</v>
      </c>
      <c r="G584" s="82" t="s">
        <v>1946</v>
      </c>
      <c r="H584" s="82" t="s">
        <v>2165</v>
      </c>
      <c r="I584" s="82" t="s">
        <v>33</v>
      </c>
      <c r="J584" s="82" t="s">
        <v>2174</v>
      </c>
      <c r="K584" s="82" t="s">
        <v>2173</v>
      </c>
      <c r="L584" s="82" t="s">
        <v>1946</v>
      </c>
      <c r="M584" s="82" t="s">
        <v>2176</v>
      </c>
      <c r="N584" s="82" t="s">
        <v>2180</v>
      </c>
      <c r="O584" s="82" t="s">
        <v>2173</v>
      </c>
    </row>
    <row r="585" spans="1:15" ht="15.75" hidden="1" x14ac:dyDescent="0.25">
      <c r="A585" t="str">
        <f t="shared" si="9"/>
        <v>ALR_MOVIMENTO_BYPASS-Allarme movimento in bypass</v>
      </c>
      <c r="C585" s="82" t="s">
        <v>519</v>
      </c>
      <c r="D585" s="82" t="s">
        <v>520</v>
      </c>
      <c r="E585" s="82" t="s">
        <v>2163</v>
      </c>
      <c r="F585" s="82" t="s">
        <v>519</v>
      </c>
      <c r="G585" s="82" t="s">
        <v>1946</v>
      </c>
      <c r="H585" s="82" t="s">
        <v>2165</v>
      </c>
      <c r="I585" s="82" t="s">
        <v>33</v>
      </c>
      <c r="J585" s="82" t="s">
        <v>2174</v>
      </c>
      <c r="K585" s="82" t="s">
        <v>2173</v>
      </c>
      <c r="L585" s="82" t="s">
        <v>2175</v>
      </c>
      <c r="M585" s="82" t="s">
        <v>2176</v>
      </c>
      <c r="N585" s="82" t="s">
        <v>2177</v>
      </c>
      <c r="O585" s="82" t="s">
        <v>2173</v>
      </c>
    </row>
    <row r="586" spans="1:15" ht="15.75" hidden="1" x14ac:dyDescent="0.25">
      <c r="A586" t="str">
        <f t="shared" si="9"/>
        <v xml:space="preserve">ALR_MSG_NON_DEFINITO-Allarme Alfa Messaggio Non Definito </v>
      </c>
      <c r="C586" s="82" t="s">
        <v>2469</v>
      </c>
      <c r="D586" s="82" t="s">
        <v>2470</v>
      </c>
      <c r="E586" s="82" t="s">
        <v>2163</v>
      </c>
      <c r="F586" s="82" t="s">
        <v>2469</v>
      </c>
      <c r="G586" s="82" t="s">
        <v>1946</v>
      </c>
      <c r="H586" s="82" t="s">
        <v>2165</v>
      </c>
      <c r="I586" s="82" t="s">
        <v>24</v>
      </c>
      <c r="J586" s="82" t="s">
        <v>2171</v>
      </c>
      <c r="K586" s="82" t="s">
        <v>2173</v>
      </c>
      <c r="L586" s="82" t="s">
        <v>1946</v>
      </c>
      <c r="M586" s="82" t="s">
        <v>2090</v>
      </c>
      <c r="N586" s="82" t="s">
        <v>1946</v>
      </c>
      <c r="O586" s="82" t="s">
        <v>2173</v>
      </c>
    </row>
    <row r="587" spans="1:15" ht="15.75" hidden="1" x14ac:dyDescent="0.25">
      <c r="A587" t="str">
        <f t="shared" si="9"/>
        <v>ALR_MSG_NON_VISIBILE_PER_ANOMALIA-Allarme messaggio non visibile per anomalia</v>
      </c>
      <c r="C587" s="82" t="s">
        <v>522</v>
      </c>
      <c r="D587" s="82" t="s">
        <v>523</v>
      </c>
      <c r="E587" s="82" t="s">
        <v>2163</v>
      </c>
      <c r="F587" s="82" t="s">
        <v>522</v>
      </c>
      <c r="G587" s="82" t="s">
        <v>1946</v>
      </c>
      <c r="H587" s="82" t="s">
        <v>2165</v>
      </c>
      <c r="I587" s="82" t="s">
        <v>24</v>
      </c>
      <c r="J587" s="82" t="s">
        <v>2171</v>
      </c>
      <c r="K587" s="82" t="s">
        <v>2167</v>
      </c>
      <c r="L587" s="82" t="s">
        <v>1946</v>
      </c>
      <c r="M587" s="82" t="s">
        <v>2090</v>
      </c>
      <c r="N587" s="82" t="s">
        <v>1946</v>
      </c>
      <c r="O587" s="82" t="s">
        <v>2173</v>
      </c>
    </row>
    <row r="588" spans="1:15" ht="15.75" hidden="1" x14ac:dyDescent="0.25">
      <c r="A588" t="str">
        <f t="shared" si="9"/>
        <v>ALR_NO-Allarme guasto sensore NO</v>
      </c>
      <c r="C588" s="82" t="s">
        <v>1464</v>
      </c>
      <c r="D588" s="82" t="s">
        <v>1465</v>
      </c>
      <c r="E588" s="82" t="s">
        <v>2163</v>
      </c>
      <c r="F588" s="82" t="s">
        <v>1464</v>
      </c>
      <c r="G588" s="82" t="s">
        <v>1946</v>
      </c>
      <c r="H588" s="82" t="s">
        <v>2165</v>
      </c>
      <c r="I588" s="82" t="s">
        <v>24</v>
      </c>
      <c r="J588" s="82" t="s">
        <v>2171</v>
      </c>
      <c r="K588" s="82" t="s">
        <v>2167</v>
      </c>
      <c r="L588" s="82" t="s">
        <v>1946</v>
      </c>
      <c r="M588" s="82" t="s">
        <v>2090</v>
      </c>
      <c r="N588" s="82" t="s">
        <v>1946</v>
      </c>
      <c r="O588" s="82" t="s">
        <v>2173</v>
      </c>
    </row>
    <row r="589" spans="1:15" ht="15.75" hidden="1" x14ac:dyDescent="0.25">
      <c r="A589" t="str">
        <f t="shared" si="9"/>
        <v>ALR_NON_CONGRUENTE-Allarme risparmio energetico illuminazione</v>
      </c>
      <c r="C589" s="82" t="s">
        <v>525</v>
      </c>
      <c r="D589" s="82" t="s">
        <v>526</v>
      </c>
      <c r="E589" s="82" t="s">
        <v>2163</v>
      </c>
      <c r="F589" s="82" t="s">
        <v>525</v>
      </c>
      <c r="G589" s="82" t="s">
        <v>1946</v>
      </c>
      <c r="H589" s="82" t="s">
        <v>2165</v>
      </c>
      <c r="I589" s="82" t="s">
        <v>24</v>
      </c>
      <c r="J589" s="82" t="s">
        <v>2171</v>
      </c>
      <c r="K589" s="82" t="s">
        <v>2167</v>
      </c>
      <c r="L589" s="82" t="s">
        <v>1946</v>
      </c>
      <c r="M589" s="82" t="s">
        <v>2090</v>
      </c>
      <c r="N589" s="82" t="s">
        <v>1946</v>
      </c>
      <c r="O589" s="82" t="s">
        <v>2173</v>
      </c>
    </row>
    <row r="590" spans="1:15" ht="15.75" hidden="1" x14ac:dyDescent="0.25">
      <c r="A590" t="str">
        <f t="shared" si="9"/>
        <v>ALR_NON_PRONTO-Allarme dispositivo non pronto</v>
      </c>
      <c r="C590" s="82" t="s">
        <v>1467</v>
      </c>
      <c r="D590" s="82" t="s">
        <v>1468</v>
      </c>
      <c r="E590" s="82" t="s">
        <v>2163</v>
      </c>
      <c r="F590" s="82" t="s">
        <v>1467</v>
      </c>
      <c r="G590" s="82" t="s">
        <v>1946</v>
      </c>
      <c r="H590" s="82" t="s">
        <v>2165</v>
      </c>
      <c r="I590" s="82" t="s">
        <v>24</v>
      </c>
      <c r="J590" s="82" t="s">
        <v>2171</v>
      </c>
      <c r="K590" s="82" t="s">
        <v>2167</v>
      </c>
      <c r="L590" s="82" t="s">
        <v>1946</v>
      </c>
      <c r="M590" s="82" t="s">
        <v>2090</v>
      </c>
      <c r="N590" s="82" t="s">
        <v>1946</v>
      </c>
      <c r="O590" s="82" t="s">
        <v>2173</v>
      </c>
    </row>
    <row r="591" spans="1:15" ht="15.75" hidden="1" x14ac:dyDescent="0.25">
      <c r="A591" t="str">
        <f t="shared" si="9"/>
        <v>ALR_NON_RAGGIUNGIBILE-Dispositivo non raggiungibile</v>
      </c>
      <c r="C591" s="82" t="s">
        <v>1469</v>
      </c>
      <c r="D591" s="82" t="s">
        <v>1470</v>
      </c>
      <c r="E591" s="82" t="s">
        <v>2163</v>
      </c>
      <c r="F591" s="82" t="s">
        <v>1469</v>
      </c>
      <c r="G591" s="82" t="s">
        <v>1946</v>
      </c>
      <c r="H591" s="82" t="s">
        <v>2165</v>
      </c>
      <c r="I591" s="82" t="s">
        <v>24</v>
      </c>
      <c r="J591" s="82" t="s">
        <v>2171</v>
      </c>
      <c r="K591" s="82" t="s">
        <v>2167</v>
      </c>
      <c r="L591" s="82" t="s">
        <v>1946</v>
      </c>
      <c r="M591" s="82" t="s">
        <v>2090</v>
      </c>
      <c r="N591" s="82" t="s">
        <v>1946</v>
      </c>
      <c r="O591" s="82" t="s">
        <v>2173</v>
      </c>
    </row>
    <row r="592" spans="1:15" ht="15.75" hidden="1" x14ac:dyDescent="0.25">
      <c r="A592" t="str">
        <f t="shared" si="9"/>
        <v>ALR_NO_APERTO-Allarme no aperto</v>
      </c>
      <c r="C592" s="82" t="s">
        <v>2471</v>
      </c>
      <c r="D592" s="82" t="s">
        <v>2472</v>
      </c>
      <c r="E592" s="82" t="s">
        <v>2163</v>
      </c>
      <c r="F592" s="82" t="s">
        <v>2471</v>
      </c>
      <c r="G592" s="82" t="s">
        <v>1946</v>
      </c>
      <c r="H592" s="82" t="s">
        <v>2165</v>
      </c>
      <c r="I592" s="82" t="s">
        <v>24</v>
      </c>
      <c r="J592" s="82" t="s">
        <v>2171</v>
      </c>
      <c r="K592" s="82" t="s">
        <v>2167</v>
      </c>
      <c r="L592" s="82" t="s">
        <v>1946</v>
      </c>
      <c r="M592" s="82" t="s">
        <v>2090</v>
      </c>
      <c r="N592" s="82" t="s">
        <v>1946</v>
      </c>
      <c r="O592" s="82" t="s">
        <v>2173</v>
      </c>
    </row>
    <row r="593" spans="1:15" ht="15.75" hidden="1" x14ac:dyDescent="0.25">
      <c r="A593" t="str">
        <f t="shared" si="9"/>
        <v>ALR_NO_CHIUSO-Allarme no chiuso</v>
      </c>
      <c r="C593" s="82" t="s">
        <v>2473</v>
      </c>
      <c r="D593" s="82" t="s">
        <v>2474</v>
      </c>
      <c r="E593" s="82" t="s">
        <v>2163</v>
      </c>
      <c r="F593" s="82" t="s">
        <v>2473</v>
      </c>
      <c r="G593" s="82" t="s">
        <v>1946</v>
      </c>
      <c r="H593" s="82" t="s">
        <v>2165</v>
      </c>
      <c r="I593" s="82" t="s">
        <v>24</v>
      </c>
      <c r="J593" s="82" t="s">
        <v>2171</v>
      </c>
      <c r="K593" s="82" t="s">
        <v>2167</v>
      </c>
      <c r="L593" s="82" t="s">
        <v>1946</v>
      </c>
      <c r="M593" s="82" t="s">
        <v>2090</v>
      </c>
      <c r="N593" s="82" t="s">
        <v>1946</v>
      </c>
      <c r="O593" s="82" t="s">
        <v>2173</v>
      </c>
    </row>
    <row r="594" spans="1:15" ht="15.75" hidden="1" x14ac:dyDescent="0.25">
      <c r="A594" t="str">
        <f t="shared" si="9"/>
        <v>ALR_NUM_VENTILATORI_INSUFFICIENTI-Allarme numero ventilatori insufficienti da avviare</v>
      </c>
      <c r="C594" s="82" t="s">
        <v>1471</v>
      </c>
      <c r="D594" s="82" t="s">
        <v>1472</v>
      </c>
      <c r="E594" s="82" t="s">
        <v>2163</v>
      </c>
      <c r="F594" s="82" t="s">
        <v>1471</v>
      </c>
      <c r="G594" s="82" t="s">
        <v>1946</v>
      </c>
      <c r="H594" s="82" t="s">
        <v>2165</v>
      </c>
      <c r="I594" s="82" t="s">
        <v>24</v>
      </c>
      <c r="J594" s="82" t="s">
        <v>2171</v>
      </c>
      <c r="K594" s="82" t="s">
        <v>2167</v>
      </c>
      <c r="L594" s="82" t="s">
        <v>1946</v>
      </c>
      <c r="M594" s="82" t="s">
        <v>2090</v>
      </c>
      <c r="N594" s="82" t="s">
        <v>1946</v>
      </c>
      <c r="O594" s="82" t="s">
        <v>2173</v>
      </c>
    </row>
    <row r="595" spans="1:15" ht="15.75" hidden="1" x14ac:dyDescent="0.25">
      <c r="A595" t="str">
        <f t="shared" si="9"/>
        <v>ALR_OGGETTO_DISPERSO-Allarme oggetto disperso</v>
      </c>
      <c r="C595" s="82" t="s">
        <v>529</v>
      </c>
      <c r="D595" s="82" t="s">
        <v>530</v>
      </c>
      <c r="E595" s="82" t="s">
        <v>2163</v>
      </c>
      <c r="F595" s="82" t="s">
        <v>529</v>
      </c>
      <c r="G595" s="82" t="s">
        <v>1946</v>
      </c>
      <c r="H595" s="82" t="s">
        <v>2165</v>
      </c>
      <c r="I595" s="82" t="s">
        <v>33</v>
      </c>
      <c r="J595" s="82" t="s">
        <v>2174</v>
      </c>
      <c r="K595" s="82" t="s">
        <v>2173</v>
      </c>
      <c r="L595" s="82" t="s">
        <v>2175</v>
      </c>
      <c r="M595" s="82" t="s">
        <v>2176</v>
      </c>
      <c r="N595" s="82" t="s">
        <v>2177</v>
      </c>
      <c r="O595" s="82" t="s">
        <v>2173</v>
      </c>
    </row>
    <row r="596" spans="1:15" ht="15.75" hidden="1" x14ac:dyDescent="0.25">
      <c r="A596" t="str">
        <f t="shared" si="9"/>
        <v>ALR_OGGETTO_DISPERSO_CORSIA_1-Allarme oggetto disperso corsia di emergenza</v>
      </c>
      <c r="C596" s="82" t="s">
        <v>1473</v>
      </c>
      <c r="D596" s="82" t="s">
        <v>1474</v>
      </c>
      <c r="E596" s="82" t="s">
        <v>2163</v>
      </c>
      <c r="F596" s="82" t="s">
        <v>1473</v>
      </c>
      <c r="G596" s="82" t="s">
        <v>1946</v>
      </c>
      <c r="H596" s="82" t="s">
        <v>2165</v>
      </c>
      <c r="I596" s="82" t="s">
        <v>33</v>
      </c>
      <c r="J596" s="82" t="s">
        <v>2174</v>
      </c>
      <c r="K596" s="82" t="s">
        <v>2173</v>
      </c>
      <c r="L596" s="82" t="s">
        <v>2175</v>
      </c>
      <c r="M596" s="82" t="s">
        <v>2176</v>
      </c>
      <c r="N596" s="82" t="s">
        <v>2177</v>
      </c>
      <c r="O596" s="82" t="s">
        <v>2173</v>
      </c>
    </row>
    <row r="597" spans="1:15" ht="15.75" hidden="1" x14ac:dyDescent="0.25">
      <c r="A597" t="str">
        <f t="shared" si="9"/>
        <v>ALR_OGGETTO_DISPERSO_CORSIA_2-Allarme oggetto disperso corsia di marcia</v>
      </c>
      <c r="C597" s="82" t="s">
        <v>531</v>
      </c>
      <c r="D597" s="82" t="s">
        <v>532</v>
      </c>
      <c r="E597" s="82" t="s">
        <v>2163</v>
      </c>
      <c r="F597" s="82" t="s">
        <v>531</v>
      </c>
      <c r="G597" s="82" t="s">
        <v>1946</v>
      </c>
      <c r="H597" s="82" t="s">
        <v>2165</v>
      </c>
      <c r="I597" s="82" t="s">
        <v>33</v>
      </c>
      <c r="J597" s="82" t="s">
        <v>2174</v>
      </c>
      <c r="K597" s="82" t="s">
        <v>2173</v>
      </c>
      <c r="L597" s="82" t="s">
        <v>2175</v>
      </c>
      <c r="M597" s="82" t="s">
        <v>2176</v>
      </c>
      <c r="N597" s="82" t="s">
        <v>2177</v>
      </c>
      <c r="O597" s="82" t="s">
        <v>2173</v>
      </c>
    </row>
    <row r="598" spans="1:15" ht="15.75" hidden="1" x14ac:dyDescent="0.25">
      <c r="A598" t="str">
        <f t="shared" si="9"/>
        <v>ALR_OGGETTO_DISPERSO_CORSIA_3-Allarme oggetto disperso corsia di sorpasso</v>
      </c>
      <c r="C598" s="82" t="s">
        <v>534</v>
      </c>
      <c r="D598" s="82" t="s">
        <v>535</v>
      </c>
      <c r="E598" s="82" t="s">
        <v>2163</v>
      </c>
      <c r="F598" s="82" t="s">
        <v>534</v>
      </c>
      <c r="G598" s="82" t="s">
        <v>1946</v>
      </c>
      <c r="H598" s="82" t="s">
        <v>2165</v>
      </c>
      <c r="I598" s="82" t="s">
        <v>33</v>
      </c>
      <c r="J598" s="82" t="s">
        <v>2174</v>
      </c>
      <c r="K598" s="82" t="s">
        <v>2173</v>
      </c>
      <c r="L598" s="82" t="s">
        <v>2175</v>
      </c>
      <c r="M598" s="82" t="s">
        <v>2176</v>
      </c>
      <c r="N598" s="82" t="s">
        <v>2177</v>
      </c>
      <c r="O598" s="82" t="s">
        <v>2173</v>
      </c>
    </row>
    <row r="599" spans="1:15" ht="15.75" hidden="1" x14ac:dyDescent="0.25">
      <c r="A599" t="str">
        <f t="shared" si="9"/>
        <v>ALR_OGGETTO_DISPERSO_DIR_NORD-Allarme oggetto disperso dir. nord</v>
      </c>
      <c r="C599" s="82" t="s">
        <v>1475</v>
      </c>
      <c r="D599" s="82" t="s">
        <v>1476</v>
      </c>
      <c r="E599" s="82" t="s">
        <v>2163</v>
      </c>
      <c r="F599" s="82" t="s">
        <v>1475</v>
      </c>
      <c r="G599" s="82" t="s">
        <v>1946</v>
      </c>
      <c r="H599" s="82" t="s">
        <v>2165</v>
      </c>
      <c r="I599" s="82" t="s">
        <v>33</v>
      </c>
      <c r="J599" s="82" t="s">
        <v>2174</v>
      </c>
      <c r="K599" s="82" t="s">
        <v>2173</v>
      </c>
      <c r="L599" s="82" t="s">
        <v>2175</v>
      </c>
      <c r="M599" s="82" t="s">
        <v>2176</v>
      </c>
      <c r="N599" s="82" t="s">
        <v>2177</v>
      </c>
      <c r="O599" s="82" t="s">
        <v>2173</v>
      </c>
    </row>
    <row r="600" spans="1:15" ht="15.75" hidden="1" x14ac:dyDescent="0.25">
      <c r="A600" t="str">
        <f t="shared" si="9"/>
        <v>ALR_OGGETTO_DISPERSO_DIR_SUD-Allarme oggetto disperso dir. sud</v>
      </c>
      <c r="C600" s="82" t="s">
        <v>1477</v>
      </c>
      <c r="D600" s="82" t="s">
        <v>1478</v>
      </c>
      <c r="E600" s="82" t="s">
        <v>2163</v>
      </c>
      <c r="F600" s="82" t="s">
        <v>1477</v>
      </c>
      <c r="G600" s="82" t="s">
        <v>1946</v>
      </c>
      <c r="H600" s="82" t="s">
        <v>2165</v>
      </c>
      <c r="I600" s="82" t="s">
        <v>33</v>
      </c>
      <c r="J600" s="82" t="s">
        <v>2174</v>
      </c>
      <c r="K600" s="82" t="s">
        <v>2173</v>
      </c>
      <c r="L600" s="82" t="s">
        <v>2175</v>
      </c>
      <c r="M600" s="82" t="s">
        <v>2176</v>
      </c>
      <c r="N600" s="82" t="s">
        <v>2177</v>
      </c>
      <c r="O600" s="82" t="s">
        <v>2173</v>
      </c>
    </row>
    <row r="601" spans="1:15" ht="15.75" hidden="1" x14ac:dyDescent="0.25">
      <c r="A601" t="str">
        <f t="shared" si="9"/>
        <v>ALR_OPACITA-Allarme guasto sensore OP</v>
      </c>
      <c r="C601" s="82" t="s">
        <v>548</v>
      </c>
      <c r="D601" s="82" t="s">
        <v>549</v>
      </c>
      <c r="E601" s="82" t="s">
        <v>2163</v>
      </c>
      <c r="F601" s="82" t="s">
        <v>548</v>
      </c>
      <c r="G601" s="82" t="s">
        <v>1946</v>
      </c>
      <c r="H601" s="82" t="s">
        <v>2165</v>
      </c>
      <c r="I601" s="82" t="s">
        <v>24</v>
      </c>
      <c r="J601" s="82" t="s">
        <v>2171</v>
      </c>
      <c r="K601" s="82" t="s">
        <v>2167</v>
      </c>
      <c r="L601" s="82" t="s">
        <v>1946</v>
      </c>
      <c r="M601" s="82" t="s">
        <v>2090</v>
      </c>
      <c r="N601" s="82" t="s">
        <v>1946</v>
      </c>
      <c r="O601" s="82" t="s">
        <v>2173</v>
      </c>
    </row>
    <row r="602" spans="1:15" ht="15.75" hidden="1" x14ac:dyDescent="0.25">
      <c r="A602" t="str">
        <f t="shared" si="9"/>
        <v>ALR_OP_DIR_NORD_CASO_A-Allarme OP caso A dir. nord</v>
      </c>
      <c r="C602" s="82" t="s">
        <v>536</v>
      </c>
      <c r="D602" s="82" t="s">
        <v>537</v>
      </c>
      <c r="E602" s="82" t="s">
        <v>2163</v>
      </c>
      <c r="F602" s="82" t="s">
        <v>536</v>
      </c>
      <c r="G602" s="82" t="s">
        <v>1946</v>
      </c>
      <c r="H602" s="82" t="s">
        <v>2165</v>
      </c>
      <c r="I602" s="82" t="s">
        <v>24</v>
      </c>
      <c r="J602" s="82" t="s">
        <v>2171</v>
      </c>
      <c r="K602" s="82" t="s">
        <v>2167</v>
      </c>
      <c r="L602" s="82" t="s">
        <v>1946</v>
      </c>
      <c r="M602" s="82" t="s">
        <v>2176</v>
      </c>
      <c r="N602" s="82" t="s">
        <v>2188</v>
      </c>
      <c r="O602" s="82" t="s">
        <v>2173</v>
      </c>
    </row>
    <row r="603" spans="1:15" ht="15.75" hidden="1" x14ac:dyDescent="0.25">
      <c r="A603" t="str">
        <f t="shared" si="9"/>
        <v>ALR_OP_DIR_NORD_CASO_B-Allarme OP caso B dir. nord</v>
      </c>
      <c r="C603" s="82" t="s">
        <v>538</v>
      </c>
      <c r="D603" s="82" t="s">
        <v>539</v>
      </c>
      <c r="E603" s="82" t="s">
        <v>2163</v>
      </c>
      <c r="F603" s="82" t="s">
        <v>538</v>
      </c>
      <c r="G603" s="82" t="s">
        <v>1946</v>
      </c>
      <c r="H603" s="82" t="s">
        <v>2165</v>
      </c>
      <c r="I603" s="82" t="s">
        <v>157</v>
      </c>
      <c r="J603" s="82" t="s">
        <v>2181</v>
      </c>
      <c r="K603" s="82" t="s">
        <v>2167</v>
      </c>
      <c r="L603" s="82" t="s">
        <v>1946</v>
      </c>
      <c r="M603" s="82" t="s">
        <v>2176</v>
      </c>
      <c r="N603" s="82" t="s">
        <v>2188</v>
      </c>
      <c r="O603" s="82" t="s">
        <v>2173</v>
      </c>
    </row>
    <row r="604" spans="1:15" ht="15.75" hidden="1" x14ac:dyDescent="0.25">
      <c r="A604" t="str">
        <f t="shared" si="9"/>
        <v>ALR_OP_DIR_NORD_CASO_C-Allarme OP caso C dir. nord</v>
      </c>
      <c r="C604" s="82" t="s">
        <v>540</v>
      </c>
      <c r="D604" s="82" t="s">
        <v>541</v>
      </c>
      <c r="E604" s="82" t="s">
        <v>2163</v>
      </c>
      <c r="F604" s="82" t="s">
        <v>540</v>
      </c>
      <c r="G604" s="82" t="s">
        <v>1946</v>
      </c>
      <c r="H604" s="82" t="s">
        <v>2165</v>
      </c>
      <c r="I604" s="82" t="s">
        <v>45</v>
      </c>
      <c r="J604" s="82" t="s">
        <v>2178</v>
      </c>
      <c r="K604" s="82" t="s">
        <v>2173</v>
      </c>
      <c r="L604" s="82" t="s">
        <v>1946</v>
      </c>
      <c r="M604" s="82" t="s">
        <v>2176</v>
      </c>
      <c r="N604" s="82" t="s">
        <v>2180</v>
      </c>
      <c r="O604" s="82" t="s">
        <v>2173</v>
      </c>
    </row>
    <row r="605" spans="1:15" ht="15.75" hidden="1" x14ac:dyDescent="0.25">
      <c r="A605" t="str">
        <f t="shared" si="9"/>
        <v>ALR_OP_DIR_SUD_CASO_A-Allarme OP caso A dir. sud</v>
      </c>
      <c r="C605" s="82" t="s">
        <v>542</v>
      </c>
      <c r="D605" s="82" t="s">
        <v>543</v>
      </c>
      <c r="E605" s="82" t="s">
        <v>2163</v>
      </c>
      <c r="F605" s="82" t="s">
        <v>542</v>
      </c>
      <c r="G605" s="82" t="s">
        <v>1946</v>
      </c>
      <c r="H605" s="82" t="s">
        <v>2165</v>
      </c>
      <c r="I605" s="82" t="s">
        <v>24</v>
      </c>
      <c r="J605" s="82" t="s">
        <v>2171</v>
      </c>
      <c r="K605" s="82" t="s">
        <v>2167</v>
      </c>
      <c r="L605" s="82" t="s">
        <v>1946</v>
      </c>
      <c r="M605" s="82" t="s">
        <v>2176</v>
      </c>
      <c r="N605" s="82" t="s">
        <v>2188</v>
      </c>
      <c r="O605" s="82" t="s">
        <v>2173</v>
      </c>
    </row>
    <row r="606" spans="1:15" ht="15.75" hidden="1" x14ac:dyDescent="0.25">
      <c r="A606" t="str">
        <f t="shared" si="9"/>
        <v>ALR_OP_DIR_SUD_CASO_B-Allarme OP caso B dir. sud</v>
      </c>
      <c r="C606" s="82" t="s">
        <v>544</v>
      </c>
      <c r="D606" s="82" t="s">
        <v>545</v>
      </c>
      <c r="E606" s="82" t="s">
        <v>2163</v>
      </c>
      <c r="F606" s="82" t="s">
        <v>544</v>
      </c>
      <c r="G606" s="82" t="s">
        <v>1946</v>
      </c>
      <c r="H606" s="82" t="s">
        <v>2165</v>
      </c>
      <c r="I606" s="82" t="s">
        <v>157</v>
      </c>
      <c r="J606" s="82" t="s">
        <v>2181</v>
      </c>
      <c r="K606" s="82" t="s">
        <v>2167</v>
      </c>
      <c r="L606" s="82" t="s">
        <v>1946</v>
      </c>
      <c r="M606" s="82" t="s">
        <v>2176</v>
      </c>
      <c r="N606" s="82" t="s">
        <v>2188</v>
      </c>
      <c r="O606" s="82" t="s">
        <v>2173</v>
      </c>
    </row>
    <row r="607" spans="1:15" ht="15.75" hidden="1" x14ac:dyDescent="0.25">
      <c r="A607" t="str">
        <f t="shared" si="9"/>
        <v>ALR_OP_DIR_SUD_CASO_C-Allarme OP caso C dir. sud</v>
      </c>
      <c r="C607" s="82" t="s">
        <v>546</v>
      </c>
      <c r="D607" s="82" t="s">
        <v>547</v>
      </c>
      <c r="E607" s="82" t="s">
        <v>2163</v>
      </c>
      <c r="F607" s="82" t="s">
        <v>546</v>
      </c>
      <c r="G607" s="82" t="s">
        <v>1946</v>
      </c>
      <c r="H607" s="82" t="s">
        <v>2165</v>
      </c>
      <c r="I607" s="82" t="s">
        <v>45</v>
      </c>
      <c r="J607" s="82" t="s">
        <v>2178</v>
      </c>
      <c r="K607" s="82" t="s">
        <v>2173</v>
      </c>
      <c r="L607" s="82" t="s">
        <v>1946</v>
      </c>
      <c r="M607" s="82" t="s">
        <v>2176</v>
      </c>
      <c r="N607" s="82" t="s">
        <v>2180</v>
      </c>
      <c r="O607" s="82" t="s">
        <v>2173</v>
      </c>
    </row>
    <row r="608" spans="1:15" ht="15.75" hidden="1" x14ac:dyDescent="0.25">
      <c r="A608" t="str">
        <f t="shared" si="9"/>
        <v>ALR_PANNELLO_OCCUPATO-Allarme pannello occupato</v>
      </c>
      <c r="C608" s="82" t="s">
        <v>2475</v>
      </c>
      <c r="D608" s="82" t="s">
        <v>2476</v>
      </c>
      <c r="E608" s="82" t="s">
        <v>2163</v>
      </c>
      <c r="F608" s="82" t="s">
        <v>2475</v>
      </c>
      <c r="G608" s="82" t="s">
        <v>1946</v>
      </c>
      <c r="H608" s="82" t="s">
        <v>2165</v>
      </c>
      <c r="I608" s="82" t="s">
        <v>24</v>
      </c>
      <c r="J608" s="82" t="s">
        <v>2171</v>
      </c>
      <c r="K608" s="82" t="s">
        <v>2173</v>
      </c>
      <c r="L608" s="82" t="s">
        <v>1946</v>
      </c>
      <c r="M608" s="82" t="s">
        <v>2183</v>
      </c>
      <c r="N608" s="82" t="s">
        <v>1946</v>
      </c>
      <c r="O608" s="82" t="s">
        <v>2173</v>
      </c>
    </row>
    <row r="609" spans="1:15" ht="15.75" hidden="1" x14ac:dyDescent="0.25">
      <c r="A609" t="str">
        <f t="shared" si="9"/>
        <v>ALR_PEDONE_IN_PIAZZOLA_NORD-Allarme pedone in piazzola nord</v>
      </c>
      <c r="C609" s="82" t="s">
        <v>1479</v>
      </c>
      <c r="D609" s="82" t="s">
        <v>1480</v>
      </c>
      <c r="E609" s="82" t="s">
        <v>2163</v>
      </c>
      <c r="F609" s="82" t="s">
        <v>1479</v>
      </c>
      <c r="G609" s="82" t="s">
        <v>1946</v>
      </c>
      <c r="H609" s="82" t="s">
        <v>2165</v>
      </c>
      <c r="I609" s="82" t="s">
        <v>33</v>
      </c>
      <c r="J609" s="82" t="s">
        <v>2174</v>
      </c>
      <c r="K609" s="82" t="s">
        <v>2173</v>
      </c>
      <c r="L609" s="82" t="s">
        <v>2175</v>
      </c>
      <c r="M609" s="82" t="s">
        <v>2176</v>
      </c>
      <c r="N609" s="82" t="s">
        <v>2177</v>
      </c>
      <c r="O609" s="82" t="s">
        <v>2173</v>
      </c>
    </row>
    <row r="610" spans="1:15" ht="15.75" hidden="1" x14ac:dyDescent="0.25">
      <c r="A610" t="str">
        <f t="shared" si="9"/>
        <v>ALR_PEDONE_IN_PIAZZOLA_SUD-Allarme pedone in piazzola sud</v>
      </c>
      <c r="C610" s="82" t="s">
        <v>1481</v>
      </c>
      <c r="D610" s="82" t="s">
        <v>1482</v>
      </c>
      <c r="E610" s="82" t="s">
        <v>2163</v>
      </c>
      <c r="F610" s="82" t="s">
        <v>1481</v>
      </c>
      <c r="G610" s="82" t="s">
        <v>1946</v>
      </c>
      <c r="H610" s="82" t="s">
        <v>2165</v>
      </c>
      <c r="I610" s="82" t="s">
        <v>33</v>
      </c>
      <c r="J610" s="82" t="s">
        <v>2174</v>
      </c>
      <c r="K610" s="82" t="s">
        <v>2173</v>
      </c>
      <c r="L610" s="82" t="s">
        <v>2175</v>
      </c>
      <c r="M610" s="82" t="s">
        <v>2176</v>
      </c>
      <c r="N610" s="82" t="s">
        <v>2177</v>
      </c>
      <c r="O610" s="82" t="s">
        <v>2173</v>
      </c>
    </row>
    <row r="611" spans="1:15" ht="15.75" hidden="1" x14ac:dyDescent="0.25">
      <c r="A611" t="str">
        <f t="shared" si="9"/>
        <v>ALR_PERDITA_COMBUSTIBILE-Allarme perdita serbatoio gasolio</v>
      </c>
      <c r="C611" s="82" t="s">
        <v>550</v>
      </c>
      <c r="D611" s="82" t="s">
        <v>551</v>
      </c>
      <c r="E611" s="82" t="s">
        <v>2163</v>
      </c>
      <c r="F611" s="82" t="s">
        <v>550</v>
      </c>
      <c r="G611" s="82" t="s">
        <v>1946</v>
      </c>
      <c r="H611" s="82" t="s">
        <v>2165</v>
      </c>
      <c r="I611" s="82" t="s">
        <v>157</v>
      </c>
      <c r="J611" s="82" t="s">
        <v>2181</v>
      </c>
      <c r="K611" s="82" t="s">
        <v>2167</v>
      </c>
      <c r="L611" s="82" t="s">
        <v>1946</v>
      </c>
      <c r="M611" s="82" t="s">
        <v>2090</v>
      </c>
      <c r="N611" s="82" t="s">
        <v>1946</v>
      </c>
      <c r="O611" s="82" t="s">
        <v>2173</v>
      </c>
    </row>
    <row r="612" spans="1:15" ht="15.75" hidden="1" x14ac:dyDescent="0.25">
      <c r="A612" t="str">
        <f t="shared" si="9"/>
        <v>ALR_PERDITA_GASOLIO-Allarme perdita cisterna gasolio</v>
      </c>
      <c r="C612" s="82" t="s">
        <v>552</v>
      </c>
      <c r="D612" s="82" t="s">
        <v>553</v>
      </c>
      <c r="E612" s="82" t="s">
        <v>2163</v>
      </c>
      <c r="F612" s="82" t="s">
        <v>552</v>
      </c>
      <c r="G612" s="82" t="s">
        <v>1946</v>
      </c>
      <c r="H612" s="82" t="s">
        <v>2165</v>
      </c>
      <c r="I612" s="82" t="s">
        <v>157</v>
      </c>
      <c r="J612" s="82" t="s">
        <v>2181</v>
      </c>
      <c r="K612" s="82" t="s">
        <v>2167</v>
      </c>
      <c r="L612" s="82" t="s">
        <v>1946</v>
      </c>
      <c r="M612" s="82" t="s">
        <v>2183</v>
      </c>
      <c r="N612" s="82" t="s">
        <v>1946</v>
      </c>
      <c r="O612" s="82" t="s">
        <v>2173</v>
      </c>
    </row>
    <row r="613" spans="1:15" ht="15.75" hidden="1" x14ac:dyDescent="0.25">
      <c r="A613" t="str">
        <f t="shared" si="9"/>
        <v>ALR_PERDITA_VIDEO-Allarme perdita video</v>
      </c>
      <c r="C613" s="82" t="s">
        <v>554</v>
      </c>
      <c r="D613" s="82" t="s">
        <v>555</v>
      </c>
      <c r="E613" s="82" t="s">
        <v>2163</v>
      </c>
      <c r="F613" s="82" t="s">
        <v>554</v>
      </c>
      <c r="G613" s="82" t="s">
        <v>1946</v>
      </c>
      <c r="H613" s="82" t="s">
        <v>2165</v>
      </c>
      <c r="I613" s="82" t="s">
        <v>24</v>
      </c>
      <c r="J613" s="82" t="s">
        <v>2171</v>
      </c>
      <c r="K613" s="82" t="s">
        <v>2167</v>
      </c>
      <c r="L613" s="82" t="s">
        <v>1946</v>
      </c>
      <c r="M613" s="82" t="s">
        <v>2090</v>
      </c>
      <c r="N613" s="82" t="s">
        <v>1946</v>
      </c>
      <c r="O613" s="82" t="s">
        <v>2173</v>
      </c>
    </row>
    <row r="614" spans="1:15" ht="15.75" hidden="1" x14ac:dyDescent="0.25">
      <c r="A614" t="str">
        <f t="shared" si="9"/>
        <v>ALR_PERDITA_VIDEO_CORSIA_1-Allarme perdita video corsia di emergenza</v>
      </c>
      <c r="C614" s="82" t="s">
        <v>556</v>
      </c>
      <c r="D614" s="82" t="s">
        <v>557</v>
      </c>
      <c r="E614" s="82" t="s">
        <v>2163</v>
      </c>
      <c r="F614" s="82" t="s">
        <v>556</v>
      </c>
      <c r="G614" s="82" t="s">
        <v>1946</v>
      </c>
      <c r="H614" s="82" t="s">
        <v>2165</v>
      </c>
      <c r="I614" s="82" t="s">
        <v>24</v>
      </c>
      <c r="J614" s="82" t="s">
        <v>2171</v>
      </c>
      <c r="K614" s="82" t="s">
        <v>2167</v>
      </c>
      <c r="L614" s="82" t="s">
        <v>1946</v>
      </c>
      <c r="M614" s="82" t="s">
        <v>2090</v>
      </c>
      <c r="N614" s="82" t="s">
        <v>1946</v>
      </c>
      <c r="O614" s="82" t="s">
        <v>2173</v>
      </c>
    </row>
    <row r="615" spans="1:15" ht="15.75" hidden="1" x14ac:dyDescent="0.25">
      <c r="A615" t="str">
        <f t="shared" si="9"/>
        <v>ALR_PERDITA_VIDEO_CORSIA_2-Allarme perdita video corsia di marcia</v>
      </c>
      <c r="C615" s="82" t="s">
        <v>558</v>
      </c>
      <c r="D615" s="82" t="s">
        <v>559</v>
      </c>
      <c r="E615" s="82" t="s">
        <v>2163</v>
      </c>
      <c r="F615" s="82" t="s">
        <v>558</v>
      </c>
      <c r="G615" s="82" t="s">
        <v>1946</v>
      </c>
      <c r="H615" s="82" t="s">
        <v>2165</v>
      </c>
      <c r="I615" s="82" t="s">
        <v>24</v>
      </c>
      <c r="J615" s="82" t="s">
        <v>2171</v>
      </c>
      <c r="K615" s="82" t="s">
        <v>2167</v>
      </c>
      <c r="L615" s="82" t="s">
        <v>1946</v>
      </c>
      <c r="M615" s="82" t="s">
        <v>2090</v>
      </c>
      <c r="N615" s="82" t="s">
        <v>1946</v>
      </c>
      <c r="O615" s="82" t="s">
        <v>2173</v>
      </c>
    </row>
    <row r="616" spans="1:15" ht="15.75" hidden="1" x14ac:dyDescent="0.25">
      <c r="A616" t="str">
        <f t="shared" si="9"/>
        <v>ALR_PERDITA_VIDEO_CORSIA_3-Allarme perdita video corsia veloce</v>
      </c>
      <c r="C616" s="82" t="s">
        <v>560</v>
      </c>
      <c r="D616" s="82" t="s">
        <v>561</v>
      </c>
      <c r="E616" s="82" t="s">
        <v>2163</v>
      </c>
      <c r="F616" s="82" t="s">
        <v>560</v>
      </c>
      <c r="G616" s="82" t="s">
        <v>1946</v>
      </c>
      <c r="H616" s="82" t="s">
        <v>2165</v>
      </c>
      <c r="I616" s="82" t="s">
        <v>24</v>
      </c>
      <c r="J616" s="82" t="s">
        <v>2171</v>
      </c>
      <c r="K616" s="82" t="s">
        <v>2167</v>
      </c>
      <c r="L616" s="82" t="s">
        <v>1946</v>
      </c>
      <c r="M616" s="82" t="s">
        <v>2090</v>
      </c>
      <c r="N616" s="82" t="s">
        <v>1946</v>
      </c>
      <c r="O616" s="82" t="s">
        <v>2173</v>
      </c>
    </row>
    <row r="617" spans="1:15" ht="15.75" hidden="1" x14ac:dyDescent="0.25">
      <c r="A617" t="str">
        <f t="shared" si="9"/>
        <v>ALR_PERDITA_VIDEO_CORSIA_LENTA-Allarme perdita video corsia lenta</v>
      </c>
      <c r="C617" s="82" t="s">
        <v>1483</v>
      </c>
      <c r="D617" s="82" t="s">
        <v>1484</v>
      </c>
      <c r="E617" s="82" t="s">
        <v>2163</v>
      </c>
      <c r="F617" s="82" t="s">
        <v>1483</v>
      </c>
      <c r="G617" s="82" t="s">
        <v>1946</v>
      </c>
      <c r="H617" s="82" t="s">
        <v>2165</v>
      </c>
      <c r="I617" s="82" t="s">
        <v>24</v>
      </c>
      <c r="J617" s="82" t="s">
        <v>2171</v>
      </c>
      <c r="K617" s="82" t="s">
        <v>2167</v>
      </c>
      <c r="L617" s="82" t="s">
        <v>1946</v>
      </c>
      <c r="M617" s="82" t="s">
        <v>2090</v>
      </c>
      <c r="N617" s="82" t="s">
        <v>1946</v>
      </c>
      <c r="O617" s="82" t="s">
        <v>2173</v>
      </c>
    </row>
    <row r="618" spans="1:15" ht="15.75" hidden="1" x14ac:dyDescent="0.25">
      <c r="A618" t="str">
        <f t="shared" si="9"/>
        <v>ALR_PICCHETTI-Allarme picchetti</v>
      </c>
      <c r="C618" s="82" t="s">
        <v>1485</v>
      </c>
      <c r="D618" s="82" t="s">
        <v>1486</v>
      </c>
      <c r="E618" s="82" t="s">
        <v>2163</v>
      </c>
      <c r="F618" s="82" t="s">
        <v>1485</v>
      </c>
      <c r="G618" s="82" t="s">
        <v>1946</v>
      </c>
      <c r="H618" s="82" t="s">
        <v>2165</v>
      </c>
      <c r="I618" s="82" t="s">
        <v>24</v>
      </c>
      <c r="J618" s="82" t="s">
        <v>2171</v>
      </c>
      <c r="K618" s="82" t="s">
        <v>2167</v>
      </c>
      <c r="L618" s="82" t="s">
        <v>1946</v>
      </c>
      <c r="M618" s="82" t="s">
        <v>2090</v>
      </c>
      <c r="N618" s="82" t="s">
        <v>1946</v>
      </c>
      <c r="O618" s="82" t="s">
        <v>2173</v>
      </c>
    </row>
    <row r="619" spans="1:15" ht="15.75" hidden="1" x14ac:dyDescent="0.25">
      <c r="A619" t="str">
        <f t="shared" si="9"/>
        <v>ALR_PITTO-Allarme pittogramma PMV</v>
      </c>
      <c r="C619" s="82" t="s">
        <v>1487</v>
      </c>
      <c r="D619" s="82" t="s">
        <v>1488</v>
      </c>
      <c r="E619" s="82" t="s">
        <v>2163</v>
      </c>
      <c r="F619" s="82" t="s">
        <v>1487</v>
      </c>
      <c r="G619" s="82" t="s">
        <v>1946</v>
      </c>
      <c r="H619" s="82" t="s">
        <v>2165</v>
      </c>
      <c r="I619" s="82" t="s">
        <v>24</v>
      </c>
      <c r="J619" s="82" t="s">
        <v>2171</v>
      </c>
      <c r="K619" s="82" t="s">
        <v>2167</v>
      </c>
      <c r="L619" s="82" t="s">
        <v>1946</v>
      </c>
      <c r="M619" s="82" t="s">
        <v>2090</v>
      </c>
      <c r="N619" s="82" t="s">
        <v>1946</v>
      </c>
      <c r="O619" s="82" t="s">
        <v>2173</v>
      </c>
    </row>
    <row r="620" spans="1:15" ht="15.75" hidden="1" x14ac:dyDescent="0.25">
      <c r="A620" t="str">
        <f t="shared" si="9"/>
        <v>ALR_PLC_IN_STOP-Allarme PLC RIO in stop</v>
      </c>
      <c r="C620" s="82" t="s">
        <v>562</v>
      </c>
      <c r="D620" s="82" t="s">
        <v>563</v>
      </c>
      <c r="E620" s="82" t="s">
        <v>2163</v>
      </c>
      <c r="F620" s="82" t="s">
        <v>562</v>
      </c>
      <c r="G620" s="82" t="s">
        <v>1946</v>
      </c>
      <c r="H620" s="82" t="s">
        <v>2165</v>
      </c>
      <c r="I620" s="82" t="s">
        <v>33</v>
      </c>
      <c r="J620" s="82" t="s">
        <v>2174</v>
      </c>
      <c r="K620" s="82" t="s">
        <v>2173</v>
      </c>
      <c r="L620" s="82" t="s">
        <v>1946</v>
      </c>
      <c r="M620" s="82" t="s">
        <v>2176</v>
      </c>
      <c r="N620" s="82" t="s">
        <v>2188</v>
      </c>
      <c r="O620" s="82" t="s">
        <v>2173</v>
      </c>
    </row>
    <row r="621" spans="1:15" ht="15.75" hidden="1" x14ac:dyDescent="0.25">
      <c r="A621" t="str">
        <f t="shared" si="9"/>
        <v>ALR_PMV-Allarme pannello messaggio variabile</v>
      </c>
      <c r="C621" s="82" t="s">
        <v>1491</v>
      </c>
      <c r="D621" s="82" t="s">
        <v>1492</v>
      </c>
      <c r="E621" s="82" t="s">
        <v>2163</v>
      </c>
      <c r="F621" s="82" t="s">
        <v>1491</v>
      </c>
      <c r="G621" s="82" t="s">
        <v>1946</v>
      </c>
      <c r="H621" s="82" t="s">
        <v>2165</v>
      </c>
      <c r="I621" s="82" t="s">
        <v>24</v>
      </c>
      <c r="J621" s="82" t="s">
        <v>2171</v>
      </c>
      <c r="K621" s="82" t="s">
        <v>2167</v>
      </c>
      <c r="L621" s="82" t="s">
        <v>1946</v>
      </c>
      <c r="M621" s="82" t="s">
        <v>2090</v>
      </c>
      <c r="N621" s="82" t="s">
        <v>1946</v>
      </c>
      <c r="O621" s="82" t="s">
        <v>2173</v>
      </c>
    </row>
    <row r="622" spans="1:15" ht="15.75" hidden="1" x14ac:dyDescent="0.25">
      <c r="A622" t="str">
        <f t="shared" si="9"/>
        <v>ALR_PMV_DEGRADATO-Allarme pannello degradato</v>
      </c>
      <c r="C622" s="82" t="s">
        <v>2477</v>
      </c>
      <c r="D622" s="82" t="s">
        <v>2478</v>
      </c>
      <c r="E622" s="82" t="s">
        <v>2163</v>
      </c>
      <c r="F622" s="82" t="s">
        <v>2477</v>
      </c>
      <c r="G622" s="82" t="s">
        <v>1946</v>
      </c>
      <c r="H622" s="82" t="s">
        <v>2165</v>
      </c>
      <c r="I622" s="82" t="s">
        <v>24</v>
      </c>
      <c r="J622" s="82" t="s">
        <v>2171</v>
      </c>
      <c r="K622" s="82" t="s">
        <v>2173</v>
      </c>
      <c r="L622" s="82" t="s">
        <v>1946</v>
      </c>
      <c r="M622" s="82" t="s">
        <v>2183</v>
      </c>
      <c r="N622" s="82" t="s">
        <v>1946</v>
      </c>
      <c r="O622" s="82" t="s">
        <v>2173</v>
      </c>
    </row>
    <row r="623" spans="1:15" ht="15.75" hidden="1" x14ac:dyDescent="0.25">
      <c r="A623" t="str">
        <f t="shared" si="9"/>
        <v>ALR_POMPA_AVVIATA-Allarme pompa avviata</v>
      </c>
      <c r="C623" s="82" t="s">
        <v>564</v>
      </c>
      <c r="D623" s="82" t="s">
        <v>565</v>
      </c>
      <c r="E623" s="82" t="s">
        <v>2163</v>
      </c>
      <c r="F623" s="82" t="s">
        <v>564</v>
      </c>
      <c r="G623" s="82" t="s">
        <v>1946</v>
      </c>
      <c r="H623" s="82" t="s">
        <v>2165</v>
      </c>
      <c r="I623" s="82" t="s">
        <v>33</v>
      </c>
      <c r="J623" s="82" t="s">
        <v>2174</v>
      </c>
      <c r="K623" s="82" t="s">
        <v>2173</v>
      </c>
      <c r="L623" s="82" t="s">
        <v>1946</v>
      </c>
      <c r="M623" s="82" t="s">
        <v>2176</v>
      </c>
      <c r="N623" s="82" t="s">
        <v>2180</v>
      </c>
      <c r="O623" s="82" t="s">
        <v>2173</v>
      </c>
    </row>
    <row r="624" spans="1:15" ht="15.75" hidden="1" x14ac:dyDescent="0.25">
      <c r="A624" t="str">
        <f t="shared" si="9"/>
        <v>ALR_POMPA_GASOLIO-Allarme pompa gasolio</v>
      </c>
      <c r="C624" s="82" t="s">
        <v>568</v>
      </c>
      <c r="D624" s="82" t="s">
        <v>569</v>
      </c>
      <c r="E624" s="82" t="s">
        <v>2163</v>
      </c>
      <c r="F624" s="82" t="s">
        <v>568</v>
      </c>
      <c r="G624" s="82" t="s">
        <v>1946</v>
      </c>
      <c r="H624" s="82" t="s">
        <v>2165</v>
      </c>
      <c r="I624" s="82" t="s">
        <v>24</v>
      </c>
      <c r="J624" s="82" t="s">
        <v>2171</v>
      </c>
      <c r="K624" s="82" t="s">
        <v>2167</v>
      </c>
      <c r="L624" s="82" t="s">
        <v>1946</v>
      </c>
      <c r="M624" s="82" t="s">
        <v>2090</v>
      </c>
      <c r="N624" s="82" t="s">
        <v>1946</v>
      </c>
      <c r="O624" s="82" t="s">
        <v>2173</v>
      </c>
    </row>
    <row r="625" spans="1:15" ht="15.75" hidden="1" x14ac:dyDescent="0.25">
      <c r="A625" t="str">
        <f t="shared" si="9"/>
        <v>ALR_POMPA_PILOTA-Allarme generico pompa pilota</v>
      </c>
      <c r="C625" s="82" t="s">
        <v>571</v>
      </c>
      <c r="D625" s="82" t="s">
        <v>572</v>
      </c>
      <c r="E625" s="82" t="s">
        <v>2163</v>
      </c>
      <c r="F625" s="82" t="s">
        <v>571</v>
      </c>
      <c r="G625" s="82" t="s">
        <v>1946</v>
      </c>
      <c r="H625" s="82" t="s">
        <v>2165</v>
      </c>
      <c r="I625" s="82" t="s">
        <v>24</v>
      </c>
      <c r="J625" s="82" t="s">
        <v>2171</v>
      </c>
      <c r="K625" s="82" t="s">
        <v>2167</v>
      </c>
      <c r="L625" s="82" t="s">
        <v>1946</v>
      </c>
      <c r="M625" s="82" t="s">
        <v>2090</v>
      </c>
      <c r="N625" s="82" t="s">
        <v>1946</v>
      </c>
      <c r="O625" s="82" t="s">
        <v>2173</v>
      </c>
    </row>
    <row r="626" spans="1:15" ht="15.75" hidden="1" x14ac:dyDescent="0.25">
      <c r="A626" t="str">
        <f t="shared" si="9"/>
        <v>ALR_POMPA_PILOTA_AVVIATA-Allarme pompa pilota avviata</v>
      </c>
      <c r="C626" s="82" t="s">
        <v>574</v>
      </c>
      <c r="D626" s="82" t="s">
        <v>575</v>
      </c>
      <c r="E626" s="82" t="s">
        <v>2163</v>
      </c>
      <c r="F626" s="82" t="s">
        <v>574</v>
      </c>
      <c r="G626" s="82" t="s">
        <v>1946</v>
      </c>
      <c r="H626" s="82" t="s">
        <v>2165</v>
      </c>
      <c r="I626" s="82" t="s">
        <v>33</v>
      </c>
      <c r="J626" s="82" t="s">
        <v>2174</v>
      </c>
      <c r="K626" s="82" t="s">
        <v>2173</v>
      </c>
      <c r="L626" s="82" t="s">
        <v>1946</v>
      </c>
      <c r="M626" s="82" t="s">
        <v>2176</v>
      </c>
      <c r="N626" s="82" t="s">
        <v>2180</v>
      </c>
      <c r="O626" s="82" t="s">
        <v>2173</v>
      </c>
    </row>
    <row r="627" spans="1:15" ht="15.75" hidden="1" x14ac:dyDescent="0.25">
      <c r="A627" t="str">
        <f t="shared" si="9"/>
        <v>ALR_PORTA-Allarme porta aperta bypass</v>
      </c>
      <c r="C627" s="82" t="s">
        <v>577</v>
      </c>
      <c r="D627" s="82" t="s">
        <v>578</v>
      </c>
      <c r="E627" s="82" t="s">
        <v>2163</v>
      </c>
      <c r="F627" s="82" t="s">
        <v>577</v>
      </c>
      <c r="G627" s="82" t="s">
        <v>1946</v>
      </c>
      <c r="H627" s="82" t="s">
        <v>2165</v>
      </c>
      <c r="I627" s="82" t="s">
        <v>157</v>
      </c>
      <c r="J627" s="82" t="s">
        <v>2181</v>
      </c>
      <c r="K627" s="82" t="s">
        <v>2167</v>
      </c>
      <c r="L627" s="82" t="s">
        <v>2179</v>
      </c>
      <c r="M627" s="82" t="s">
        <v>2176</v>
      </c>
      <c r="N627" s="82" t="s">
        <v>2180</v>
      </c>
      <c r="O627" s="82" t="s">
        <v>2173</v>
      </c>
    </row>
    <row r="628" spans="1:15" ht="15.75" hidden="1" x14ac:dyDescent="0.25">
      <c r="A628" t="str">
        <f t="shared" si="9"/>
        <v>ALR_PORTA_APERTA_DX-Allarme porta aperta dx</v>
      </c>
      <c r="C628" s="82" t="s">
        <v>1495</v>
      </c>
      <c r="D628" s="82" t="s">
        <v>1496</v>
      </c>
      <c r="E628" s="82" t="s">
        <v>2163</v>
      </c>
      <c r="F628" s="82" t="s">
        <v>1495</v>
      </c>
      <c r="G628" s="82" t="s">
        <v>1946</v>
      </c>
      <c r="H628" s="82" t="s">
        <v>2165</v>
      </c>
      <c r="I628" s="82" t="s">
        <v>24</v>
      </c>
      <c r="J628" s="82" t="s">
        <v>2171</v>
      </c>
      <c r="K628" s="82" t="s">
        <v>2167</v>
      </c>
      <c r="L628" s="82" t="s">
        <v>2179</v>
      </c>
      <c r="M628" s="82" t="s">
        <v>2176</v>
      </c>
      <c r="N628" s="82" t="s">
        <v>2177</v>
      </c>
      <c r="O628" s="82" t="s">
        <v>2173</v>
      </c>
    </row>
    <row r="629" spans="1:15" ht="15.75" hidden="1" x14ac:dyDescent="0.25">
      <c r="A629" t="str">
        <f t="shared" si="9"/>
        <v>ALR_PORTA_APERTA_SX-Allarme porta aperta sx</v>
      </c>
      <c r="C629" s="82" t="s">
        <v>1497</v>
      </c>
      <c r="D629" s="82" t="s">
        <v>1498</v>
      </c>
      <c r="E629" s="82" t="s">
        <v>2163</v>
      </c>
      <c r="F629" s="82" t="s">
        <v>1497</v>
      </c>
      <c r="G629" s="82" t="s">
        <v>1946</v>
      </c>
      <c r="H629" s="82" t="s">
        <v>2165</v>
      </c>
      <c r="I629" s="82" t="s">
        <v>24</v>
      </c>
      <c r="J629" s="82" t="s">
        <v>2171</v>
      </c>
      <c r="K629" s="82" t="s">
        <v>2167</v>
      </c>
      <c r="L629" s="82" t="s">
        <v>2179</v>
      </c>
      <c r="M629" s="82" t="s">
        <v>2176</v>
      </c>
      <c r="N629" s="82" t="s">
        <v>2177</v>
      </c>
      <c r="O629" s="82" t="s">
        <v>2173</v>
      </c>
    </row>
    <row r="630" spans="1:15" ht="15.75" hidden="1" x14ac:dyDescent="0.25">
      <c r="A630" t="str">
        <f t="shared" si="9"/>
        <v>ALR_PORTA_ESTINTORI-Allarme porta estintore aperta</v>
      </c>
      <c r="C630" s="82" t="s">
        <v>580</v>
      </c>
      <c r="D630" s="82" t="s">
        <v>581</v>
      </c>
      <c r="E630" s="82" t="s">
        <v>2163</v>
      </c>
      <c r="F630" s="82" t="s">
        <v>580</v>
      </c>
      <c r="G630" s="82" t="s">
        <v>1946</v>
      </c>
      <c r="H630" s="82" t="s">
        <v>2165</v>
      </c>
      <c r="I630" s="82" t="s">
        <v>24</v>
      </c>
      <c r="J630" s="82" t="s">
        <v>2171</v>
      </c>
      <c r="K630" s="82" t="s">
        <v>2167</v>
      </c>
      <c r="L630" s="82" t="s">
        <v>1946</v>
      </c>
      <c r="M630" s="82" t="s">
        <v>2176</v>
      </c>
      <c r="N630" s="82" t="s">
        <v>2177</v>
      </c>
      <c r="O630" s="82" t="s">
        <v>2173</v>
      </c>
    </row>
    <row r="631" spans="1:15" ht="15.75" hidden="1" x14ac:dyDescent="0.25">
      <c r="A631" t="str">
        <f t="shared" si="9"/>
        <v>ALR_PORTA_IN_ERRORE-Allarme porta in errore RACK</v>
      </c>
      <c r="C631" s="82" t="s">
        <v>582</v>
      </c>
      <c r="D631" s="82" t="s">
        <v>583</v>
      </c>
      <c r="E631" s="82" t="s">
        <v>2163</v>
      </c>
      <c r="F631" s="82" t="s">
        <v>582</v>
      </c>
      <c r="G631" s="82" t="s">
        <v>1946</v>
      </c>
      <c r="H631" s="82" t="s">
        <v>2165</v>
      </c>
      <c r="I631" s="82" t="s">
        <v>24</v>
      </c>
      <c r="J631" s="82" t="s">
        <v>2171</v>
      </c>
      <c r="K631" s="82" t="s">
        <v>2167</v>
      </c>
      <c r="L631" s="82" t="s">
        <v>1946</v>
      </c>
      <c r="M631" s="82" t="s">
        <v>2090</v>
      </c>
      <c r="N631" s="82" t="s">
        <v>1946</v>
      </c>
      <c r="O631" s="82" t="s">
        <v>2173</v>
      </c>
    </row>
    <row r="632" spans="1:15" ht="15.75" hidden="1" x14ac:dyDescent="0.25">
      <c r="A632" t="str">
        <f t="shared" si="9"/>
        <v>ALR_PORTA_LOCALI-Allarme porta aperta locali</v>
      </c>
      <c r="C632" s="82" t="s">
        <v>585</v>
      </c>
      <c r="D632" s="82" t="s">
        <v>586</v>
      </c>
      <c r="E632" s="82" t="s">
        <v>2163</v>
      </c>
      <c r="F632" s="82" t="s">
        <v>585</v>
      </c>
      <c r="G632" s="82" t="s">
        <v>1946</v>
      </c>
      <c r="H632" s="82" t="s">
        <v>2165</v>
      </c>
      <c r="I632" s="82" t="s">
        <v>33</v>
      </c>
      <c r="J632" s="82" t="s">
        <v>2174</v>
      </c>
      <c r="K632" s="82" t="s">
        <v>2173</v>
      </c>
      <c r="L632" s="82" t="s">
        <v>1946</v>
      </c>
      <c r="M632" s="82" t="s">
        <v>2176</v>
      </c>
      <c r="N632" s="82" t="s">
        <v>2180</v>
      </c>
      <c r="O632" s="82" t="s">
        <v>2173</v>
      </c>
    </row>
    <row r="633" spans="1:15" ht="15.75" hidden="1" x14ac:dyDescent="0.25">
      <c r="A633" t="str">
        <f t="shared" si="9"/>
        <v>ALR_PORTA_MANICHETTA-Allarme porta manichetta aperta</v>
      </c>
      <c r="C633" s="82" t="s">
        <v>588</v>
      </c>
      <c r="D633" s="82" t="s">
        <v>589</v>
      </c>
      <c r="E633" s="82" t="s">
        <v>2163</v>
      </c>
      <c r="F633" s="82" t="s">
        <v>588</v>
      </c>
      <c r="G633" s="82" t="s">
        <v>1946</v>
      </c>
      <c r="H633" s="82" t="s">
        <v>2165</v>
      </c>
      <c r="I633" s="82" t="s">
        <v>24</v>
      </c>
      <c r="J633" s="82" t="s">
        <v>2171</v>
      </c>
      <c r="K633" s="82" t="s">
        <v>2167</v>
      </c>
      <c r="L633" s="82" t="s">
        <v>2179</v>
      </c>
      <c r="M633" s="82" t="s">
        <v>2176</v>
      </c>
      <c r="N633" s="82" t="s">
        <v>2177</v>
      </c>
      <c r="O633" s="82" t="s">
        <v>2173</v>
      </c>
    </row>
    <row r="634" spans="1:15" ht="15.75" hidden="1" x14ac:dyDescent="0.25">
      <c r="A634" t="str">
        <f t="shared" si="9"/>
        <v>ALR_PORTA_PLC-Allarme porta PLC RIO aperta</v>
      </c>
      <c r="C634" s="82" t="s">
        <v>591</v>
      </c>
      <c r="D634" s="82" t="s">
        <v>592</v>
      </c>
      <c r="E634" s="82" t="s">
        <v>2163</v>
      </c>
      <c r="F634" s="82" t="s">
        <v>591</v>
      </c>
      <c r="G634" s="82" t="s">
        <v>1946</v>
      </c>
      <c r="H634" s="82" t="s">
        <v>2165</v>
      </c>
      <c r="I634" s="82" t="s">
        <v>24</v>
      </c>
      <c r="J634" s="82" t="s">
        <v>2171</v>
      </c>
      <c r="K634" s="82" t="s">
        <v>2167</v>
      </c>
      <c r="L634" s="82" t="s">
        <v>1946</v>
      </c>
      <c r="M634" s="82" t="s">
        <v>2090</v>
      </c>
      <c r="N634" s="82" t="s">
        <v>1946</v>
      </c>
      <c r="O634" s="82" t="s">
        <v>2173</v>
      </c>
    </row>
    <row r="635" spans="1:15" ht="15.75" hidden="1" x14ac:dyDescent="0.25">
      <c r="A635" t="str">
        <f t="shared" si="9"/>
        <v>ALR_PORTA_TELEFONO-Allarme porta telefono aperta</v>
      </c>
      <c r="C635" s="82" t="s">
        <v>593</v>
      </c>
      <c r="D635" s="82" t="s">
        <v>594</v>
      </c>
      <c r="E635" s="82" t="s">
        <v>2163</v>
      </c>
      <c r="F635" s="82" t="s">
        <v>593</v>
      </c>
      <c r="G635" s="82" t="s">
        <v>1946</v>
      </c>
      <c r="H635" s="82" t="s">
        <v>2165</v>
      </c>
      <c r="I635" s="82" t="s">
        <v>24</v>
      </c>
      <c r="J635" s="82" t="s">
        <v>2171</v>
      </c>
      <c r="K635" s="82" t="s">
        <v>2167</v>
      </c>
      <c r="L635" s="82" t="s">
        <v>1946</v>
      </c>
      <c r="M635" s="82" t="s">
        <v>2090</v>
      </c>
      <c r="N635" s="82" t="s">
        <v>1946</v>
      </c>
      <c r="O635" s="82" t="s">
        <v>2173</v>
      </c>
    </row>
    <row r="636" spans="1:15" ht="15.75" hidden="1" x14ac:dyDescent="0.25">
      <c r="A636" t="str">
        <f t="shared" si="9"/>
        <v>ALR_POSIZIONE_INCENDIO_SOPRA_SOGLIA-Allarme posizione incendio sopra soglia</v>
      </c>
      <c r="C636" s="82" t="s">
        <v>1499</v>
      </c>
      <c r="D636" s="82" t="s">
        <v>1500</v>
      </c>
      <c r="E636" s="82" t="s">
        <v>2163</v>
      </c>
      <c r="F636" s="82" t="s">
        <v>1499</v>
      </c>
      <c r="G636" s="82" t="s">
        <v>1946</v>
      </c>
      <c r="H636" s="82" t="s">
        <v>2165</v>
      </c>
      <c r="I636" s="82" t="s">
        <v>33</v>
      </c>
      <c r="J636" s="82" t="s">
        <v>2174</v>
      </c>
      <c r="K636" s="82" t="s">
        <v>2173</v>
      </c>
      <c r="L636" s="82" t="s">
        <v>1946</v>
      </c>
      <c r="M636" s="82" t="s">
        <v>2090</v>
      </c>
      <c r="N636" s="82" t="s">
        <v>1946</v>
      </c>
      <c r="O636" s="82" t="s">
        <v>2173</v>
      </c>
    </row>
    <row r="637" spans="1:15" ht="15.75" hidden="1" x14ac:dyDescent="0.25">
      <c r="A637" t="str">
        <f t="shared" si="9"/>
        <v>ALR_POSIZIONE_INCENDIO_SOTTO_SOGLIA-Allarme posizione incendio sotto soglia</v>
      </c>
      <c r="C637" s="82" t="s">
        <v>1501</v>
      </c>
      <c r="D637" s="82" t="s">
        <v>1502</v>
      </c>
      <c r="E637" s="82" t="s">
        <v>2163</v>
      </c>
      <c r="F637" s="82" t="s">
        <v>1501</v>
      </c>
      <c r="G637" s="82" t="s">
        <v>1946</v>
      </c>
      <c r="H637" s="82" t="s">
        <v>2165</v>
      </c>
      <c r="I637" s="82" t="s">
        <v>33</v>
      </c>
      <c r="J637" s="82" t="s">
        <v>2174</v>
      </c>
      <c r="K637" s="82" t="s">
        <v>2173</v>
      </c>
      <c r="L637" s="82" t="s">
        <v>1946</v>
      </c>
      <c r="M637" s="82" t="s">
        <v>2090</v>
      </c>
      <c r="N637" s="82" t="s">
        <v>1946</v>
      </c>
      <c r="O637" s="82" t="s">
        <v>2173</v>
      </c>
    </row>
    <row r="638" spans="1:15" ht="15.75" hidden="1" x14ac:dyDescent="0.25">
      <c r="A638" t="str">
        <f t="shared" si="9"/>
        <v>ALR_POTENZA_INVERSA_ALTERNATORE-Allarme potenza inversa alternatore</v>
      </c>
      <c r="C638" s="82" t="s">
        <v>595</v>
      </c>
      <c r="D638" s="82" t="s">
        <v>596</v>
      </c>
      <c r="E638" s="82" t="s">
        <v>2163</v>
      </c>
      <c r="F638" s="82" t="s">
        <v>595</v>
      </c>
      <c r="G638" s="82" t="s">
        <v>1946</v>
      </c>
      <c r="H638" s="82" t="s">
        <v>2165</v>
      </c>
      <c r="I638" s="82" t="s">
        <v>24</v>
      </c>
      <c r="J638" s="82" t="s">
        <v>2171</v>
      </c>
      <c r="K638" s="82" t="s">
        <v>2167</v>
      </c>
      <c r="L638" s="82" t="s">
        <v>1946</v>
      </c>
      <c r="M638" s="82" t="s">
        <v>2090</v>
      </c>
      <c r="N638" s="82" t="s">
        <v>1946</v>
      </c>
      <c r="O638" s="82" t="s">
        <v>2173</v>
      </c>
    </row>
    <row r="639" spans="1:15" ht="15.75" hidden="1" x14ac:dyDescent="0.25">
      <c r="A639" t="str">
        <f t="shared" si="9"/>
        <v>ALR_PREALLARME_ALLAGAMENTO-Preallarme allagamento</v>
      </c>
      <c r="C639" s="82" t="s">
        <v>597</v>
      </c>
      <c r="D639" s="82" t="s">
        <v>598</v>
      </c>
      <c r="E639" s="82" t="s">
        <v>2163</v>
      </c>
      <c r="F639" s="82" t="s">
        <v>597</v>
      </c>
      <c r="G639" s="82" t="s">
        <v>1946</v>
      </c>
      <c r="H639" s="82" t="s">
        <v>2165</v>
      </c>
      <c r="I639" s="82" t="s">
        <v>157</v>
      </c>
      <c r="J639" s="82" t="s">
        <v>2181</v>
      </c>
      <c r="K639" s="82" t="s">
        <v>2167</v>
      </c>
      <c r="L639" s="82" t="s">
        <v>2179</v>
      </c>
      <c r="M639" s="82" t="s">
        <v>2176</v>
      </c>
      <c r="N639" s="82" t="s">
        <v>2180</v>
      </c>
      <c r="O639" s="82" t="s">
        <v>2173</v>
      </c>
    </row>
    <row r="640" spans="1:15" ht="15.75" hidden="1" x14ac:dyDescent="0.25">
      <c r="A640" t="str">
        <f t="shared" si="9"/>
        <v>ALR_PREALLARME_ALLAGAMENTO_1_IMP-Preallarme allagamento</v>
      </c>
      <c r="C640" s="82" t="s">
        <v>2479</v>
      </c>
      <c r="D640" s="82" t="s">
        <v>598</v>
      </c>
      <c r="E640" s="82" t="s">
        <v>2163</v>
      </c>
      <c r="F640" s="82" t="s">
        <v>2479</v>
      </c>
      <c r="G640" s="82" t="s">
        <v>1946</v>
      </c>
      <c r="H640" s="82" t="s">
        <v>2165</v>
      </c>
      <c r="I640" s="82" t="s">
        <v>157</v>
      </c>
      <c r="J640" s="82" t="s">
        <v>2181</v>
      </c>
      <c r="K640" s="82" t="s">
        <v>2173</v>
      </c>
      <c r="L640" s="82" t="s">
        <v>1946</v>
      </c>
      <c r="M640" s="82" t="s">
        <v>2183</v>
      </c>
      <c r="N640" s="82" t="s">
        <v>1946</v>
      </c>
      <c r="O640" s="82" t="s">
        <v>2173</v>
      </c>
    </row>
    <row r="641" spans="1:15" ht="15.75" hidden="1" x14ac:dyDescent="0.25">
      <c r="A641" t="str">
        <f t="shared" si="9"/>
        <v>ALR_PREALLARME_TRAFO-Preallarme temperatura trafo</v>
      </c>
      <c r="C641" s="82" t="s">
        <v>600</v>
      </c>
      <c r="D641" s="82" t="s">
        <v>601</v>
      </c>
      <c r="E641" s="82" t="s">
        <v>2163</v>
      </c>
      <c r="F641" s="82" t="s">
        <v>600</v>
      </c>
      <c r="G641" s="82" t="s">
        <v>1946</v>
      </c>
      <c r="H641" s="82" t="s">
        <v>2165</v>
      </c>
      <c r="I641" s="82" t="s">
        <v>24</v>
      </c>
      <c r="J641" s="82" t="s">
        <v>2171</v>
      </c>
      <c r="K641" s="82" t="s">
        <v>2167</v>
      </c>
      <c r="L641" s="82" t="s">
        <v>1946</v>
      </c>
      <c r="M641" s="82" t="s">
        <v>2090</v>
      </c>
      <c r="N641" s="82" t="s">
        <v>1946</v>
      </c>
      <c r="O641" s="82" t="s">
        <v>2173</v>
      </c>
    </row>
    <row r="642" spans="1:15" ht="15.75" hidden="1" x14ac:dyDescent="0.25">
      <c r="A642" t="str">
        <f t="shared" si="9"/>
        <v>ALR_PREALLARME_VIBRAZIONe-Preallarme vibrazione</v>
      </c>
      <c r="C642" s="82" t="s">
        <v>1503</v>
      </c>
      <c r="D642" s="82" t="s">
        <v>1504</v>
      </c>
      <c r="E642" s="82" t="s">
        <v>2163</v>
      </c>
      <c r="F642" s="82" t="s">
        <v>1503</v>
      </c>
      <c r="G642" s="82" t="s">
        <v>1946</v>
      </c>
      <c r="H642" s="82" t="s">
        <v>2165</v>
      </c>
      <c r="I642" s="82" t="s">
        <v>24</v>
      </c>
      <c r="J642" s="82" t="s">
        <v>2171</v>
      </c>
      <c r="K642" s="82" t="s">
        <v>2167</v>
      </c>
      <c r="L642" s="82" t="s">
        <v>1946</v>
      </c>
      <c r="M642" s="82" t="s">
        <v>2090</v>
      </c>
      <c r="N642" s="82" t="s">
        <v>1946</v>
      </c>
      <c r="O642" s="82" t="s">
        <v>2173</v>
      </c>
    </row>
    <row r="643" spans="1:15" ht="15.75" hidden="1" x14ac:dyDescent="0.25">
      <c r="A643" t="str">
        <f t="shared" ref="A643:A706" si="10">CONCATENATE(F643,"-",D643)</f>
        <v>ALR_PRESENZA_OLIO-Allarme presenza olio</v>
      </c>
      <c r="C643" s="82" t="s">
        <v>2056</v>
      </c>
      <c r="D643" s="82" t="s">
        <v>2057</v>
      </c>
      <c r="E643" s="82" t="s">
        <v>2163</v>
      </c>
      <c r="F643" s="82" t="s">
        <v>2056</v>
      </c>
      <c r="G643" s="82" t="s">
        <v>1946</v>
      </c>
      <c r="H643" s="82" t="s">
        <v>2165</v>
      </c>
      <c r="I643" s="82" t="s">
        <v>24</v>
      </c>
      <c r="J643" s="82" t="s">
        <v>2171</v>
      </c>
      <c r="K643" s="82" t="s">
        <v>2167</v>
      </c>
      <c r="L643" s="82" t="s">
        <v>1946</v>
      </c>
      <c r="M643" s="82" t="s">
        <v>2090</v>
      </c>
      <c r="N643" s="82" t="s">
        <v>1946</v>
      </c>
      <c r="O643" s="82" t="s">
        <v>2173</v>
      </c>
    </row>
    <row r="644" spans="1:15" ht="15.75" hidden="1" x14ac:dyDescent="0.25">
      <c r="A644" t="str">
        <f t="shared" si="10"/>
        <v>ALR_PRESSIONE-Allarme pressione</v>
      </c>
      <c r="C644" s="82" t="s">
        <v>602</v>
      </c>
      <c r="D644" s="82" t="s">
        <v>1505</v>
      </c>
      <c r="E644" s="82" t="s">
        <v>2163</v>
      </c>
      <c r="F644" s="82" t="s">
        <v>602</v>
      </c>
      <c r="G644" s="82" t="s">
        <v>1946</v>
      </c>
      <c r="H644" s="82" t="s">
        <v>2165</v>
      </c>
      <c r="I644" s="82" t="s">
        <v>24</v>
      </c>
      <c r="J644" s="82" t="s">
        <v>2171</v>
      </c>
      <c r="K644" s="82" t="s">
        <v>2167</v>
      </c>
      <c r="L644" s="82" t="s">
        <v>1946</v>
      </c>
      <c r="M644" s="82" t="s">
        <v>2090</v>
      </c>
      <c r="N644" s="82" t="s">
        <v>1946</v>
      </c>
      <c r="O644" s="82" t="s">
        <v>2173</v>
      </c>
    </row>
    <row r="645" spans="1:15" ht="15.75" hidden="1" x14ac:dyDescent="0.25">
      <c r="A645" t="str">
        <f t="shared" si="10"/>
        <v>ALR_PRESSURIZZAZIONE-Allarme pressurizzazione</v>
      </c>
      <c r="C645" s="82" t="s">
        <v>1506</v>
      </c>
      <c r="D645" s="82" t="s">
        <v>1507</v>
      </c>
      <c r="E645" s="82" t="s">
        <v>2163</v>
      </c>
      <c r="F645" s="82" t="s">
        <v>1506</v>
      </c>
      <c r="G645" s="82" t="s">
        <v>1946</v>
      </c>
      <c r="H645" s="82" t="s">
        <v>2165</v>
      </c>
      <c r="I645" s="82" t="s">
        <v>24</v>
      </c>
      <c r="J645" s="82" t="s">
        <v>2171</v>
      </c>
      <c r="K645" s="82" t="s">
        <v>2167</v>
      </c>
      <c r="L645" s="82" t="s">
        <v>1946</v>
      </c>
      <c r="M645" s="82" t="s">
        <v>2090</v>
      </c>
      <c r="N645" s="82" t="s">
        <v>1946</v>
      </c>
      <c r="O645" s="82" t="s">
        <v>2173</v>
      </c>
    </row>
    <row r="646" spans="1:15" ht="15.75" hidden="1" x14ac:dyDescent="0.25">
      <c r="A646" t="str">
        <f t="shared" si="10"/>
        <v>ALR_PRIMO_LIVELLO_CO-Allarme primo livello CO</v>
      </c>
      <c r="C646" s="82" t="s">
        <v>2480</v>
      </c>
      <c r="D646" s="82" t="s">
        <v>2481</v>
      </c>
      <c r="E646" s="82" t="s">
        <v>2163</v>
      </c>
      <c r="F646" s="82" t="s">
        <v>2480</v>
      </c>
      <c r="G646" s="82" t="s">
        <v>1946</v>
      </c>
      <c r="H646" s="82" t="s">
        <v>2165</v>
      </c>
      <c r="I646" s="82" t="s">
        <v>24</v>
      </c>
      <c r="J646" s="82" t="s">
        <v>2171</v>
      </c>
      <c r="K646" s="82" t="s">
        <v>2167</v>
      </c>
      <c r="L646" s="82" t="s">
        <v>1946</v>
      </c>
      <c r="M646" s="82" t="s">
        <v>2090</v>
      </c>
      <c r="N646" s="82" t="s">
        <v>1946</v>
      </c>
      <c r="O646" s="82" t="s">
        <v>2173</v>
      </c>
    </row>
    <row r="647" spans="1:15" ht="15.75" hidden="1" x14ac:dyDescent="0.25">
      <c r="A647" t="str">
        <f t="shared" si="10"/>
        <v>ALR_PRIMO_LIVELLO_COOP-Allarme primo livello CO-OP</v>
      </c>
      <c r="C647" s="82" t="s">
        <v>2482</v>
      </c>
      <c r="D647" s="82" t="s">
        <v>2483</v>
      </c>
      <c r="E647" s="82" t="s">
        <v>2163</v>
      </c>
      <c r="F647" s="82" t="s">
        <v>2482</v>
      </c>
      <c r="G647" s="82" t="s">
        <v>1946</v>
      </c>
      <c r="H647" s="82" t="s">
        <v>2165</v>
      </c>
      <c r="I647" s="82" t="s">
        <v>24</v>
      </c>
      <c r="J647" s="82" t="s">
        <v>2171</v>
      </c>
      <c r="K647" s="82" t="s">
        <v>2167</v>
      </c>
      <c r="L647" s="82" t="s">
        <v>1946</v>
      </c>
      <c r="M647" s="82" t="s">
        <v>2090</v>
      </c>
      <c r="N647" s="82" t="s">
        <v>1946</v>
      </c>
      <c r="O647" s="82" t="s">
        <v>2173</v>
      </c>
    </row>
    <row r="648" spans="1:15" ht="15.75" hidden="1" x14ac:dyDescent="0.25">
      <c r="A648" t="str">
        <f t="shared" si="10"/>
        <v>ALR_PRIMO_LIVELLO_OP-Allarme primo livello OP</v>
      </c>
      <c r="C648" s="82" t="s">
        <v>2484</v>
      </c>
      <c r="D648" s="82" t="s">
        <v>2485</v>
      </c>
      <c r="E648" s="82" t="s">
        <v>2163</v>
      </c>
      <c r="F648" s="82" t="s">
        <v>2484</v>
      </c>
      <c r="G648" s="82" t="s">
        <v>1946</v>
      </c>
      <c r="H648" s="82" t="s">
        <v>2165</v>
      </c>
      <c r="I648" s="82" t="s">
        <v>24</v>
      </c>
      <c r="J648" s="82" t="s">
        <v>2171</v>
      </c>
      <c r="K648" s="82" t="s">
        <v>2167</v>
      </c>
      <c r="L648" s="82" t="s">
        <v>1946</v>
      </c>
      <c r="M648" s="82" t="s">
        <v>2090</v>
      </c>
      <c r="N648" s="82" t="s">
        <v>1946</v>
      </c>
      <c r="O648" s="82" t="s">
        <v>2173</v>
      </c>
    </row>
    <row r="649" spans="1:15" ht="15.75" hidden="1" x14ac:dyDescent="0.25">
      <c r="A649" t="str">
        <f t="shared" si="10"/>
        <v>ALR_PRIORITA_MICROFONO_ATTIVA-Allarme priorità microfono attiva</v>
      </c>
      <c r="C649" s="82" t="s">
        <v>1508</v>
      </c>
      <c r="D649" s="82" t="s">
        <v>1509</v>
      </c>
      <c r="E649" s="82" t="s">
        <v>2163</v>
      </c>
      <c r="F649" s="82" t="s">
        <v>1508</v>
      </c>
      <c r="G649" s="82" t="s">
        <v>1946</v>
      </c>
      <c r="H649" s="82" t="s">
        <v>2165</v>
      </c>
      <c r="I649" s="82" t="s">
        <v>157</v>
      </c>
      <c r="J649" s="82" t="s">
        <v>2181</v>
      </c>
      <c r="K649" s="82" t="s">
        <v>2167</v>
      </c>
      <c r="L649" s="82" t="s">
        <v>1946</v>
      </c>
      <c r="M649" s="82" t="s">
        <v>2176</v>
      </c>
      <c r="N649" s="82" t="s">
        <v>2180</v>
      </c>
      <c r="O649" s="82" t="s">
        <v>2173</v>
      </c>
    </row>
    <row r="650" spans="1:15" ht="15.75" hidden="1" x14ac:dyDescent="0.25">
      <c r="A650" t="str">
        <f t="shared" si="10"/>
        <v>ALR_PROGRAMMA_CENTRALINA-Allarme programma centralina</v>
      </c>
      <c r="C650" s="82" t="s">
        <v>604</v>
      </c>
      <c r="D650" s="82" t="s">
        <v>605</v>
      </c>
      <c r="E650" s="82" t="s">
        <v>2163</v>
      </c>
      <c r="F650" s="82" t="s">
        <v>604</v>
      </c>
      <c r="G650" s="82" t="s">
        <v>1946</v>
      </c>
      <c r="H650" s="82" t="s">
        <v>2165</v>
      </c>
      <c r="I650" s="82" t="s">
        <v>24</v>
      </c>
      <c r="J650" s="82" t="s">
        <v>2171</v>
      </c>
      <c r="K650" s="82" t="s">
        <v>2167</v>
      </c>
      <c r="L650" s="82" t="s">
        <v>1946</v>
      </c>
      <c r="M650" s="82" t="s">
        <v>2090</v>
      </c>
      <c r="N650" s="82" t="s">
        <v>1946</v>
      </c>
      <c r="O650" s="82" t="s">
        <v>2173</v>
      </c>
    </row>
    <row r="651" spans="1:15" ht="15.75" hidden="1" x14ac:dyDescent="0.25">
      <c r="A651" t="str">
        <f t="shared" si="10"/>
        <v>ALR_PROTEZIONE_COMANDO_AVANTI-Allarme protezione comando avanti</v>
      </c>
      <c r="C651" s="82" t="s">
        <v>606</v>
      </c>
      <c r="D651" s="82" t="s">
        <v>607</v>
      </c>
      <c r="E651" s="82" t="s">
        <v>2163</v>
      </c>
      <c r="F651" s="82" t="s">
        <v>606</v>
      </c>
      <c r="G651" s="82" t="s">
        <v>1946</v>
      </c>
      <c r="H651" s="82" t="s">
        <v>2165</v>
      </c>
      <c r="I651" s="82" t="s">
        <v>24</v>
      </c>
      <c r="J651" s="82" t="s">
        <v>2171</v>
      </c>
      <c r="K651" s="82" t="s">
        <v>2167</v>
      </c>
      <c r="L651" s="82" t="s">
        <v>1946</v>
      </c>
      <c r="M651" s="82" t="s">
        <v>2090</v>
      </c>
      <c r="N651" s="82" t="s">
        <v>1946</v>
      </c>
      <c r="O651" s="82" t="s">
        <v>2173</v>
      </c>
    </row>
    <row r="652" spans="1:15" ht="15.75" hidden="1" x14ac:dyDescent="0.25">
      <c r="A652" t="str">
        <f t="shared" si="10"/>
        <v>ALR_PROTEZIONE_COMANDO_INDIETRO-Allarme protezione comando indietro</v>
      </c>
      <c r="C652" s="82" t="s">
        <v>608</v>
      </c>
      <c r="D652" s="82" t="s">
        <v>609</v>
      </c>
      <c r="E652" s="82" t="s">
        <v>2163</v>
      </c>
      <c r="F652" s="82" t="s">
        <v>608</v>
      </c>
      <c r="G652" s="82" t="s">
        <v>1946</v>
      </c>
      <c r="H652" s="82" t="s">
        <v>2165</v>
      </c>
      <c r="I652" s="82" t="s">
        <v>24</v>
      </c>
      <c r="J652" s="82" t="s">
        <v>2171</v>
      </c>
      <c r="K652" s="82" t="s">
        <v>2167</v>
      </c>
      <c r="L652" s="82" t="s">
        <v>1946</v>
      </c>
      <c r="M652" s="82" t="s">
        <v>2090</v>
      </c>
      <c r="N652" s="82" t="s">
        <v>1946</v>
      </c>
      <c r="O652" s="82" t="s">
        <v>2173</v>
      </c>
    </row>
    <row r="653" spans="1:15" ht="15.75" hidden="1" x14ac:dyDescent="0.25">
      <c r="A653" t="str">
        <f t="shared" si="10"/>
        <v>ALR_PROTEZIONE_FASE_1-Chiusura Allarme intervento protezione fase 1</v>
      </c>
      <c r="C653" s="82" t="s">
        <v>2486</v>
      </c>
      <c r="D653" s="82" t="s">
        <v>2487</v>
      </c>
      <c r="E653" s="82" t="s">
        <v>2163</v>
      </c>
      <c r="F653" s="82" t="s">
        <v>2486</v>
      </c>
      <c r="G653" s="82" t="s">
        <v>1946</v>
      </c>
      <c r="H653" s="82" t="s">
        <v>2165</v>
      </c>
      <c r="I653" s="82" t="s">
        <v>24</v>
      </c>
      <c r="J653" s="82" t="s">
        <v>2171</v>
      </c>
      <c r="K653" s="82" t="s">
        <v>2167</v>
      </c>
      <c r="L653" s="82" t="s">
        <v>1946</v>
      </c>
      <c r="M653" s="82" t="s">
        <v>2090</v>
      </c>
      <c r="N653" s="82" t="s">
        <v>1946</v>
      </c>
      <c r="O653" s="82" t="s">
        <v>2173</v>
      </c>
    </row>
    <row r="654" spans="1:15" ht="15.75" hidden="1" x14ac:dyDescent="0.25">
      <c r="A654" t="str">
        <f t="shared" si="10"/>
        <v>ALR_PROTEZIONE_FASE_2-Chiusura Allarme intervento protezione fase 2</v>
      </c>
      <c r="C654" s="82" t="s">
        <v>2488</v>
      </c>
      <c r="D654" s="82" t="s">
        <v>2489</v>
      </c>
      <c r="E654" s="82" t="s">
        <v>2163</v>
      </c>
      <c r="F654" s="82" t="s">
        <v>2488</v>
      </c>
      <c r="G654" s="82" t="s">
        <v>1946</v>
      </c>
      <c r="H654" s="82" t="s">
        <v>2165</v>
      </c>
      <c r="I654" s="82" t="s">
        <v>24</v>
      </c>
      <c r="J654" s="82" t="s">
        <v>2171</v>
      </c>
      <c r="K654" s="82" t="s">
        <v>2167</v>
      </c>
      <c r="L654" s="82" t="s">
        <v>1946</v>
      </c>
      <c r="M654" s="82" t="s">
        <v>2090</v>
      </c>
      <c r="N654" s="82" t="s">
        <v>1946</v>
      </c>
      <c r="O654" s="82" t="s">
        <v>2173</v>
      </c>
    </row>
    <row r="655" spans="1:15" ht="15.75" hidden="1" x14ac:dyDescent="0.25">
      <c r="A655" t="str">
        <f t="shared" si="10"/>
        <v>ALR_PROTEZIONE_GALLERIA_CANNA_NORD-Allarme protezione galleria canna Nord</v>
      </c>
      <c r="C655" s="82" t="s">
        <v>610</v>
      </c>
      <c r="D655" s="82" t="s">
        <v>611</v>
      </c>
      <c r="E655" s="82" t="s">
        <v>2163</v>
      </c>
      <c r="F655" s="82" t="s">
        <v>610</v>
      </c>
      <c r="G655" s="82" t="s">
        <v>1946</v>
      </c>
      <c r="H655" s="82" t="s">
        <v>2165</v>
      </c>
      <c r="I655" s="82" t="s">
        <v>24</v>
      </c>
      <c r="J655" s="82" t="s">
        <v>2171</v>
      </c>
      <c r="K655" s="82" t="s">
        <v>2167</v>
      </c>
      <c r="L655" s="82" t="s">
        <v>1946</v>
      </c>
      <c r="M655" s="82" t="s">
        <v>2090</v>
      </c>
      <c r="N655" s="82" t="s">
        <v>1946</v>
      </c>
      <c r="O655" s="82" t="s">
        <v>2173</v>
      </c>
    </row>
    <row r="656" spans="1:15" ht="15.75" hidden="1" x14ac:dyDescent="0.25">
      <c r="A656" t="str">
        <f t="shared" si="10"/>
        <v>ALR_PROTEZIONE_GALLERIA_CANNA_SUD-Allarme protezione galleria canna Sud</v>
      </c>
      <c r="C656" s="82" t="s">
        <v>612</v>
      </c>
      <c r="D656" s="82" t="s">
        <v>613</v>
      </c>
      <c r="E656" s="82" t="s">
        <v>2163</v>
      </c>
      <c r="F656" s="82" t="s">
        <v>612</v>
      </c>
      <c r="G656" s="82" t="s">
        <v>1946</v>
      </c>
      <c r="H656" s="82" t="s">
        <v>2165</v>
      </c>
      <c r="I656" s="82" t="s">
        <v>24</v>
      </c>
      <c r="J656" s="82" t="s">
        <v>2171</v>
      </c>
      <c r="K656" s="82" t="s">
        <v>2167</v>
      </c>
      <c r="L656" s="82" t="s">
        <v>1946</v>
      </c>
      <c r="M656" s="82" t="s">
        <v>2090</v>
      </c>
      <c r="N656" s="82" t="s">
        <v>1946</v>
      </c>
      <c r="O656" s="82" t="s">
        <v>2173</v>
      </c>
    </row>
    <row r="657" spans="1:15" ht="15.75" hidden="1" x14ac:dyDescent="0.25">
      <c r="A657" t="str">
        <f t="shared" si="10"/>
        <v>ALR_PROTEZIONE_INTERVENUTA_POMPA-Allarme protezione intervenuta pompa</v>
      </c>
      <c r="C657" s="82" t="s">
        <v>1511</v>
      </c>
      <c r="D657" s="82" t="s">
        <v>1512</v>
      </c>
      <c r="E657" s="82" t="s">
        <v>2163</v>
      </c>
      <c r="F657" s="82" t="s">
        <v>1511</v>
      </c>
      <c r="G657" s="82" t="s">
        <v>1946</v>
      </c>
      <c r="H657" s="82" t="s">
        <v>2165</v>
      </c>
      <c r="I657" s="82" t="s">
        <v>24</v>
      </c>
      <c r="J657" s="82" t="s">
        <v>2171</v>
      </c>
      <c r="K657" s="82" t="s">
        <v>2167</v>
      </c>
      <c r="L657" s="82" t="s">
        <v>1946</v>
      </c>
      <c r="M657" s="82" t="s">
        <v>2090</v>
      </c>
      <c r="N657" s="82" t="s">
        <v>1946</v>
      </c>
      <c r="O657" s="82" t="s">
        <v>2173</v>
      </c>
    </row>
    <row r="658" spans="1:15" ht="15.75" hidden="1" x14ac:dyDescent="0.25">
      <c r="A658" t="str">
        <f t="shared" si="10"/>
        <v>ALR_PROTEZIONE_TERRA_1-Chiusura Allarme intervento protezione terra 1</v>
      </c>
      <c r="C658" s="82" t="s">
        <v>2490</v>
      </c>
      <c r="D658" s="82" t="s">
        <v>2491</v>
      </c>
      <c r="E658" s="82" t="s">
        <v>2163</v>
      </c>
      <c r="F658" s="82" t="s">
        <v>2490</v>
      </c>
      <c r="G658" s="82" t="s">
        <v>1946</v>
      </c>
      <c r="H658" s="82" t="s">
        <v>2165</v>
      </c>
      <c r="I658" s="82" t="s">
        <v>24</v>
      </c>
      <c r="J658" s="82" t="s">
        <v>2171</v>
      </c>
      <c r="K658" s="82" t="s">
        <v>2167</v>
      </c>
      <c r="L658" s="82" t="s">
        <v>1946</v>
      </c>
      <c r="M658" s="82" t="s">
        <v>2090</v>
      </c>
      <c r="N658" s="82" t="s">
        <v>1946</v>
      </c>
      <c r="O658" s="82" t="s">
        <v>2173</v>
      </c>
    </row>
    <row r="659" spans="1:15" ht="15.75" hidden="1" x14ac:dyDescent="0.25">
      <c r="A659" t="str">
        <f t="shared" si="10"/>
        <v>ALR_PROTEZIONE_TERRA_2-Chiusura Allarme intervento protezione terra 2</v>
      </c>
      <c r="C659" s="82" t="s">
        <v>2492</v>
      </c>
      <c r="D659" s="82" t="s">
        <v>2493</v>
      </c>
      <c r="E659" s="82" t="s">
        <v>2163</v>
      </c>
      <c r="F659" s="82" t="s">
        <v>2492</v>
      </c>
      <c r="G659" s="82" t="s">
        <v>1946</v>
      </c>
      <c r="H659" s="82" t="s">
        <v>2165</v>
      </c>
      <c r="I659" s="82" t="s">
        <v>24</v>
      </c>
      <c r="J659" s="82" t="s">
        <v>2171</v>
      </c>
      <c r="K659" s="82" t="s">
        <v>2167</v>
      </c>
      <c r="L659" s="82" t="s">
        <v>1946</v>
      </c>
      <c r="M659" s="82" t="s">
        <v>2090</v>
      </c>
      <c r="N659" s="82" t="s">
        <v>1946</v>
      </c>
      <c r="O659" s="82" t="s">
        <v>2173</v>
      </c>
    </row>
    <row r="660" spans="1:15" ht="15.75" hidden="1" x14ac:dyDescent="0.25">
      <c r="A660" t="str">
        <f t="shared" si="10"/>
        <v>ALR_PROTEZIONE_USCITA_CANNA_NORD-Allarme protezione uscita canna Nord</v>
      </c>
      <c r="C660" s="82" t="s">
        <v>614</v>
      </c>
      <c r="D660" s="82" t="s">
        <v>615</v>
      </c>
      <c r="E660" s="82" t="s">
        <v>2163</v>
      </c>
      <c r="F660" s="82" t="s">
        <v>614</v>
      </c>
      <c r="G660" s="82" t="s">
        <v>1946</v>
      </c>
      <c r="H660" s="82" t="s">
        <v>2165</v>
      </c>
      <c r="I660" s="82" t="s">
        <v>24</v>
      </c>
      <c r="J660" s="82" t="s">
        <v>2171</v>
      </c>
      <c r="K660" s="82" t="s">
        <v>2167</v>
      </c>
      <c r="L660" s="82" t="s">
        <v>1946</v>
      </c>
      <c r="M660" s="82" t="s">
        <v>2090</v>
      </c>
      <c r="N660" s="82" t="s">
        <v>1946</v>
      </c>
      <c r="O660" s="82" t="s">
        <v>2173</v>
      </c>
    </row>
    <row r="661" spans="1:15" ht="15.75" hidden="1" x14ac:dyDescent="0.25">
      <c r="A661" t="str">
        <f t="shared" si="10"/>
        <v>ALR_PROTEZIONE_USCITA_CANNA_SUD-Allarme protezione uscita canna Sud</v>
      </c>
      <c r="C661" s="82" t="s">
        <v>616</v>
      </c>
      <c r="D661" s="82" t="s">
        <v>617</v>
      </c>
      <c r="E661" s="82" t="s">
        <v>2163</v>
      </c>
      <c r="F661" s="82" t="s">
        <v>616</v>
      </c>
      <c r="G661" s="82" t="s">
        <v>1946</v>
      </c>
      <c r="H661" s="82" t="s">
        <v>2165</v>
      </c>
      <c r="I661" s="82" t="s">
        <v>24</v>
      </c>
      <c r="J661" s="82" t="s">
        <v>2171</v>
      </c>
      <c r="K661" s="82" t="s">
        <v>2167</v>
      </c>
      <c r="L661" s="82" t="s">
        <v>1946</v>
      </c>
      <c r="M661" s="82" t="s">
        <v>2090</v>
      </c>
      <c r="N661" s="82" t="s">
        <v>1946</v>
      </c>
      <c r="O661" s="82" t="s">
        <v>2173</v>
      </c>
    </row>
    <row r="662" spans="1:15" ht="15.75" hidden="1" x14ac:dyDescent="0.25">
      <c r="A662" t="str">
        <f t="shared" si="10"/>
        <v xml:space="preserve">ALR_PULSANTE_ARRESTO-Allarme Pulsante D'arresto </v>
      </c>
      <c r="C662" s="82" t="s">
        <v>1513</v>
      </c>
      <c r="D662" s="82" t="s">
        <v>1514</v>
      </c>
      <c r="E662" s="82" t="s">
        <v>2163</v>
      </c>
      <c r="F662" s="82" t="s">
        <v>1513</v>
      </c>
      <c r="G662" s="82" t="s">
        <v>1946</v>
      </c>
      <c r="H662" s="82" t="s">
        <v>2165</v>
      </c>
      <c r="I662" s="82" t="s">
        <v>24</v>
      </c>
      <c r="J662" s="82" t="s">
        <v>2171</v>
      </c>
      <c r="K662" s="82" t="s">
        <v>2167</v>
      </c>
      <c r="L662" s="82" t="s">
        <v>1946</v>
      </c>
      <c r="M662" s="82" t="s">
        <v>2090</v>
      </c>
      <c r="N662" s="82" t="s">
        <v>1946</v>
      </c>
      <c r="O662" s="82" t="s">
        <v>2173</v>
      </c>
    </row>
    <row r="663" spans="1:15" ht="15.75" hidden="1" x14ac:dyDescent="0.25">
      <c r="A663" t="str">
        <f t="shared" si="10"/>
        <v>ALR_QGC_ANOMALIA_GRUPPO-Allarme interruttore</v>
      </c>
      <c r="C663" s="82" t="s">
        <v>2494</v>
      </c>
      <c r="D663" s="82" t="s">
        <v>1516</v>
      </c>
      <c r="E663" s="82" t="s">
        <v>2163</v>
      </c>
      <c r="F663" s="82" t="s">
        <v>2494</v>
      </c>
      <c r="G663" s="82" t="s">
        <v>1946</v>
      </c>
      <c r="H663" s="82" t="s">
        <v>2165</v>
      </c>
      <c r="I663" s="82" t="s">
        <v>24</v>
      </c>
      <c r="J663" s="82" t="s">
        <v>2171</v>
      </c>
      <c r="K663" s="82" t="s">
        <v>2167</v>
      </c>
      <c r="L663" s="82" t="s">
        <v>1946</v>
      </c>
      <c r="M663" s="82" t="s">
        <v>2090</v>
      </c>
      <c r="N663" s="82" t="s">
        <v>1946</v>
      </c>
      <c r="O663" s="82" t="s">
        <v>2173</v>
      </c>
    </row>
    <row r="664" spans="1:15" ht="15.75" hidden="1" x14ac:dyDescent="0.25">
      <c r="A664" t="str">
        <f t="shared" si="10"/>
        <v>ALR_QGC_GRUPPO-ALR_QGC_GRUPPO</v>
      </c>
      <c r="C664" s="82" t="s">
        <v>2495</v>
      </c>
      <c r="D664" s="82" t="s">
        <v>2495</v>
      </c>
      <c r="E664" s="82" t="s">
        <v>2163</v>
      </c>
      <c r="F664" s="82" t="s">
        <v>2495</v>
      </c>
      <c r="G664" s="82" t="s">
        <v>1946</v>
      </c>
      <c r="H664" s="82" t="s">
        <v>2165</v>
      </c>
      <c r="I664" s="82" t="s">
        <v>24</v>
      </c>
      <c r="J664" s="82" t="s">
        <v>2171</v>
      </c>
      <c r="K664" s="82" t="s">
        <v>2167</v>
      </c>
      <c r="L664" s="82" t="s">
        <v>1946</v>
      </c>
      <c r="M664" s="82" t="s">
        <v>2090</v>
      </c>
      <c r="N664" s="82" t="s">
        <v>1946</v>
      </c>
      <c r="O664" s="82" t="s">
        <v>2173</v>
      </c>
    </row>
    <row r="665" spans="1:15" ht="15.75" hidden="1" x14ac:dyDescent="0.25">
      <c r="A665" t="str">
        <f t="shared" si="10"/>
        <v>ALR_QGC_SCATTATO_INT-Allarme interruttore</v>
      </c>
      <c r="C665" s="82" t="s">
        <v>2496</v>
      </c>
      <c r="D665" s="82" t="s">
        <v>1516</v>
      </c>
      <c r="E665" s="82" t="s">
        <v>2163</v>
      </c>
      <c r="F665" s="82" t="s">
        <v>2496</v>
      </c>
      <c r="G665" s="82" t="s">
        <v>1946</v>
      </c>
      <c r="H665" s="82" t="s">
        <v>2165</v>
      </c>
      <c r="I665" s="82" t="s">
        <v>24</v>
      </c>
      <c r="J665" s="82" t="s">
        <v>2171</v>
      </c>
      <c r="K665" s="82" t="s">
        <v>2167</v>
      </c>
      <c r="L665" s="82" t="s">
        <v>1946</v>
      </c>
      <c r="M665" s="82" t="s">
        <v>2090</v>
      </c>
      <c r="N665" s="82" t="s">
        <v>1946</v>
      </c>
      <c r="O665" s="82" t="s">
        <v>2173</v>
      </c>
    </row>
    <row r="666" spans="1:15" ht="15.75" hidden="1" x14ac:dyDescent="0.25">
      <c r="A666" t="str">
        <f t="shared" si="10"/>
        <v>ALR_QGC_SCATTATO_INT_Q1_18-ALR_QGC_SCATTATO_INT_Q1_18</v>
      </c>
      <c r="C666" s="82" t="s">
        <v>2497</v>
      </c>
      <c r="D666" s="82" t="s">
        <v>2497</v>
      </c>
      <c r="E666" s="82" t="s">
        <v>2163</v>
      </c>
      <c r="F666" s="82" t="s">
        <v>2497</v>
      </c>
      <c r="G666" s="82" t="s">
        <v>1946</v>
      </c>
      <c r="H666" s="82" t="s">
        <v>2165</v>
      </c>
      <c r="I666" s="82" t="s">
        <v>24</v>
      </c>
      <c r="J666" s="82" t="s">
        <v>2171</v>
      </c>
      <c r="K666" s="82" t="s">
        <v>2167</v>
      </c>
      <c r="L666" s="82" t="s">
        <v>1946</v>
      </c>
      <c r="M666" s="82" t="s">
        <v>2090</v>
      </c>
      <c r="N666" s="82" t="s">
        <v>1946</v>
      </c>
      <c r="O666" s="82" t="s">
        <v>2173</v>
      </c>
    </row>
    <row r="667" spans="1:15" ht="15.75" hidden="1" x14ac:dyDescent="0.25">
      <c r="A667" t="str">
        <f t="shared" si="10"/>
        <v>ALR_QGC_TENSIONE_LATO_GRUPPO-ALR_QGC_TENSIONE_LATO_GRUPPO</v>
      </c>
      <c r="C667" s="82" t="s">
        <v>2498</v>
      </c>
      <c r="D667" s="82" t="s">
        <v>2498</v>
      </c>
      <c r="E667" s="82" t="s">
        <v>2163</v>
      </c>
      <c r="F667" s="82" t="s">
        <v>2498</v>
      </c>
      <c r="G667" s="82" t="s">
        <v>1946</v>
      </c>
      <c r="H667" s="82" t="s">
        <v>2165</v>
      </c>
      <c r="I667" s="82" t="s">
        <v>24</v>
      </c>
      <c r="J667" s="82" t="s">
        <v>2171</v>
      </c>
      <c r="K667" s="82" t="s">
        <v>2167</v>
      </c>
      <c r="L667" s="82" t="s">
        <v>1946</v>
      </c>
      <c r="M667" s="82" t="s">
        <v>2090</v>
      </c>
      <c r="N667" s="82" t="s">
        <v>1946</v>
      </c>
      <c r="O667" s="82" t="s">
        <v>2173</v>
      </c>
    </row>
    <row r="668" spans="1:15" ht="15.75" hidden="1" x14ac:dyDescent="0.25">
      <c r="A668" t="str">
        <f t="shared" si="10"/>
        <v>ALR_QGC_TENSIONE_RETE-ALR_QGC_TENSIONE_RETE</v>
      </c>
      <c r="C668" s="82" t="s">
        <v>2499</v>
      </c>
      <c r="D668" s="82" t="s">
        <v>2499</v>
      </c>
      <c r="E668" s="82" t="s">
        <v>2163</v>
      </c>
      <c r="F668" s="82" t="s">
        <v>2499</v>
      </c>
      <c r="G668" s="82" t="s">
        <v>1946</v>
      </c>
      <c r="H668" s="82" t="s">
        <v>2165</v>
      </c>
      <c r="I668" s="82" t="s">
        <v>24</v>
      </c>
      <c r="J668" s="82" t="s">
        <v>2171</v>
      </c>
      <c r="K668" s="82" t="s">
        <v>2167</v>
      </c>
      <c r="L668" s="82" t="s">
        <v>1946</v>
      </c>
      <c r="M668" s="82" t="s">
        <v>2090</v>
      </c>
      <c r="N668" s="82" t="s">
        <v>1946</v>
      </c>
      <c r="O668" s="82" t="s">
        <v>2173</v>
      </c>
    </row>
    <row r="669" spans="1:15" ht="15.75" hidden="1" x14ac:dyDescent="0.25">
      <c r="A669" t="str">
        <f t="shared" si="10"/>
        <v>ALR_QIG_PRESENZA_RETE-Allarme interruttore</v>
      </c>
      <c r="C669" s="82" t="s">
        <v>2500</v>
      </c>
      <c r="D669" s="82" t="s">
        <v>1516</v>
      </c>
      <c r="E669" s="82" t="s">
        <v>2163</v>
      </c>
      <c r="F669" s="82" t="s">
        <v>2500</v>
      </c>
      <c r="G669" s="82" t="s">
        <v>1946</v>
      </c>
      <c r="H669" s="82" t="s">
        <v>2165</v>
      </c>
      <c r="I669" s="82" t="s">
        <v>24</v>
      </c>
      <c r="J669" s="82" t="s">
        <v>2171</v>
      </c>
      <c r="K669" s="82" t="s">
        <v>2167</v>
      </c>
      <c r="L669" s="82" t="s">
        <v>1946</v>
      </c>
      <c r="M669" s="82" t="s">
        <v>2090</v>
      </c>
      <c r="N669" s="82" t="s">
        <v>1946</v>
      </c>
      <c r="O669" s="82" t="s">
        <v>2173</v>
      </c>
    </row>
    <row r="670" spans="1:15" ht="15.75" hidden="1" x14ac:dyDescent="0.25">
      <c r="A670" t="str">
        <f t="shared" si="10"/>
        <v>ALR_QIG_SCATTATO_INT-Allarme interruttore</v>
      </c>
      <c r="C670" s="82" t="s">
        <v>1515</v>
      </c>
      <c r="D670" s="82" t="s">
        <v>1516</v>
      </c>
      <c r="E670" s="82" t="s">
        <v>2163</v>
      </c>
      <c r="F670" s="82" t="s">
        <v>1515</v>
      </c>
      <c r="G670" s="82" t="s">
        <v>1946</v>
      </c>
      <c r="H670" s="82" t="s">
        <v>2165</v>
      </c>
      <c r="I670" s="82" t="s">
        <v>157</v>
      </c>
      <c r="J670" s="82" t="s">
        <v>2181</v>
      </c>
      <c r="K670" s="82" t="s">
        <v>2167</v>
      </c>
      <c r="L670" s="82" t="s">
        <v>1946</v>
      </c>
      <c r="M670" s="82" t="s">
        <v>2090</v>
      </c>
      <c r="N670" s="82" t="s">
        <v>1946</v>
      </c>
      <c r="O670" s="82" t="s">
        <v>2173</v>
      </c>
    </row>
    <row r="671" spans="1:15" ht="15.75" hidden="1" x14ac:dyDescent="0.25">
      <c r="A671" t="str">
        <f t="shared" si="10"/>
        <v>ALR_QILL_REVERBERI_BYPASS_AVARIA-ALR_QILL_REVERBERI_BYPASS_AVARIA</v>
      </c>
      <c r="C671" s="82" t="s">
        <v>2501</v>
      </c>
      <c r="D671" s="82" t="s">
        <v>2501</v>
      </c>
      <c r="E671" s="82" t="s">
        <v>2163</v>
      </c>
      <c r="F671" s="82" t="s">
        <v>2501</v>
      </c>
      <c r="G671" s="82" t="s">
        <v>1946</v>
      </c>
      <c r="H671" s="82" t="s">
        <v>2165</v>
      </c>
      <c r="I671" s="82" t="s">
        <v>24</v>
      </c>
      <c r="J671" s="82" t="s">
        <v>2171</v>
      </c>
      <c r="K671" s="82" t="s">
        <v>2167</v>
      </c>
      <c r="L671" s="82" t="s">
        <v>1946</v>
      </c>
      <c r="M671" s="82" t="s">
        <v>2090</v>
      </c>
      <c r="N671" s="82" t="s">
        <v>1946</v>
      </c>
      <c r="O671" s="82" t="s">
        <v>2173</v>
      </c>
    </row>
    <row r="672" spans="1:15" ht="15.75" hidden="1" x14ac:dyDescent="0.25">
      <c r="A672" t="str">
        <f t="shared" si="10"/>
        <v>ALR_QRP1A_ANOMALIA_REGOLAT_POTENZA_A-ALR_QRP1A_ANOMALIA_REGOLAT_POTENZA_A</v>
      </c>
      <c r="C672" s="82" t="s">
        <v>2502</v>
      </c>
      <c r="D672" s="82" t="s">
        <v>2502</v>
      </c>
      <c r="E672" s="82" t="s">
        <v>2163</v>
      </c>
      <c r="F672" s="82" t="s">
        <v>2502</v>
      </c>
      <c r="G672" s="82" t="s">
        <v>1946</v>
      </c>
      <c r="H672" s="82" t="s">
        <v>2165</v>
      </c>
      <c r="I672" s="82" t="s">
        <v>24</v>
      </c>
      <c r="J672" s="82" t="s">
        <v>2171</v>
      </c>
      <c r="K672" s="82" t="s">
        <v>2167</v>
      </c>
      <c r="L672" s="82" t="s">
        <v>1946</v>
      </c>
      <c r="M672" s="82" t="s">
        <v>2090</v>
      </c>
      <c r="N672" s="82" t="s">
        <v>1946</v>
      </c>
      <c r="O672" s="82" t="s">
        <v>2173</v>
      </c>
    </row>
    <row r="673" spans="1:15" ht="15.75" hidden="1" x14ac:dyDescent="0.25">
      <c r="A673" t="str">
        <f t="shared" si="10"/>
        <v>ALR_QRP1B_ANOMALIA_REGOLAT_POTENZA_A-ALR_QRP1B_ANOMALIA_REGOLAT_POTENZA_A</v>
      </c>
      <c r="C673" s="82" t="s">
        <v>2503</v>
      </c>
      <c r="D673" s="82" t="s">
        <v>2503</v>
      </c>
      <c r="E673" s="82" t="s">
        <v>2163</v>
      </c>
      <c r="F673" s="82" t="s">
        <v>2503</v>
      </c>
      <c r="G673" s="82" t="s">
        <v>1946</v>
      </c>
      <c r="H673" s="82" t="s">
        <v>2165</v>
      </c>
      <c r="I673" s="82" t="s">
        <v>24</v>
      </c>
      <c r="J673" s="82" t="s">
        <v>2171</v>
      </c>
      <c r="K673" s="82" t="s">
        <v>2167</v>
      </c>
      <c r="L673" s="82" t="s">
        <v>1946</v>
      </c>
      <c r="M673" s="82" t="s">
        <v>2090</v>
      </c>
      <c r="N673" s="82" t="s">
        <v>1946</v>
      </c>
      <c r="O673" s="82" t="s">
        <v>2173</v>
      </c>
    </row>
    <row r="674" spans="1:15" ht="15.75" hidden="1" x14ac:dyDescent="0.25">
      <c r="A674" t="str">
        <f t="shared" si="10"/>
        <v>ALR_QRP1B_ANOMALIA_REGOLAT_POTENZA_B-ALR_QRP1B_ANOMALIA_REGOLAT_POTENZA_B</v>
      </c>
      <c r="C674" s="82" t="s">
        <v>2504</v>
      </c>
      <c r="D674" s="82" t="s">
        <v>2504</v>
      </c>
      <c r="E674" s="82" t="s">
        <v>2163</v>
      </c>
      <c r="F674" s="82" t="s">
        <v>2504</v>
      </c>
      <c r="G674" s="82" t="s">
        <v>1946</v>
      </c>
      <c r="H674" s="82" t="s">
        <v>2165</v>
      </c>
      <c r="I674" s="82" t="s">
        <v>24</v>
      </c>
      <c r="J674" s="82" t="s">
        <v>2171</v>
      </c>
      <c r="K674" s="82" t="s">
        <v>2167</v>
      </c>
      <c r="L674" s="82" t="s">
        <v>1946</v>
      </c>
      <c r="M674" s="82" t="s">
        <v>2090</v>
      </c>
      <c r="N674" s="82" t="s">
        <v>1946</v>
      </c>
      <c r="O674" s="82" t="s">
        <v>2173</v>
      </c>
    </row>
    <row r="675" spans="1:15" ht="15.75" hidden="1" x14ac:dyDescent="0.25">
      <c r="A675" t="str">
        <f t="shared" si="10"/>
        <v>ALR_QUADRO_ILLUMINAZIONE-ALR_QUADRO_ILLUMINAZIONE</v>
      </c>
      <c r="C675" s="82" t="s">
        <v>2505</v>
      </c>
      <c r="D675" s="82" t="s">
        <v>2505</v>
      </c>
      <c r="E675" s="82" t="s">
        <v>2163</v>
      </c>
      <c r="F675" s="82" t="s">
        <v>2505</v>
      </c>
      <c r="G675" s="82" t="s">
        <v>1946</v>
      </c>
      <c r="H675" s="82" t="s">
        <v>2165</v>
      </c>
      <c r="I675" s="82" t="s">
        <v>24</v>
      </c>
      <c r="J675" s="82" t="s">
        <v>2171</v>
      </c>
      <c r="K675" s="82" t="s">
        <v>2167</v>
      </c>
      <c r="L675" s="82" t="s">
        <v>1946</v>
      </c>
      <c r="M675" s="82" t="s">
        <v>2090</v>
      </c>
      <c r="N675" s="82" t="s">
        <v>1946</v>
      </c>
      <c r="O675" s="82" t="s">
        <v>2173</v>
      </c>
    </row>
    <row r="676" spans="1:15" ht="15.75" hidden="1" x14ac:dyDescent="0.25">
      <c r="A676" t="str">
        <f t="shared" si="10"/>
        <v>ALR_REGISTRAZIONE_NON_ATTIVA-Allarme registrazione non attiva</v>
      </c>
      <c r="C676" s="82" t="s">
        <v>2506</v>
      </c>
      <c r="D676" s="82" t="s">
        <v>2507</v>
      </c>
      <c r="E676" s="82" t="s">
        <v>2163</v>
      </c>
      <c r="F676" s="82" t="s">
        <v>2506</v>
      </c>
      <c r="G676" s="82" t="s">
        <v>1946</v>
      </c>
      <c r="H676" s="82" t="s">
        <v>2165</v>
      </c>
      <c r="I676" s="82" t="s">
        <v>24</v>
      </c>
      <c r="J676" s="82" t="s">
        <v>2171</v>
      </c>
      <c r="K676" s="82" t="s">
        <v>2173</v>
      </c>
      <c r="L676" s="82" t="s">
        <v>1946</v>
      </c>
      <c r="M676" s="82" t="s">
        <v>2183</v>
      </c>
      <c r="N676" s="82" t="s">
        <v>1946</v>
      </c>
      <c r="O676" s="82" t="s">
        <v>2173</v>
      </c>
    </row>
    <row r="677" spans="1:15" ht="15.75" hidden="1" x14ac:dyDescent="0.25">
      <c r="A677" t="str">
        <f t="shared" si="10"/>
        <v>ALR_REGOLATORE-Allarme guasto regolatore</v>
      </c>
      <c r="C677" s="82" t="s">
        <v>618</v>
      </c>
      <c r="D677" s="82" t="s">
        <v>619</v>
      </c>
      <c r="E677" s="82" t="s">
        <v>2163</v>
      </c>
      <c r="F677" s="82" t="s">
        <v>618</v>
      </c>
      <c r="G677" s="82" t="s">
        <v>1946</v>
      </c>
      <c r="H677" s="82" t="s">
        <v>2165</v>
      </c>
      <c r="I677" s="82" t="s">
        <v>24</v>
      </c>
      <c r="J677" s="82" t="s">
        <v>2171</v>
      </c>
      <c r="K677" s="82" t="s">
        <v>2167</v>
      </c>
      <c r="L677" s="82" t="s">
        <v>1946</v>
      </c>
      <c r="M677" s="82" t="s">
        <v>2090</v>
      </c>
      <c r="N677" s="82" t="s">
        <v>1946</v>
      </c>
      <c r="O677" s="82" t="s">
        <v>2173</v>
      </c>
    </row>
    <row r="678" spans="1:15" ht="15.75" hidden="1" x14ac:dyDescent="0.25">
      <c r="A678" t="str">
        <f t="shared" si="10"/>
        <v>ALR_REGOLATORE_GUASTO-Allarme regolatore di flusso guasto</v>
      </c>
      <c r="C678" s="82" t="s">
        <v>620</v>
      </c>
      <c r="D678" s="82" t="s">
        <v>621</v>
      </c>
      <c r="E678" s="82" t="s">
        <v>2163</v>
      </c>
      <c r="F678" s="82" t="s">
        <v>620</v>
      </c>
      <c r="G678" s="82" t="s">
        <v>1946</v>
      </c>
      <c r="H678" s="82" t="s">
        <v>2165</v>
      </c>
      <c r="I678" s="82" t="s">
        <v>24</v>
      </c>
      <c r="J678" s="82" t="s">
        <v>2171</v>
      </c>
      <c r="K678" s="82" t="s">
        <v>2167</v>
      </c>
      <c r="L678" s="82" t="s">
        <v>1946</v>
      </c>
      <c r="M678" s="82" t="s">
        <v>2090</v>
      </c>
      <c r="N678" s="82" t="s">
        <v>1946</v>
      </c>
      <c r="O678" s="82" t="s">
        <v>2173</v>
      </c>
    </row>
    <row r="679" spans="1:15" ht="15.75" hidden="1" x14ac:dyDescent="0.25">
      <c r="A679" t="str">
        <f t="shared" si="10"/>
        <v>ALR_RELE_SEQUENZA_FASI_LINEA-Allarme sequenza fasi linea</v>
      </c>
      <c r="C679" s="82" t="s">
        <v>622</v>
      </c>
      <c r="D679" s="82" t="s">
        <v>623</v>
      </c>
      <c r="E679" s="82" t="s">
        <v>2163</v>
      </c>
      <c r="F679" s="82" t="s">
        <v>622</v>
      </c>
      <c r="G679" s="82" t="s">
        <v>1946</v>
      </c>
      <c r="H679" s="82" t="s">
        <v>2165</v>
      </c>
      <c r="I679" s="82" t="s">
        <v>24</v>
      </c>
      <c r="J679" s="82" t="s">
        <v>2171</v>
      </c>
      <c r="K679" s="82" t="s">
        <v>2167</v>
      </c>
      <c r="L679" s="82" t="s">
        <v>1946</v>
      </c>
      <c r="M679" s="82" t="s">
        <v>2090</v>
      </c>
      <c r="N679" s="82" t="s">
        <v>1946</v>
      </c>
      <c r="O679" s="82" t="s">
        <v>2173</v>
      </c>
    </row>
    <row r="680" spans="1:15" ht="15.75" hidden="1" x14ac:dyDescent="0.25">
      <c r="A680" t="str">
        <f t="shared" si="10"/>
        <v>ALR_RELE_SEQUENZA_FASI_PREFERENZIALE-Allarme sequenza fasi preferenziale</v>
      </c>
      <c r="C680" s="82" t="s">
        <v>624</v>
      </c>
      <c r="D680" s="82" t="s">
        <v>625</v>
      </c>
      <c r="E680" s="82" t="s">
        <v>2163</v>
      </c>
      <c r="F680" s="82" t="s">
        <v>624</v>
      </c>
      <c r="G680" s="82" t="s">
        <v>1946</v>
      </c>
      <c r="H680" s="82" t="s">
        <v>2165</v>
      </c>
      <c r="I680" s="82" t="s">
        <v>24</v>
      </c>
      <c r="J680" s="82" t="s">
        <v>2171</v>
      </c>
      <c r="K680" s="82" t="s">
        <v>2167</v>
      </c>
      <c r="L680" s="82" t="s">
        <v>1946</v>
      </c>
      <c r="M680" s="82" t="s">
        <v>2090</v>
      </c>
      <c r="N680" s="82" t="s">
        <v>1946</v>
      </c>
      <c r="O680" s="82" t="s">
        <v>2173</v>
      </c>
    </row>
    <row r="681" spans="1:15" ht="15.75" hidden="1" x14ac:dyDescent="0.25">
      <c r="A681" t="str">
        <f t="shared" si="10"/>
        <v>ALR_RESET-Allarme reset</v>
      </c>
      <c r="C681" s="82" t="s">
        <v>626</v>
      </c>
      <c r="D681" s="82" t="s">
        <v>627</v>
      </c>
      <c r="E681" s="82" t="s">
        <v>2163</v>
      </c>
      <c r="F681" s="82" t="s">
        <v>626</v>
      </c>
      <c r="G681" s="82" t="s">
        <v>1946</v>
      </c>
      <c r="H681" s="82" t="s">
        <v>2165</v>
      </c>
      <c r="I681" s="82" t="s">
        <v>24</v>
      </c>
      <c r="J681" s="82" t="s">
        <v>2171</v>
      </c>
      <c r="K681" s="82" t="s">
        <v>2167</v>
      </c>
      <c r="L681" s="82" t="s">
        <v>1946</v>
      </c>
      <c r="M681" s="82" t="s">
        <v>2090</v>
      </c>
      <c r="N681" s="82" t="s">
        <v>1946</v>
      </c>
      <c r="O681" s="82" t="s">
        <v>2173</v>
      </c>
    </row>
    <row r="682" spans="1:15" ht="15.75" hidden="1" x14ac:dyDescent="0.25">
      <c r="A682" t="str">
        <f t="shared" si="10"/>
        <v>ALR_RICHIESTA_AVVIAMENTO_POMPE-Allarme richiesta avviamento pompe</v>
      </c>
      <c r="C682" s="82" t="s">
        <v>1517</v>
      </c>
      <c r="D682" s="82" t="s">
        <v>1518</v>
      </c>
      <c r="E682" s="82" t="s">
        <v>2163</v>
      </c>
      <c r="F682" s="82" t="s">
        <v>1517</v>
      </c>
      <c r="G682" s="82" t="s">
        <v>1946</v>
      </c>
      <c r="H682" s="82" t="s">
        <v>2165</v>
      </c>
      <c r="I682" s="82" t="s">
        <v>24</v>
      </c>
      <c r="J682" s="82" t="s">
        <v>2171</v>
      </c>
      <c r="K682" s="82" t="s">
        <v>2167</v>
      </c>
      <c r="L682" s="82" t="s">
        <v>1946</v>
      </c>
      <c r="M682" s="82" t="s">
        <v>2090</v>
      </c>
      <c r="N682" s="82" t="s">
        <v>1946</v>
      </c>
      <c r="O682" s="82" t="s">
        <v>2173</v>
      </c>
    </row>
    <row r="683" spans="1:15" ht="15.75" hidden="1" x14ac:dyDescent="0.25">
      <c r="A683" t="str">
        <f t="shared" si="10"/>
        <v>ALR_RICHIESTA_MANUTENZIONE-Allarme richiesta manutenzione</v>
      </c>
      <c r="C683" s="82" t="s">
        <v>628</v>
      </c>
      <c r="D683" s="82" t="s">
        <v>629</v>
      </c>
      <c r="E683" s="82" t="s">
        <v>2163</v>
      </c>
      <c r="F683" s="82" t="s">
        <v>628</v>
      </c>
      <c r="G683" s="82" t="s">
        <v>1946</v>
      </c>
      <c r="H683" s="82" t="s">
        <v>2165</v>
      </c>
      <c r="I683" s="82" t="s">
        <v>24</v>
      </c>
      <c r="J683" s="82" t="s">
        <v>2171</v>
      </c>
      <c r="K683" s="82" t="s">
        <v>2167</v>
      </c>
      <c r="L683" s="82" t="s">
        <v>1946</v>
      </c>
      <c r="M683" s="82" t="s">
        <v>2090</v>
      </c>
      <c r="N683" s="82" t="s">
        <v>1946</v>
      </c>
      <c r="O683" s="82" t="s">
        <v>2173</v>
      </c>
    </row>
    <row r="684" spans="1:15" ht="15.75" hidden="1" x14ac:dyDescent="0.25">
      <c r="A684" t="str">
        <f t="shared" si="10"/>
        <v>ALR_RICHIESTA_SOCCORSO_DIR_NORD-Allarme richiesta soccorso dir. nord</v>
      </c>
      <c r="C684" s="82" t="s">
        <v>1520</v>
      </c>
      <c r="D684" s="82" t="s">
        <v>1521</v>
      </c>
      <c r="E684" s="82" t="s">
        <v>2163</v>
      </c>
      <c r="F684" s="82" t="s">
        <v>1520</v>
      </c>
      <c r="G684" s="82" t="s">
        <v>1946</v>
      </c>
      <c r="H684" s="82" t="s">
        <v>2165</v>
      </c>
      <c r="I684" s="82" t="s">
        <v>33</v>
      </c>
      <c r="J684" s="82" t="s">
        <v>2174</v>
      </c>
      <c r="K684" s="82" t="s">
        <v>2173</v>
      </c>
      <c r="L684" s="82" t="s">
        <v>2175</v>
      </c>
      <c r="M684" s="82" t="s">
        <v>2176</v>
      </c>
      <c r="N684" s="82" t="s">
        <v>2177</v>
      </c>
      <c r="O684" s="82" t="s">
        <v>2173</v>
      </c>
    </row>
    <row r="685" spans="1:15" ht="15.75" hidden="1" x14ac:dyDescent="0.25">
      <c r="A685" t="str">
        <f t="shared" si="10"/>
        <v>ALR_RICHIESTA_SOCCORSO_DIR_NORD_1-Allarme richiesta soccorso dir. nord bypass 1</v>
      </c>
      <c r="C685" s="82" t="s">
        <v>1522</v>
      </c>
      <c r="D685" s="82" t="s">
        <v>1523</v>
      </c>
      <c r="E685" s="82" t="s">
        <v>2163</v>
      </c>
      <c r="F685" s="82" t="s">
        <v>1522</v>
      </c>
      <c r="G685" s="82" t="s">
        <v>1946</v>
      </c>
      <c r="H685" s="82" t="s">
        <v>2165</v>
      </c>
      <c r="I685" s="82" t="s">
        <v>33</v>
      </c>
      <c r="J685" s="82" t="s">
        <v>2174</v>
      </c>
      <c r="K685" s="82" t="s">
        <v>2173</v>
      </c>
      <c r="L685" s="82" t="s">
        <v>2175</v>
      </c>
      <c r="M685" s="82" t="s">
        <v>2176</v>
      </c>
      <c r="N685" s="82" t="s">
        <v>2177</v>
      </c>
      <c r="O685" s="82" t="s">
        <v>2173</v>
      </c>
    </row>
    <row r="686" spans="1:15" ht="15.75" hidden="1" x14ac:dyDescent="0.25">
      <c r="A686" t="str">
        <f t="shared" si="10"/>
        <v>ALR_RICHIESTA_SOCCORSO_DIR_NORD_2-Allarme richiesta soccorso dir. nord bypass 2</v>
      </c>
      <c r="C686" s="82" t="s">
        <v>1525</v>
      </c>
      <c r="D686" s="82" t="s">
        <v>1526</v>
      </c>
      <c r="E686" s="82" t="s">
        <v>2163</v>
      </c>
      <c r="F686" s="82" t="s">
        <v>1525</v>
      </c>
      <c r="G686" s="82" t="s">
        <v>1946</v>
      </c>
      <c r="H686" s="82" t="s">
        <v>2165</v>
      </c>
      <c r="I686" s="82" t="s">
        <v>33</v>
      </c>
      <c r="J686" s="82" t="s">
        <v>2174</v>
      </c>
      <c r="K686" s="82" t="s">
        <v>2173</v>
      </c>
      <c r="L686" s="82" t="s">
        <v>2175</v>
      </c>
      <c r="M686" s="82" t="s">
        <v>2176</v>
      </c>
      <c r="N686" s="82" t="s">
        <v>2177</v>
      </c>
      <c r="O686" s="82" t="s">
        <v>2173</v>
      </c>
    </row>
    <row r="687" spans="1:15" ht="15.75" hidden="1" x14ac:dyDescent="0.25">
      <c r="A687" t="str">
        <f t="shared" si="10"/>
        <v>ALR_RICHIESTA_SOCCORSO_DIR_NORD_3-Allarme richiesta soccorso dir. nord bypass 3</v>
      </c>
      <c r="C687" s="82" t="s">
        <v>1527</v>
      </c>
      <c r="D687" s="82" t="s">
        <v>1528</v>
      </c>
      <c r="E687" s="82" t="s">
        <v>2163</v>
      </c>
      <c r="F687" s="82" t="s">
        <v>1527</v>
      </c>
      <c r="G687" s="82" t="s">
        <v>1946</v>
      </c>
      <c r="H687" s="82" t="s">
        <v>2165</v>
      </c>
      <c r="I687" s="82" t="s">
        <v>33</v>
      </c>
      <c r="J687" s="82" t="s">
        <v>2174</v>
      </c>
      <c r="K687" s="82" t="s">
        <v>2173</v>
      </c>
      <c r="L687" s="82" t="s">
        <v>2175</v>
      </c>
      <c r="M687" s="82" t="s">
        <v>2176</v>
      </c>
      <c r="N687" s="82" t="s">
        <v>2177</v>
      </c>
      <c r="O687" s="82" t="s">
        <v>2173</v>
      </c>
    </row>
    <row r="688" spans="1:15" ht="15.75" hidden="1" x14ac:dyDescent="0.25">
      <c r="A688" t="str">
        <f t="shared" si="10"/>
        <v>ALR_RICHIESTA_SOCCORSO_DIR_SUD-Allarme richiesta soccorso dir. sud</v>
      </c>
      <c r="C688" s="82" t="s">
        <v>1529</v>
      </c>
      <c r="D688" s="82" t="s">
        <v>1530</v>
      </c>
      <c r="E688" s="82" t="s">
        <v>2163</v>
      </c>
      <c r="F688" s="82" t="s">
        <v>1529</v>
      </c>
      <c r="G688" s="82" t="s">
        <v>1946</v>
      </c>
      <c r="H688" s="82" t="s">
        <v>2165</v>
      </c>
      <c r="I688" s="82" t="s">
        <v>33</v>
      </c>
      <c r="J688" s="82" t="s">
        <v>2174</v>
      </c>
      <c r="K688" s="82" t="s">
        <v>2173</v>
      </c>
      <c r="L688" s="82" t="s">
        <v>2175</v>
      </c>
      <c r="M688" s="82" t="s">
        <v>2176</v>
      </c>
      <c r="N688" s="82" t="s">
        <v>2177</v>
      </c>
      <c r="O688" s="82" t="s">
        <v>2173</v>
      </c>
    </row>
    <row r="689" spans="1:15" ht="15.75" hidden="1" x14ac:dyDescent="0.25">
      <c r="A689" t="str">
        <f t="shared" si="10"/>
        <v>ALR_RICHIESTA_SOCCORSO_DIR_SUD_1-Allarme richiesta soccorso dir. sud bypass 1</v>
      </c>
      <c r="C689" s="82" t="s">
        <v>1531</v>
      </c>
      <c r="D689" s="82" t="s">
        <v>1532</v>
      </c>
      <c r="E689" s="82" t="s">
        <v>2163</v>
      </c>
      <c r="F689" s="82" t="s">
        <v>1531</v>
      </c>
      <c r="G689" s="82" t="s">
        <v>1946</v>
      </c>
      <c r="H689" s="82" t="s">
        <v>2165</v>
      </c>
      <c r="I689" s="82" t="s">
        <v>33</v>
      </c>
      <c r="J689" s="82" t="s">
        <v>2174</v>
      </c>
      <c r="K689" s="82" t="s">
        <v>2173</v>
      </c>
      <c r="L689" s="82" t="s">
        <v>2175</v>
      </c>
      <c r="M689" s="82" t="s">
        <v>2176</v>
      </c>
      <c r="N689" s="82" t="s">
        <v>2177</v>
      </c>
      <c r="O689" s="82" t="s">
        <v>2173</v>
      </c>
    </row>
    <row r="690" spans="1:15" ht="15.75" hidden="1" x14ac:dyDescent="0.25">
      <c r="A690" t="str">
        <f t="shared" si="10"/>
        <v>ALR_RICHIESTA_SOCCORSO_DIR_SUD_2-Allarme richiesta soccorso dir. sud bypass 2</v>
      </c>
      <c r="C690" s="82" t="s">
        <v>1533</v>
      </c>
      <c r="D690" s="82" t="s">
        <v>1534</v>
      </c>
      <c r="E690" s="82" t="s">
        <v>2163</v>
      </c>
      <c r="F690" s="82" t="s">
        <v>1533</v>
      </c>
      <c r="G690" s="82" t="s">
        <v>1946</v>
      </c>
      <c r="H690" s="82" t="s">
        <v>2165</v>
      </c>
      <c r="I690" s="82" t="s">
        <v>33</v>
      </c>
      <c r="J690" s="82" t="s">
        <v>2174</v>
      </c>
      <c r="K690" s="82" t="s">
        <v>2173</v>
      </c>
      <c r="L690" s="82" t="s">
        <v>2175</v>
      </c>
      <c r="M690" s="82" t="s">
        <v>2176</v>
      </c>
      <c r="N690" s="82" t="s">
        <v>2177</v>
      </c>
      <c r="O690" s="82" t="s">
        <v>2173</v>
      </c>
    </row>
    <row r="691" spans="1:15" ht="15.75" hidden="1" x14ac:dyDescent="0.25">
      <c r="A691" t="str">
        <f t="shared" si="10"/>
        <v>ALR_RICHIESTA_SOCCORSO_DIR_SUD_3-Allarme richiesta soccorso dir. sud bypass 3</v>
      </c>
      <c r="C691" s="82" t="s">
        <v>1535</v>
      </c>
      <c r="D691" s="82" t="s">
        <v>1536</v>
      </c>
      <c r="E691" s="82" t="s">
        <v>2163</v>
      </c>
      <c r="F691" s="82" t="s">
        <v>1535</v>
      </c>
      <c r="G691" s="82" t="s">
        <v>1946</v>
      </c>
      <c r="H691" s="82" t="s">
        <v>2165</v>
      </c>
      <c r="I691" s="82" t="s">
        <v>33</v>
      </c>
      <c r="J691" s="82" t="s">
        <v>2174</v>
      </c>
      <c r="K691" s="82" t="s">
        <v>2173</v>
      </c>
      <c r="L691" s="82" t="s">
        <v>2175</v>
      </c>
      <c r="M691" s="82" t="s">
        <v>2176</v>
      </c>
      <c r="N691" s="82" t="s">
        <v>2177</v>
      </c>
      <c r="O691" s="82" t="s">
        <v>2173</v>
      </c>
    </row>
    <row r="692" spans="1:15" ht="15.75" hidden="1" x14ac:dyDescent="0.25">
      <c r="A692" t="str">
        <f t="shared" si="10"/>
        <v>ALR_RICHIESTO_AVVIO_ELETTROPOMPA-Allarme richiesto avviamento elettropompa</v>
      </c>
      <c r="C692" s="82" t="s">
        <v>630</v>
      </c>
      <c r="D692" s="82" t="s">
        <v>631</v>
      </c>
      <c r="E692" s="82" t="s">
        <v>2163</v>
      </c>
      <c r="F692" s="82" t="s">
        <v>630</v>
      </c>
      <c r="G692" s="82" t="s">
        <v>1946</v>
      </c>
      <c r="H692" s="82" t="s">
        <v>2165</v>
      </c>
      <c r="I692" s="82" t="s">
        <v>24</v>
      </c>
      <c r="J692" s="82" t="s">
        <v>2171</v>
      </c>
      <c r="K692" s="82" t="s">
        <v>2167</v>
      </c>
      <c r="L692" s="82" t="s">
        <v>1946</v>
      </c>
      <c r="M692" s="82" t="s">
        <v>2090</v>
      </c>
      <c r="N692" s="82" t="s">
        <v>1946</v>
      </c>
      <c r="O692" s="82" t="s">
        <v>2173</v>
      </c>
    </row>
    <row r="693" spans="1:15" ht="15.75" hidden="1" x14ac:dyDescent="0.25">
      <c r="A693" t="str">
        <f t="shared" si="10"/>
        <v>ALR_RICHIESTO_AVVIO_POMPA_SOS-Allarme richiesto avvio pompa SOS</v>
      </c>
      <c r="C693" s="82" t="s">
        <v>1537</v>
      </c>
      <c r="D693" s="82" t="s">
        <v>1538</v>
      </c>
      <c r="E693" s="82" t="s">
        <v>2163</v>
      </c>
      <c r="F693" s="82" t="s">
        <v>1537</v>
      </c>
      <c r="G693" s="82" t="s">
        <v>1946</v>
      </c>
      <c r="H693" s="82" t="s">
        <v>2165</v>
      </c>
      <c r="I693" s="82" t="s">
        <v>24</v>
      </c>
      <c r="J693" s="82" t="s">
        <v>2171</v>
      </c>
      <c r="K693" s="82" t="s">
        <v>2167</v>
      </c>
      <c r="L693" s="82" t="s">
        <v>1946</v>
      </c>
      <c r="M693" s="82" t="s">
        <v>2090</v>
      </c>
      <c r="N693" s="82" t="s">
        <v>1946</v>
      </c>
      <c r="O693" s="82" t="s">
        <v>2173</v>
      </c>
    </row>
    <row r="694" spans="1:15" ht="15.75" hidden="1" x14ac:dyDescent="0.25">
      <c r="A694" t="str">
        <f t="shared" si="10"/>
        <v>ALR_RIFASAMENTO_QUADRO-Allarme rifasamento quadro</v>
      </c>
      <c r="C694" s="82" t="s">
        <v>1539</v>
      </c>
      <c r="D694" s="82" t="s">
        <v>1540</v>
      </c>
      <c r="E694" s="82" t="s">
        <v>2163</v>
      </c>
      <c r="F694" s="82" t="s">
        <v>1539</v>
      </c>
      <c r="G694" s="82" t="s">
        <v>1946</v>
      </c>
      <c r="H694" s="82" t="s">
        <v>2165</v>
      </c>
      <c r="I694" s="82" t="s">
        <v>24</v>
      </c>
      <c r="J694" s="82" t="s">
        <v>2171</v>
      </c>
      <c r="K694" s="82" t="s">
        <v>2167</v>
      </c>
      <c r="L694" s="82" t="s">
        <v>1946</v>
      </c>
      <c r="M694" s="82" t="s">
        <v>2090</v>
      </c>
      <c r="N694" s="82" t="s">
        <v>1946</v>
      </c>
      <c r="O694" s="82" t="s">
        <v>2173</v>
      </c>
    </row>
    <row r="695" spans="1:15" ht="15.75" hidden="1" x14ac:dyDescent="0.25">
      <c r="A695" t="str">
        <f t="shared" si="10"/>
        <v>ALR_RIFASAMENTO_QUADRO_2-Allarme rifasamento quadro_2</v>
      </c>
      <c r="C695" s="82" t="s">
        <v>2132</v>
      </c>
      <c r="D695" s="82" t="s">
        <v>2133</v>
      </c>
      <c r="E695" s="82" t="s">
        <v>2163</v>
      </c>
      <c r="F695" s="82" t="s">
        <v>2132</v>
      </c>
      <c r="G695" s="82" t="s">
        <v>2182</v>
      </c>
      <c r="H695" s="82" t="s">
        <v>2165</v>
      </c>
      <c r="I695" s="82" t="s">
        <v>24</v>
      </c>
      <c r="J695" s="82" t="s">
        <v>2171</v>
      </c>
      <c r="K695" s="82" t="s">
        <v>2167</v>
      </c>
      <c r="L695" s="82" t="s">
        <v>2182</v>
      </c>
      <c r="M695" s="82" t="s">
        <v>2183</v>
      </c>
      <c r="N695" s="82" t="s">
        <v>1946</v>
      </c>
      <c r="O695" s="82" t="s">
        <v>2173</v>
      </c>
    </row>
    <row r="696" spans="1:15" ht="15.75" hidden="1" x14ac:dyDescent="0.25">
      <c r="A696" t="str">
        <f t="shared" si="10"/>
        <v>ALR_RILEVATORE-Allarme rilevatore</v>
      </c>
      <c r="C696" s="82" t="s">
        <v>1543</v>
      </c>
      <c r="D696" s="82" t="s">
        <v>1544</v>
      </c>
      <c r="E696" s="82" t="s">
        <v>2163</v>
      </c>
      <c r="F696" s="82" t="s">
        <v>1543</v>
      </c>
      <c r="G696" s="82" t="s">
        <v>1946</v>
      </c>
      <c r="H696" s="82" t="s">
        <v>2165</v>
      </c>
      <c r="I696" s="82" t="s">
        <v>33</v>
      </c>
      <c r="J696" s="82" t="s">
        <v>2174</v>
      </c>
      <c r="K696" s="82" t="s">
        <v>2173</v>
      </c>
      <c r="L696" s="82" t="s">
        <v>1946</v>
      </c>
      <c r="M696" s="82" t="s">
        <v>2508</v>
      </c>
      <c r="N696" s="82" t="s">
        <v>1946</v>
      </c>
      <c r="O696" s="82" t="s">
        <v>2173</v>
      </c>
    </row>
    <row r="697" spans="1:15" ht="15.75" hidden="1" x14ac:dyDescent="0.25">
      <c r="A697" t="str">
        <f t="shared" si="10"/>
        <v>ALR_RILEVATORE_2_IMP-Allarme rilevatore</v>
      </c>
      <c r="C697" s="82" t="s">
        <v>1546</v>
      </c>
      <c r="D697" s="82" t="s">
        <v>1544</v>
      </c>
      <c r="E697" s="82" t="s">
        <v>2163</v>
      </c>
      <c r="F697" s="82" t="s">
        <v>1546</v>
      </c>
      <c r="G697" s="82" t="s">
        <v>2182</v>
      </c>
      <c r="H697" s="82" t="s">
        <v>2165</v>
      </c>
      <c r="I697" s="82" t="s">
        <v>24</v>
      </c>
      <c r="J697" s="82" t="s">
        <v>2171</v>
      </c>
      <c r="K697" s="82" t="s">
        <v>2173</v>
      </c>
      <c r="L697" s="82" t="s">
        <v>1946</v>
      </c>
      <c r="M697" s="82" t="s">
        <v>2184</v>
      </c>
      <c r="N697" s="82" t="s">
        <v>1946</v>
      </c>
      <c r="O697" s="82" t="s">
        <v>2173</v>
      </c>
    </row>
    <row r="698" spans="1:15" ht="15.75" hidden="1" x14ac:dyDescent="0.25">
      <c r="A698" t="str">
        <f t="shared" si="10"/>
        <v>ALR_RISERVA_COMBUSTIBILE_STOCCAGGIO-Allarme riserva combustibile stoccaggio</v>
      </c>
      <c r="C698" s="82" t="s">
        <v>2509</v>
      </c>
      <c r="D698" s="82" t="s">
        <v>2510</v>
      </c>
      <c r="E698" s="82" t="s">
        <v>2163</v>
      </c>
      <c r="F698" s="82" t="s">
        <v>2509</v>
      </c>
      <c r="G698" s="82" t="s">
        <v>2182</v>
      </c>
      <c r="H698" s="82" t="s">
        <v>2165</v>
      </c>
      <c r="I698" s="82" t="s">
        <v>24</v>
      </c>
      <c r="J698" s="82" t="s">
        <v>2171</v>
      </c>
      <c r="K698" s="82" t="s">
        <v>2167</v>
      </c>
      <c r="L698" s="82" t="s">
        <v>2182</v>
      </c>
      <c r="M698" s="82" t="s">
        <v>2183</v>
      </c>
      <c r="N698" s="82" t="s">
        <v>1946</v>
      </c>
      <c r="O698" s="82" t="s">
        <v>2173</v>
      </c>
    </row>
    <row r="699" spans="1:15" ht="15.75" hidden="1" x14ac:dyDescent="0.25">
      <c r="A699" t="str">
        <f t="shared" si="10"/>
        <v>ALR_RISERVA_GASOLIO_MOTOPOMPA-Allarme riserva gasolio motopompa</v>
      </c>
      <c r="C699" s="82" t="s">
        <v>632</v>
      </c>
      <c r="D699" s="82" t="s">
        <v>633</v>
      </c>
      <c r="E699" s="82" t="s">
        <v>2163</v>
      </c>
      <c r="F699" s="82" t="s">
        <v>632</v>
      </c>
      <c r="G699" s="82" t="s">
        <v>1946</v>
      </c>
      <c r="H699" s="82" t="s">
        <v>2165</v>
      </c>
      <c r="I699" s="82" t="s">
        <v>24</v>
      </c>
      <c r="J699" s="82" t="s">
        <v>2171</v>
      </c>
      <c r="K699" s="82" t="s">
        <v>2167</v>
      </c>
      <c r="L699" s="82" t="s">
        <v>1946</v>
      </c>
      <c r="M699" s="82" t="s">
        <v>2090</v>
      </c>
      <c r="N699" s="82" t="s">
        <v>1946</v>
      </c>
      <c r="O699" s="82" t="s">
        <v>2173</v>
      </c>
    </row>
    <row r="700" spans="1:15" ht="15.75" hidden="1" x14ac:dyDescent="0.25">
      <c r="A700" t="str">
        <f t="shared" si="10"/>
        <v>ALR_RISERVA_GRUPPO_ELETTROGENO-Allarme Gruppo Elettrogeno in riserva</v>
      </c>
      <c r="C700" s="82" t="s">
        <v>1547</v>
      </c>
      <c r="D700" s="82" t="s">
        <v>1548</v>
      </c>
      <c r="E700" s="82" t="s">
        <v>2163</v>
      </c>
      <c r="F700" s="82" t="s">
        <v>1547</v>
      </c>
      <c r="G700" s="82" t="s">
        <v>1946</v>
      </c>
      <c r="H700" s="82" t="s">
        <v>2165</v>
      </c>
      <c r="I700" s="82" t="s">
        <v>24</v>
      </c>
      <c r="J700" s="82" t="s">
        <v>2171</v>
      </c>
      <c r="K700" s="82" t="s">
        <v>2167</v>
      </c>
      <c r="L700" s="82" t="s">
        <v>1946</v>
      </c>
      <c r="M700" s="82" t="s">
        <v>2090</v>
      </c>
      <c r="N700" s="82" t="s">
        <v>1946</v>
      </c>
      <c r="O700" s="82" t="s">
        <v>2173</v>
      </c>
    </row>
    <row r="701" spans="1:15" ht="15.75" hidden="1" x14ac:dyDescent="0.25">
      <c r="A701" t="str">
        <f t="shared" si="10"/>
        <v>ALR_RISERVA_IDRICA_ELETTROPOMPA-Allarme riserva idrica elettropompa</v>
      </c>
      <c r="C701" s="82" t="s">
        <v>634</v>
      </c>
      <c r="D701" s="82" t="s">
        <v>635</v>
      </c>
      <c r="E701" s="82" t="s">
        <v>2163</v>
      </c>
      <c r="F701" s="82" t="s">
        <v>634</v>
      </c>
      <c r="G701" s="82" t="s">
        <v>1946</v>
      </c>
      <c r="H701" s="82" t="s">
        <v>2165</v>
      </c>
      <c r="I701" s="82" t="s">
        <v>157</v>
      </c>
      <c r="J701" s="82" t="s">
        <v>2181</v>
      </c>
      <c r="K701" s="82" t="s">
        <v>2167</v>
      </c>
      <c r="L701" s="82" t="s">
        <v>1946</v>
      </c>
      <c r="M701" s="82" t="s">
        <v>2090</v>
      </c>
      <c r="N701" s="82" t="s">
        <v>1946</v>
      </c>
      <c r="O701" s="82" t="s">
        <v>2173</v>
      </c>
    </row>
    <row r="702" spans="1:15" ht="15.75" hidden="1" x14ac:dyDescent="0.25">
      <c r="A702" t="str">
        <f t="shared" si="10"/>
        <v>ALR_RISERVA_IDRICA_POMPA_SOS-Allarme riserva idrica pompa SOS</v>
      </c>
      <c r="C702" s="82" t="s">
        <v>1549</v>
      </c>
      <c r="D702" s="82" t="s">
        <v>1550</v>
      </c>
      <c r="E702" s="82" t="s">
        <v>2163</v>
      </c>
      <c r="F702" s="82" t="s">
        <v>1549</v>
      </c>
      <c r="G702" s="82" t="s">
        <v>1946</v>
      </c>
      <c r="H702" s="82" t="s">
        <v>2165</v>
      </c>
      <c r="I702" s="82" t="s">
        <v>24</v>
      </c>
      <c r="J702" s="82" t="s">
        <v>2171</v>
      </c>
      <c r="K702" s="82" t="s">
        <v>2167</v>
      </c>
      <c r="L702" s="82" t="s">
        <v>1946</v>
      </c>
      <c r="M702" s="82" t="s">
        <v>2090</v>
      </c>
      <c r="N702" s="82" t="s">
        <v>1946</v>
      </c>
      <c r="O702" s="82" t="s">
        <v>2173</v>
      </c>
    </row>
    <row r="703" spans="1:15" ht="15.75" hidden="1" x14ac:dyDescent="0.25">
      <c r="A703" t="str">
        <f t="shared" si="10"/>
        <v>ALR_RISPOSTA_AVVIAMENTO_ALTA_VELOCITA_DD-Allarme risposta avviamento alta velocità dd</v>
      </c>
      <c r="C703" s="82" t="s">
        <v>2511</v>
      </c>
      <c r="D703" s="82" t="s">
        <v>2512</v>
      </c>
      <c r="E703" s="82" t="s">
        <v>2163</v>
      </c>
      <c r="F703" s="82" t="s">
        <v>2511</v>
      </c>
      <c r="G703" s="82" t="s">
        <v>1946</v>
      </c>
      <c r="H703" s="82" t="s">
        <v>2165</v>
      </c>
      <c r="I703" s="82" t="s">
        <v>24</v>
      </c>
      <c r="J703" s="82" t="s">
        <v>2171</v>
      </c>
      <c r="K703" s="82" t="s">
        <v>2167</v>
      </c>
      <c r="L703" s="82" t="s">
        <v>1946</v>
      </c>
      <c r="M703" s="82" t="s">
        <v>2090</v>
      </c>
      <c r="N703" s="82" t="s">
        <v>1946</v>
      </c>
      <c r="O703" s="82" t="s">
        <v>2173</v>
      </c>
    </row>
    <row r="704" spans="1:15" ht="15.75" hidden="1" x14ac:dyDescent="0.25">
      <c r="A704" t="str">
        <f t="shared" si="10"/>
        <v>ALR_RISPOSTA_AVVIAMENTO_ALTA_VELOCITA_YY-Allarme risposta avviamento alta velocità yy</v>
      </c>
      <c r="C704" s="82" t="s">
        <v>2513</v>
      </c>
      <c r="D704" s="82" t="s">
        <v>2514</v>
      </c>
      <c r="E704" s="82" t="s">
        <v>2163</v>
      </c>
      <c r="F704" s="82" t="s">
        <v>2513</v>
      </c>
      <c r="G704" s="82" t="s">
        <v>1946</v>
      </c>
      <c r="H704" s="82" t="s">
        <v>2165</v>
      </c>
      <c r="I704" s="82" t="s">
        <v>24</v>
      </c>
      <c r="J704" s="82" t="s">
        <v>2171</v>
      </c>
      <c r="K704" s="82" t="s">
        <v>2167</v>
      </c>
      <c r="L704" s="82" t="s">
        <v>1946</v>
      </c>
      <c r="M704" s="82" t="s">
        <v>2090</v>
      </c>
      <c r="N704" s="82" t="s">
        <v>1946</v>
      </c>
      <c r="O704" s="82" t="s">
        <v>2173</v>
      </c>
    </row>
    <row r="705" spans="1:15" ht="15.75" hidden="1" x14ac:dyDescent="0.25">
      <c r="A705" t="str">
        <f t="shared" si="10"/>
        <v>ALR_RISPOSTA_AVVIAMENTO_BASSA_VELOCITA-Allarme risposta avviamento bassa velocità</v>
      </c>
      <c r="C705" s="82" t="s">
        <v>2515</v>
      </c>
      <c r="D705" s="82" t="s">
        <v>2516</v>
      </c>
      <c r="E705" s="82" t="s">
        <v>2163</v>
      </c>
      <c r="F705" s="82" t="s">
        <v>2515</v>
      </c>
      <c r="G705" s="82" t="s">
        <v>1946</v>
      </c>
      <c r="H705" s="82" t="s">
        <v>2165</v>
      </c>
      <c r="I705" s="82" t="s">
        <v>24</v>
      </c>
      <c r="J705" s="82" t="s">
        <v>2166</v>
      </c>
      <c r="K705" s="82" t="s">
        <v>2167</v>
      </c>
      <c r="L705" s="82" t="s">
        <v>1946</v>
      </c>
      <c r="M705" s="82" t="s">
        <v>2252</v>
      </c>
      <c r="N705" s="82" t="s">
        <v>1946</v>
      </c>
      <c r="O705" s="82" t="s">
        <v>2173</v>
      </c>
    </row>
    <row r="706" spans="1:15" ht="15.75" hidden="1" x14ac:dyDescent="0.25">
      <c r="A706" t="str">
        <f t="shared" si="10"/>
        <v>ALR_RISPOSTA_AVVIAMENTO_POMPA_OLIO-Allarme risposta avviamento pompa olio</v>
      </c>
      <c r="C706" s="82" t="s">
        <v>2517</v>
      </c>
      <c r="D706" s="82" t="s">
        <v>2518</v>
      </c>
      <c r="E706" s="82" t="s">
        <v>2163</v>
      </c>
      <c r="F706" s="82" t="s">
        <v>2517</v>
      </c>
      <c r="G706" s="82" t="s">
        <v>1946</v>
      </c>
      <c r="H706" s="82" t="s">
        <v>2165</v>
      </c>
      <c r="I706" s="82" t="s">
        <v>24</v>
      </c>
      <c r="J706" s="82" t="s">
        <v>2171</v>
      </c>
      <c r="K706" s="82" t="s">
        <v>2167</v>
      </c>
      <c r="L706" s="82" t="s">
        <v>1946</v>
      </c>
      <c r="M706" s="82" t="s">
        <v>2090</v>
      </c>
      <c r="N706" s="82" t="s">
        <v>1946</v>
      </c>
      <c r="O706" s="82" t="s">
        <v>2173</v>
      </c>
    </row>
    <row r="707" spans="1:15" ht="15.75" hidden="1" x14ac:dyDescent="0.25">
      <c r="A707" t="str">
        <f t="shared" ref="A707:A770" si="11">CONCATENATE(F707,"-",D707)</f>
        <v>ALR_RISPOSTA_AVVIAMENTO_POMPA_OLIO_2-Allarme risposta avviamento pompa olio</v>
      </c>
      <c r="C707" s="82" t="s">
        <v>2519</v>
      </c>
      <c r="D707" s="82" t="s">
        <v>2518</v>
      </c>
      <c r="E707" s="82" t="s">
        <v>2163</v>
      </c>
      <c r="F707" s="82" t="s">
        <v>2519</v>
      </c>
      <c r="G707" s="82" t="s">
        <v>1946</v>
      </c>
      <c r="H707" s="82" t="s">
        <v>2165</v>
      </c>
      <c r="I707" s="82" t="s">
        <v>24</v>
      </c>
      <c r="J707" s="82" t="s">
        <v>2171</v>
      </c>
      <c r="K707" s="82" t="s">
        <v>2167</v>
      </c>
      <c r="L707" s="82" t="s">
        <v>1946</v>
      </c>
      <c r="M707" s="82" t="s">
        <v>2090</v>
      </c>
      <c r="N707" s="82" t="s">
        <v>1946</v>
      </c>
      <c r="O707" s="82" t="s">
        <v>2173</v>
      </c>
    </row>
    <row r="708" spans="1:15" ht="15.75" hidden="1" x14ac:dyDescent="0.25">
      <c r="A708" t="str">
        <f t="shared" si="11"/>
        <v>ALR_RISPOSTA_AVVIAMENTO_SCALDIGLIA-Allarme risposta avviamento scaldiglia</v>
      </c>
      <c r="C708" s="82" t="s">
        <v>2520</v>
      </c>
      <c r="D708" s="82" t="s">
        <v>2521</v>
      </c>
      <c r="E708" s="82" t="s">
        <v>2163</v>
      </c>
      <c r="F708" s="82" t="s">
        <v>2520</v>
      </c>
      <c r="G708" s="82" t="s">
        <v>1946</v>
      </c>
      <c r="H708" s="82" t="s">
        <v>2165</v>
      </c>
      <c r="I708" s="82" t="s">
        <v>24</v>
      </c>
      <c r="J708" s="82" t="s">
        <v>2171</v>
      </c>
      <c r="K708" s="82" t="s">
        <v>2167</v>
      </c>
      <c r="L708" s="82" t="s">
        <v>1946</v>
      </c>
      <c r="M708" s="82" t="s">
        <v>2090</v>
      </c>
      <c r="N708" s="82" t="s">
        <v>1946</v>
      </c>
      <c r="O708" s="82" t="s">
        <v>2173</v>
      </c>
    </row>
    <row r="709" spans="1:15" ht="15.75" hidden="1" x14ac:dyDescent="0.25">
      <c r="A709" t="str">
        <f t="shared" si="11"/>
        <v>ALR_RISPOSTA_AVVIAMENTO_SCALDIGLIA_OLIO-Allarme risposta avviamento scaldiglia olio</v>
      </c>
      <c r="C709" s="82" t="s">
        <v>2522</v>
      </c>
      <c r="D709" s="82" t="s">
        <v>2523</v>
      </c>
      <c r="E709" s="82" t="s">
        <v>2163</v>
      </c>
      <c r="F709" s="82" t="s">
        <v>2522</v>
      </c>
      <c r="G709" s="82" t="s">
        <v>1946</v>
      </c>
      <c r="H709" s="82" t="s">
        <v>2165</v>
      </c>
      <c r="I709" s="82" t="s">
        <v>24</v>
      </c>
      <c r="J709" s="82" t="s">
        <v>2171</v>
      </c>
      <c r="K709" s="82" t="s">
        <v>2167</v>
      </c>
      <c r="L709" s="82" t="s">
        <v>1946</v>
      </c>
      <c r="M709" s="82" t="s">
        <v>2090</v>
      </c>
      <c r="N709" s="82" t="s">
        <v>1946</v>
      </c>
      <c r="O709" s="82" t="s">
        <v>2173</v>
      </c>
    </row>
    <row r="710" spans="1:15" ht="15.75" hidden="1" x14ac:dyDescent="0.25">
      <c r="A710" t="str">
        <f t="shared" si="11"/>
        <v>ALR_RITORNO_POTENZA_ATTIVA-Allarme ritorno potenza attiva</v>
      </c>
      <c r="C710" s="82" t="s">
        <v>2524</v>
      </c>
      <c r="D710" s="82" t="s">
        <v>2525</v>
      </c>
      <c r="E710" s="82" t="s">
        <v>2163</v>
      </c>
      <c r="F710" s="82" t="s">
        <v>2524</v>
      </c>
      <c r="G710" s="82" t="s">
        <v>1946</v>
      </c>
      <c r="H710" s="82" t="s">
        <v>2165</v>
      </c>
      <c r="I710" s="82" t="s">
        <v>24</v>
      </c>
      <c r="J710" s="82" t="s">
        <v>2171</v>
      </c>
      <c r="K710" s="82" t="s">
        <v>2167</v>
      </c>
      <c r="L710" s="82" t="s">
        <v>1946</v>
      </c>
      <c r="M710" s="82" t="s">
        <v>2090</v>
      </c>
      <c r="N710" s="82" t="s">
        <v>1946</v>
      </c>
      <c r="O710" s="82" t="s">
        <v>2173</v>
      </c>
    </row>
    <row r="711" spans="1:15" ht="15.75" hidden="1" x14ac:dyDescent="0.25">
      <c r="A711" t="str">
        <f t="shared" si="11"/>
        <v>ALR_ROTTURA_CAVO-Allarme rottura cavo termosensibile</v>
      </c>
      <c r="C711" s="82" t="s">
        <v>636</v>
      </c>
      <c r="D711" s="82" t="s">
        <v>637</v>
      </c>
      <c r="E711" s="82" t="s">
        <v>2163</v>
      </c>
      <c r="F711" s="82" t="s">
        <v>636</v>
      </c>
      <c r="G711" s="82" t="s">
        <v>1946</v>
      </c>
      <c r="H711" s="82" t="s">
        <v>2165</v>
      </c>
      <c r="I711" s="82" t="s">
        <v>33</v>
      </c>
      <c r="J711" s="82" t="s">
        <v>2174</v>
      </c>
      <c r="K711" s="82" t="s">
        <v>2173</v>
      </c>
      <c r="L711" s="82" t="s">
        <v>1946</v>
      </c>
      <c r="M711" s="82" t="s">
        <v>2176</v>
      </c>
      <c r="N711" s="82" t="s">
        <v>2188</v>
      </c>
      <c r="O711" s="82" t="s">
        <v>2173</v>
      </c>
    </row>
    <row r="712" spans="1:15" ht="15.75" hidden="1" x14ac:dyDescent="0.25">
      <c r="A712" t="str">
        <f t="shared" si="11"/>
        <v>ALR_ROTTURA_CAVO_2-Allarme rottura cavo termosensibile 2</v>
      </c>
      <c r="C712" s="82" t="s">
        <v>1925</v>
      </c>
      <c r="D712" s="82" t="s">
        <v>1926</v>
      </c>
      <c r="E712" s="82" t="s">
        <v>2163</v>
      </c>
      <c r="F712" s="82" t="s">
        <v>1925</v>
      </c>
      <c r="G712" s="82" t="s">
        <v>2182</v>
      </c>
      <c r="H712" s="82" t="s">
        <v>2165</v>
      </c>
      <c r="I712" s="82" t="s">
        <v>33</v>
      </c>
      <c r="J712" s="82" t="s">
        <v>2174</v>
      </c>
      <c r="K712" s="82" t="s">
        <v>2173</v>
      </c>
      <c r="L712" s="82" t="s">
        <v>2182</v>
      </c>
      <c r="M712" s="82" t="s">
        <v>2322</v>
      </c>
      <c r="N712" s="82" t="s">
        <v>2188</v>
      </c>
      <c r="O712" s="82" t="s">
        <v>2173</v>
      </c>
    </row>
    <row r="713" spans="1:15" ht="15.75" hidden="1" x14ac:dyDescent="0.25">
      <c r="A713" t="str">
        <f t="shared" si="11"/>
        <v>ALR_SCALDIGLIA_MOTORE-Allarme scaldiglia motore</v>
      </c>
      <c r="C713" s="82" t="s">
        <v>1551</v>
      </c>
      <c r="D713" s="82" t="s">
        <v>1552</v>
      </c>
      <c r="E713" s="82" t="s">
        <v>2163</v>
      </c>
      <c r="F713" s="82" t="s">
        <v>1551</v>
      </c>
      <c r="G713" s="82" t="s">
        <v>1946</v>
      </c>
      <c r="H713" s="82" t="s">
        <v>2165</v>
      </c>
      <c r="I713" s="82" t="s">
        <v>24</v>
      </c>
      <c r="J713" s="82" t="s">
        <v>2171</v>
      </c>
      <c r="K713" s="82" t="s">
        <v>2167</v>
      </c>
      <c r="L713" s="82" t="s">
        <v>1946</v>
      </c>
      <c r="M713" s="82" t="s">
        <v>2090</v>
      </c>
      <c r="N713" s="82" t="s">
        <v>1946</v>
      </c>
      <c r="O713" s="82" t="s">
        <v>2173</v>
      </c>
    </row>
    <row r="714" spans="1:15" ht="15.75" hidden="1" x14ac:dyDescent="0.25">
      <c r="A714" t="str">
        <f t="shared" si="11"/>
        <v>ALR_SCALDIGLIA_OLIO-Allarme scaldiglia olio</v>
      </c>
      <c r="C714" s="82" t="s">
        <v>2526</v>
      </c>
      <c r="D714" s="82" t="s">
        <v>2527</v>
      </c>
      <c r="E714" s="82" t="s">
        <v>2163</v>
      </c>
      <c r="F714" s="82" t="s">
        <v>2526</v>
      </c>
      <c r="G714" s="82" t="s">
        <v>1946</v>
      </c>
      <c r="H714" s="82" t="s">
        <v>2165</v>
      </c>
      <c r="I714" s="82" t="s">
        <v>24</v>
      </c>
      <c r="J714" s="82" t="s">
        <v>2171</v>
      </c>
      <c r="K714" s="82" t="s">
        <v>2167</v>
      </c>
      <c r="L714" s="82" t="s">
        <v>1946</v>
      </c>
      <c r="M714" s="82" t="s">
        <v>2090</v>
      </c>
      <c r="N714" s="82" t="s">
        <v>1946</v>
      </c>
      <c r="O714" s="82" t="s">
        <v>2173</v>
      </c>
    </row>
    <row r="715" spans="1:15" ht="15.75" hidden="1" x14ac:dyDescent="0.25">
      <c r="A715" t="str">
        <f t="shared" si="11"/>
        <v>ALR_SCARICATORI_SOVRATENSIONE-Allarme scaricatori di sovratensione</v>
      </c>
      <c r="C715" s="82" t="s">
        <v>638</v>
      </c>
      <c r="D715" s="82" t="s">
        <v>639</v>
      </c>
      <c r="E715" s="82" t="s">
        <v>2163</v>
      </c>
      <c r="F715" s="82" t="s">
        <v>638</v>
      </c>
      <c r="G715" s="82" t="s">
        <v>1946</v>
      </c>
      <c r="H715" s="82" t="s">
        <v>2165</v>
      </c>
      <c r="I715" s="82" t="s">
        <v>24</v>
      </c>
      <c r="J715" s="82" t="s">
        <v>2171</v>
      </c>
      <c r="K715" s="82" t="s">
        <v>2167</v>
      </c>
      <c r="L715" s="82" t="s">
        <v>1946</v>
      </c>
      <c r="M715" s="82" t="s">
        <v>2090</v>
      </c>
      <c r="N715" s="82" t="s">
        <v>1946</v>
      </c>
      <c r="O715" s="82" t="s">
        <v>2173</v>
      </c>
    </row>
    <row r="716" spans="1:15" ht="15.75" hidden="1" x14ac:dyDescent="0.25">
      <c r="A716" t="str">
        <f t="shared" si="11"/>
        <v>ALR_SCARICATORI_TENSIONE-Allarme scaricatori di sovratensione</v>
      </c>
      <c r="C716" s="82" t="s">
        <v>1553</v>
      </c>
      <c r="D716" s="82" t="s">
        <v>639</v>
      </c>
      <c r="E716" s="82" t="s">
        <v>2163</v>
      </c>
      <c r="F716" s="82" t="s">
        <v>1553</v>
      </c>
      <c r="G716" s="82" t="s">
        <v>1946</v>
      </c>
      <c r="H716" s="82" t="s">
        <v>2165</v>
      </c>
      <c r="I716" s="82" t="s">
        <v>24</v>
      </c>
      <c r="J716" s="82" t="s">
        <v>2171</v>
      </c>
      <c r="K716" s="82" t="s">
        <v>2167</v>
      </c>
      <c r="L716" s="82" t="s">
        <v>1946</v>
      </c>
      <c r="M716" s="82" t="s">
        <v>2090</v>
      </c>
      <c r="N716" s="82" t="s">
        <v>1946</v>
      </c>
      <c r="O716" s="82" t="s">
        <v>2173</v>
      </c>
    </row>
    <row r="717" spans="1:15" ht="15.75" hidden="1" x14ac:dyDescent="0.25">
      <c r="A717" t="str">
        <f t="shared" si="11"/>
        <v>ALR_SCARSA_VISIB_FUMO-Allarme scarsa visibilità/fumo</v>
      </c>
      <c r="C717" s="82" t="s">
        <v>1555</v>
      </c>
      <c r="D717" s="82" t="s">
        <v>1556</v>
      </c>
      <c r="E717" s="82" t="s">
        <v>2163</v>
      </c>
      <c r="F717" s="82" t="s">
        <v>1555</v>
      </c>
      <c r="G717" s="82" t="s">
        <v>1946</v>
      </c>
      <c r="H717" s="82" t="s">
        <v>2165</v>
      </c>
      <c r="I717" s="82" t="s">
        <v>45</v>
      </c>
      <c r="J717" s="82" t="s">
        <v>2178</v>
      </c>
      <c r="K717" s="82" t="s">
        <v>2173</v>
      </c>
      <c r="L717" s="82" t="s">
        <v>2175</v>
      </c>
      <c r="M717" s="82" t="s">
        <v>2176</v>
      </c>
      <c r="N717" s="82" t="s">
        <v>2180</v>
      </c>
      <c r="O717" s="82" t="s">
        <v>2173</v>
      </c>
    </row>
    <row r="718" spans="1:15" ht="15.75" hidden="1" x14ac:dyDescent="0.25">
      <c r="A718" t="str">
        <f t="shared" si="11"/>
        <v>ALR_SCATTATO-Allarme interruttore scattato</v>
      </c>
      <c r="C718" s="82" t="s">
        <v>2528</v>
      </c>
      <c r="D718" s="82" t="s">
        <v>459</v>
      </c>
      <c r="E718" s="82" t="s">
        <v>2163</v>
      </c>
      <c r="F718" s="82" t="s">
        <v>2528</v>
      </c>
      <c r="G718" s="82" t="s">
        <v>1946</v>
      </c>
      <c r="H718" s="82" t="s">
        <v>2165</v>
      </c>
      <c r="I718" s="82" t="s">
        <v>24</v>
      </c>
      <c r="J718" s="82" t="s">
        <v>2171</v>
      </c>
      <c r="K718" s="82" t="s">
        <v>2167</v>
      </c>
      <c r="L718" s="82" t="s">
        <v>1946</v>
      </c>
      <c r="M718" s="82" t="s">
        <v>2090</v>
      </c>
      <c r="N718" s="82" t="s">
        <v>1946</v>
      </c>
      <c r="O718" s="82" t="s">
        <v>2173</v>
      </c>
    </row>
    <row r="719" spans="1:15" ht="15.75" hidden="1" x14ac:dyDescent="0.25">
      <c r="A719" t="str">
        <f t="shared" si="11"/>
        <v>ALR_SCENARIO_1-Allarme scenario 1</v>
      </c>
      <c r="C719" s="82" t="s">
        <v>2529</v>
      </c>
      <c r="D719" s="82" t="s">
        <v>2530</v>
      </c>
      <c r="E719" s="82" t="s">
        <v>2163</v>
      </c>
      <c r="F719" s="82" t="s">
        <v>2529</v>
      </c>
      <c r="G719" s="82" t="s">
        <v>1946</v>
      </c>
      <c r="H719" s="82" t="s">
        <v>2165</v>
      </c>
      <c r="I719" s="82" t="s">
        <v>24</v>
      </c>
      <c r="J719" s="82" t="s">
        <v>2171</v>
      </c>
      <c r="K719" s="82" t="s">
        <v>2167</v>
      </c>
      <c r="L719" s="82" t="s">
        <v>1946</v>
      </c>
      <c r="M719" s="82" t="s">
        <v>2090</v>
      </c>
      <c r="N719" s="82" t="s">
        <v>1946</v>
      </c>
      <c r="O719" s="82" t="s">
        <v>2173</v>
      </c>
    </row>
    <row r="720" spans="1:15" ht="15.75" hidden="1" x14ac:dyDescent="0.25">
      <c r="A720" t="str">
        <f t="shared" si="11"/>
        <v>ALR_SCENARIO_2-Allarme scenario 2</v>
      </c>
      <c r="C720" s="82" t="s">
        <v>2531</v>
      </c>
      <c r="D720" s="82" t="s">
        <v>2532</v>
      </c>
      <c r="E720" s="82" t="s">
        <v>2163</v>
      </c>
      <c r="F720" s="82" t="s">
        <v>2531</v>
      </c>
      <c r="G720" s="82" t="s">
        <v>1946</v>
      </c>
      <c r="H720" s="82" t="s">
        <v>2165</v>
      </c>
      <c r="I720" s="82" t="s">
        <v>24</v>
      </c>
      <c r="J720" s="82" t="s">
        <v>2171</v>
      </c>
      <c r="K720" s="82" t="s">
        <v>2167</v>
      </c>
      <c r="L720" s="82" t="s">
        <v>1946</v>
      </c>
      <c r="M720" s="82" t="s">
        <v>2090</v>
      </c>
      <c r="N720" s="82" t="s">
        <v>1946</v>
      </c>
      <c r="O720" s="82" t="s">
        <v>2173</v>
      </c>
    </row>
    <row r="721" spans="1:15" ht="15.75" hidden="1" x14ac:dyDescent="0.25">
      <c r="A721" t="str">
        <f t="shared" si="11"/>
        <v>ALR_SCENARIO_3-Allarme scenario 3</v>
      </c>
      <c r="C721" s="82" t="s">
        <v>2533</v>
      </c>
      <c r="D721" s="82" t="s">
        <v>2534</v>
      </c>
      <c r="E721" s="82" t="s">
        <v>2163</v>
      </c>
      <c r="F721" s="82" t="s">
        <v>2533</v>
      </c>
      <c r="G721" s="82" t="s">
        <v>1946</v>
      </c>
      <c r="H721" s="82" t="s">
        <v>2165</v>
      </c>
      <c r="I721" s="82" t="s">
        <v>24</v>
      </c>
      <c r="J721" s="82" t="s">
        <v>2171</v>
      </c>
      <c r="K721" s="82" t="s">
        <v>2167</v>
      </c>
      <c r="L721" s="82" t="s">
        <v>1946</v>
      </c>
      <c r="M721" s="82" t="s">
        <v>2090</v>
      </c>
      <c r="N721" s="82" t="s">
        <v>1946</v>
      </c>
      <c r="O721" s="82" t="s">
        <v>2173</v>
      </c>
    </row>
    <row r="722" spans="1:15" ht="15.75" hidden="1" x14ac:dyDescent="0.25">
      <c r="A722" t="str">
        <f t="shared" si="11"/>
        <v>ALR_SCENARIO_4-Allarme scenario 4</v>
      </c>
      <c r="C722" s="82" t="s">
        <v>2535</v>
      </c>
      <c r="D722" s="82" t="s">
        <v>2536</v>
      </c>
      <c r="E722" s="82" t="s">
        <v>2163</v>
      </c>
      <c r="F722" s="82" t="s">
        <v>2535</v>
      </c>
      <c r="G722" s="82" t="s">
        <v>1946</v>
      </c>
      <c r="H722" s="82" t="s">
        <v>2165</v>
      </c>
      <c r="I722" s="82" t="s">
        <v>24</v>
      </c>
      <c r="J722" s="82" t="s">
        <v>2171</v>
      </c>
      <c r="K722" s="82" t="s">
        <v>2167</v>
      </c>
      <c r="L722" s="82" t="s">
        <v>1946</v>
      </c>
      <c r="M722" s="82" t="s">
        <v>2090</v>
      </c>
      <c r="N722" s="82" t="s">
        <v>1946</v>
      </c>
      <c r="O722" s="82" t="s">
        <v>2173</v>
      </c>
    </row>
    <row r="723" spans="1:15" ht="15.75" hidden="1" x14ac:dyDescent="0.25">
      <c r="A723" t="str">
        <f t="shared" si="11"/>
        <v>ALR_SCENARIO_5-Allarme scenario 5</v>
      </c>
      <c r="C723" s="82" t="s">
        <v>2537</v>
      </c>
      <c r="D723" s="82" t="s">
        <v>2538</v>
      </c>
      <c r="E723" s="82" t="s">
        <v>2163</v>
      </c>
      <c r="F723" s="82" t="s">
        <v>2537</v>
      </c>
      <c r="G723" s="82" t="s">
        <v>1946</v>
      </c>
      <c r="H723" s="82" t="s">
        <v>2165</v>
      </c>
      <c r="I723" s="82" t="s">
        <v>24</v>
      </c>
      <c r="J723" s="82" t="s">
        <v>2171</v>
      </c>
      <c r="K723" s="82" t="s">
        <v>2167</v>
      </c>
      <c r="L723" s="82" t="s">
        <v>1946</v>
      </c>
      <c r="M723" s="82" t="s">
        <v>2090</v>
      </c>
      <c r="N723" s="82" t="s">
        <v>1946</v>
      </c>
      <c r="O723" s="82" t="s">
        <v>2173</v>
      </c>
    </row>
    <row r="724" spans="1:15" ht="15.75" hidden="1" x14ac:dyDescent="0.25">
      <c r="A724" t="str">
        <f t="shared" si="11"/>
        <v>ALR_SCENARIO_6-Allarme scenario 6</v>
      </c>
      <c r="C724" s="82" t="s">
        <v>2539</v>
      </c>
      <c r="D724" s="82" t="s">
        <v>2540</v>
      </c>
      <c r="E724" s="82" t="s">
        <v>2163</v>
      </c>
      <c r="F724" s="82" t="s">
        <v>2539</v>
      </c>
      <c r="G724" s="82" t="s">
        <v>1946</v>
      </c>
      <c r="H724" s="82" t="s">
        <v>2165</v>
      </c>
      <c r="I724" s="82" t="s">
        <v>24</v>
      </c>
      <c r="J724" s="82" t="s">
        <v>2171</v>
      </c>
      <c r="K724" s="82" t="s">
        <v>2167</v>
      </c>
      <c r="L724" s="82" t="s">
        <v>1946</v>
      </c>
      <c r="M724" s="82" t="s">
        <v>2090</v>
      </c>
      <c r="N724" s="82" t="s">
        <v>1946</v>
      </c>
      <c r="O724" s="82" t="s">
        <v>2173</v>
      </c>
    </row>
    <row r="725" spans="1:15" ht="15.75" hidden="1" x14ac:dyDescent="0.25">
      <c r="A725" t="str">
        <f t="shared" si="11"/>
        <v>ALR_SECONDO_LIVELLO_CO-Allarme secondo livello CO</v>
      </c>
      <c r="C725" s="82" t="s">
        <v>2541</v>
      </c>
      <c r="D725" s="82" t="s">
        <v>2542</v>
      </c>
      <c r="E725" s="82" t="s">
        <v>2163</v>
      </c>
      <c r="F725" s="82" t="s">
        <v>2541</v>
      </c>
      <c r="G725" s="82" t="s">
        <v>1946</v>
      </c>
      <c r="H725" s="82" t="s">
        <v>2165</v>
      </c>
      <c r="I725" s="82" t="s">
        <v>24</v>
      </c>
      <c r="J725" s="82" t="s">
        <v>2171</v>
      </c>
      <c r="K725" s="82" t="s">
        <v>2167</v>
      </c>
      <c r="L725" s="82" t="s">
        <v>1946</v>
      </c>
      <c r="M725" s="82" t="s">
        <v>2090</v>
      </c>
      <c r="N725" s="82" t="s">
        <v>1946</v>
      </c>
      <c r="O725" s="82" t="s">
        <v>2173</v>
      </c>
    </row>
    <row r="726" spans="1:15" ht="15.75" hidden="1" x14ac:dyDescent="0.25">
      <c r="A726" t="str">
        <f t="shared" si="11"/>
        <v>ALR_SECONDO_LIVELLO_COOP-Allarme secondo livello CO-OP</v>
      </c>
      <c r="C726" s="82" t="s">
        <v>2543</v>
      </c>
      <c r="D726" s="82" t="s">
        <v>2544</v>
      </c>
      <c r="E726" s="82" t="s">
        <v>2163</v>
      </c>
      <c r="F726" s="82" t="s">
        <v>2543</v>
      </c>
      <c r="G726" s="82" t="s">
        <v>1946</v>
      </c>
      <c r="H726" s="82" t="s">
        <v>2165</v>
      </c>
      <c r="I726" s="82" t="s">
        <v>24</v>
      </c>
      <c r="J726" s="82" t="s">
        <v>2171</v>
      </c>
      <c r="K726" s="82" t="s">
        <v>2167</v>
      </c>
      <c r="L726" s="82" t="s">
        <v>1946</v>
      </c>
      <c r="M726" s="82" t="s">
        <v>2090</v>
      </c>
      <c r="N726" s="82" t="s">
        <v>1946</v>
      </c>
      <c r="O726" s="82" t="s">
        <v>2173</v>
      </c>
    </row>
    <row r="727" spans="1:15" ht="15.75" hidden="1" x14ac:dyDescent="0.25">
      <c r="A727" t="str">
        <f t="shared" si="11"/>
        <v>ALR_SECONDO_LIVELLO_OP-Allarme secondo livello OP</v>
      </c>
      <c r="C727" s="82" t="s">
        <v>2545</v>
      </c>
      <c r="D727" s="82" t="s">
        <v>2546</v>
      </c>
      <c r="E727" s="82" t="s">
        <v>2163</v>
      </c>
      <c r="F727" s="82" t="s">
        <v>2545</v>
      </c>
      <c r="G727" s="82" t="s">
        <v>1946</v>
      </c>
      <c r="H727" s="82" t="s">
        <v>2165</v>
      </c>
      <c r="I727" s="82" t="s">
        <v>24</v>
      </c>
      <c r="J727" s="82" t="s">
        <v>2171</v>
      </c>
      <c r="K727" s="82" t="s">
        <v>2167</v>
      </c>
      <c r="L727" s="82" t="s">
        <v>1946</v>
      </c>
      <c r="M727" s="82" t="s">
        <v>2090</v>
      </c>
      <c r="N727" s="82" t="s">
        <v>1946</v>
      </c>
      <c r="O727" s="82" t="s">
        <v>2173</v>
      </c>
    </row>
    <row r="728" spans="1:15" ht="15.75" hidden="1" x14ac:dyDescent="0.25">
      <c r="A728" t="str">
        <f t="shared" si="11"/>
        <v>ALR_SEMAFORO_GIALLO_GUASTO-Allarme semaforo giallo guasto</v>
      </c>
      <c r="C728" s="82" t="s">
        <v>1558</v>
      </c>
      <c r="D728" s="82" t="s">
        <v>1559</v>
      </c>
      <c r="E728" s="82" t="s">
        <v>2163</v>
      </c>
      <c r="F728" s="82" t="s">
        <v>1558</v>
      </c>
      <c r="G728" s="82" t="s">
        <v>1946</v>
      </c>
      <c r="H728" s="82" t="s">
        <v>2165</v>
      </c>
      <c r="I728" s="82" t="s">
        <v>157</v>
      </c>
      <c r="J728" s="82" t="s">
        <v>2181</v>
      </c>
      <c r="K728" s="82" t="s">
        <v>2167</v>
      </c>
      <c r="L728" s="82" t="s">
        <v>1946</v>
      </c>
      <c r="M728" s="82" t="s">
        <v>2090</v>
      </c>
      <c r="N728" s="82" t="s">
        <v>1946</v>
      </c>
      <c r="O728" s="82" t="s">
        <v>2173</v>
      </c>
    </row>
    <row r="729" spans="1:15" ht="15.75" hidden="1" x14ac:dyDescent="0.25">
      <c r="A729" t="str">
        <f t="shared" si="11"/>
        <v>ALR_SEMAFORO_ROSSO_GUASTO-Allarme semaforo rosso guasto</v>
      </c>
      <c r="C729" s="82" t="s">
        <v>1560</v>
      </c>
      <c r="D729" s="82" t="s">
        <v>1561</v>
      </c>
      <c r="E729" s="82" t="s">
        <v>2163</v>
      </c>
      <c r="F729" s="82" t="s">
        <v>1560</v>
      </c>
      <c r="G729" s="82" t="s">
        <v>1946</v>
      </c>
      <c r="H729" s="82" t="s">
        <v>2165</v>
      </c>
      <c r="I729" s="82" t="s">
        <v>157</v>
      </c>
      <c r="J729" s="82" t="s">
        <v>2181</v>
      </c>
      <c r="K729" s="82" t="s">
        <v>2167</v>
      </c>
      <c r="L729" s="82" t="s">
        <v>1946</v>
      </c>
      <c r="M729" s="82" t="s">
        <v>2090</v>
      </c>
      <c r="N729" s="82" t="s">
        <v>1946</v>
      </c>
      <c r="O729" s="82" t="s">
        <v>2173</v>
      </c>
    </row>
    <row r="730" spans="1:15" ht="15.75" hidden="1" x14ac:dyDescent="0.25">
      <c r="A730" t="str">
        <f t="shared" si="11"/>
        <v>ALR_SEMAFORO_VERDE_GUASTO-Allarme semaforo verde guasto</v>
      </c>
      <c r="C730" s="82" t="s">
        <v>1562</v>
      </c>
      <c r="D730" s="82" t="s">
        <v>1563</v>
      </c>
      <c r="E730" s="82" t="s">
        <v>2163</v>
      </c>
      <c r="F730" s="82" t="s">
        <v>1562</v>
      </c>
      <c r="G730" s="82" t="s">
        <v>1946</v>
      </c>
      <c r="H730" s="82" t="s">
        <v>2165</v>
      </c>
      <c r="I730" s="82" t="s">
        <v>157</v>
      </c>
      <c r="J730" s="82" t="s">
        <v>2181</v>
      </c>
      <c r="K730" s="82" t="s">
        <v>2167</v>
      </c>
      <c r="L730" s="82" t="s">
        <v>1946</v>
      </c>
      <c r="M730" s="82" t="s">
        <v>2090</v>
      </c>
      <c r="N730" s="82" t="s">
        <v>1946</v>
      </c>
      <c r="O730" s="82" t="s">
        <v>2173</v>
      </c>
    </row>
    <row r="731" spans="1:15" ht="15.75" hidden="1" x14ac:dyDescent="0.25">
      <c r="A731" t="str">
        <f t="shared" si="11"/>
        <v>ALR_SENSORE_GASOLIO-Chiusura Allarme sensore gasolio</v>
      </c>
      <c r="C731" s="82" t="s">
        <v>2547</v>
      </c>
      <c r="D731" s="82" t="s">
        <v>2548</v>
      </c>
      <c r="E731" s="82" t="s">
        <v>2163</v>
      </c>
      <c r="F731" s="82" t="s">
        <v>2547</v>
      </c>
      <c r="G731" s="82" t="s">
        <v>1946</v>
      </c>
      <c r="H731" s="82" t="s">
        <v>2165</v>
      </c>
      <c r="I731" s="82" t="s">
        <v>24</v>
      </c>
      <c r="J731" s="82" t="s">
        <v>2171</v>
      </c>
      <c r="K731" s="82" t="s">
        <v>2167</v>
      </c>
      <c r="L731" s="82" t="s">
        <v>1946</v>
      </c>
      <c r="M731" s="82" t="s">
        <v>2090</v>
      </c>
      <c r="N731" s="82" t="s">
        <v>1946</v>
      </c>
      <c r="O731" s="82" t="s">
        <v>2173</v>
      </c>
    </row>
    <row r="732" spans="1:15" ht="15.75" hidden="1" x14ac:dyDescent="0.25">
      <c r="A732" t="str">
        <f t="shared" si="11"/>
        <v>ALR_SENSORE_RADAR-Allarme sensore Radar</v>
      </c>
      <c r="C732" s="82" t="s">
        <v>1564</v>
      </c>
      <c r="D732" s="82" t="s">
        <v>1565</v>
      </c>
      <c r="E732" s="82" t="s">
        <v>2163</v>
      </c>
      <c r="F732" s="82" t="s">
        <v>1564</v>
      </c>
      <c r="G732" s="82" t="s">
        <v>1946</v>
      </c>
      <c r="H732" s="82" t="s">
        <v>2165</v>
      </c>
      <c r="I732" s="82" t="s">
        <v>24</v>
      </c>
      <c r="J732" s="82" t="s">
        <v>2171</v>
      </c>
      <c r="K732" s="82" t="s">
        <v>2167</v>
      </c>
      <c r="L732" s="82" t="s">
        <v>1946</v>
      </c>
      <c r="M732" s="82" t="s">
        <v>2090</v>
      </c>
      <c r="N732" s="82" t="s">
        <v>1946</v>
      </c>
      <c r="O732" s="82" t="s">
        <v>2173</v>
      </c>
    </row>
    <row r="733" spans="1:15" ht="15.75" hidden="1" x14ac:dyDescent="0.25">
      <c r="A733" t="str">
        <f t="shared" si="11"/>
        <v>ALR_SENSORE_SCOLLEGATO-Allarme sensore scollegato</v>
      </c>
      <c r="C733" s="82" t="s">
        <v>1567</v>
      </c>
      <c r="D733" s="82" t="s">
        <v>1568</v>
      </c>
      <c r="E733" s="82" t="s">
        <v>2163</v>
      </c>
      <c r="F733" s="82" t="s">
        <v>1567</v>
      </c>
      <c r="G733" s="82" t="s">
        <v>1946</v>
      </c>
      <c r="H733" s="82" t="s">
        <v>2165</v>
      </c>
      <c r="I733" s="82" t="s">
        <v>24</v>
      </c>
      <c r="J733" s="82" t="s">
        <v>2171</v>
      </c>
      <c r="K733" s="82" t="s">
        <v>2167</v>
      </c>
      <c r="L733" s="82" t="s">
        <v>1946</v>
      </c>
      <c r="M733" s="82" t="s">
        <v>2090</v>
      </c>
      <c r="N733" s="82" t="s">
        <v>1946</v>
      </c>
      <c r="O733" s="82" t="s">
        <v>2173</v>
      </c>
    </row>
    <row r="734" spans="1:15" ht="15.75" hidden="1" x14ac:dyDescent="0.25">
      <c r="A734" t="str">
        <f t="shared" si="11"/>
        <v>ALR_SENSO_CICLO_INVERSO-Allarme senso ciclo inverso</v>
      </c>
      <c r="C734" s="82" t="s">
        <v>641</v>
      </c>
      <c r="D734" s="82" t="s">
        <v>642</v>
      </c>
      <c r="E734" s="82" t="s">
        <v>2163</v>
      </c>
      <c r="F734" s="82" t="s">
        <v>641</v>
      </c>
      <c r="G734" s="82" t="s">
        <v>1946</v>
      </c>
      <c r="H734" s="82" t="s">
        <v>2165</v>
      </c>
      <c r="I734" s="82" t="s">
        <v>24</v>
      </c>
      <c r="J734" s="82" t="s">
        <v>2171</v>
      </c>
      <c r="K734" s="82" t="s">
        <v>2167</v>
      </c>
      <c r="L734" s="82" t="s">
        <v>1946</v>
      </c>
      <c r="M734" s="82" t="s">
        <v>2090</v>
      </c>
      <c r="N734" s="82" t="s">
        <v>1946</v>
      </c>
      <c r="O734" s="82" t="s">
        <v>2173</v>
      </c>
    </row>
    <row r="735" spans="1:15" ht="15.75" hidden="1" x14ac:dyDescent="0.25">
      <c r="A735" t="str">
        <f t="shared" si="11"/>
        <v>ALR_SEQUENZA_FASE_ERRATA-Allarme sequenza fase errata</v>
      </c>
      <c r="C735" s="82" t="s">
        <v>1570</v>
      </c>
      <c r="D735" s="82" t="s">
        <v>1571</v>
      </c>
      <c r="E735" s="82" t="s">
        <v>2163</v>
      </c>
      <c r="F735" s="82" t="s">
        <v>1570</v>
      </c>
      <c r="G735" s="82" t="s">
        <v>1946</v>
      </c>
      <c r="H735" s="82" t="s">
        <v>2165</v>
      </c>
      <c r="I735" s="82" t="s">
        <v>24</v>
      </c>
      <c r="J735" s="82" t="s">
        <v>2171</v>
      </c>
      <c r="K735" s="82" t="s">
        <v>2167</v>
      </c>
      <c r="L735" s="82" t="s">
        <v>1946</v>
      </c>
      <c r="M735" s="82" t="s">
        <v>2090</v>
      </c>
      <c r="N735" s="82" t="s">
        <v>1946</v>
      </c>
      <c r="O735" s="82" t="s">
        <v>2173</v>
      </c>
    </row>
    <row r="736" spans="1:15" ht="15.75" hidden="1" x14ac:dyDescent="0.25">
      <c r="A736" t="str">
        <f t="shared" si="11"/>
        <v>ALR_SERBATOIO_ACQUA_VUOTO-Allarme serbatoio acqua vuoto</v>
      </c>
      <c r="C736" s="82" t="s">
        <v>1572</v>
      </c>
      <c r="D736" s="82" t="s">
        <v>1573</v>
      </c>
      <c r="E736" s="82" t="s">
        <v>2163</v>
      </c>
      <c r="F736" s="82" t="s">
        <v>1572</v>
      </c>
      <c r="G736" s="82" t="s">
        <v>1946</v>
      </c>
      <c r="H736" s="82" t="s">
        <v>2165</v>
      </c>
      <c r="I736" s="82" t="s">
        <v>157</v>
      </c>
      <c r="J736" s="82" t="s">
        <v>2181</v>
      </c>
      <c r="K736" s="82" t="s">
        <v>2167</v>
      </c>
      <c r="L736" s="82" t="s">
        <v>1946</v>
      </c>
      <c r="M736" s="82" t="s">
        <v>2090</v>
      </c>
      <c r="N736" s="82" t="s">
        <v>1946</v>
      </c>
      <c r="O736" s="82" t="s">
        <v>2173</v>
      </c>
    </row>
    <row r="737" spans="1:15" ht="15.75" hidden="1" x14ac:dyDescent="0.25">
      <c r="A737" t="str">
        <f t="shared" si="11"/>
        <v>ALR_SERRANDA-Allarme Serranda</v>
      </c>
      <c r="C737" s="82" t="s">
        <v>643</v>
      </c>
      <c r="D737" s="82" t="s">
        <v>644</v>
      </c>
      <c r="E737" s="82" t="s">
        <v>2163</v>
      </c>
      <c r="F737" s="82" t="s">
        <v>643</v>
      </c>
      <c r="G737" s="82" t="s">
        <v>1946</v>
      </c>
      <c r="H737" s="82" t="s">
        <v>2165</v>
      </c>
      <c r="I737" s="82" t="s">
        <v>24</v>
      </c>
      <c r="J737" s="82" t="s">
        <v>2171</v>
      </c>
      <c r="K737" s="82" t="s">
        <v>2167</v>
      </c>
      <c r="L737" s="82" t="s">
        <v>1946</v>
      </c>
      <c r="M737" s="82" t="s">
        <v>2090</v>
      </c>
      <c r="N737" s="82" t="s">
        <v>1946</v>
      </c>
      <c r="O737" s="82" t="s">
        <v>2173</v>
      </c>
    </row>
    <row r="738" spans="1:15" ht="15.75" hidden="1" x14ac:dyDescent="0.25">
      <c r="A738" t="str">
        <f t="shared" si="11"/>
        <v>ALR_SERRANDA_APERTA-Allarme serranda aperta</v>
      </c>
      <c r="C738" s="82" t="s">
        <v>645</v>
      </c>
      <c r="D738" s="82" t="s">
        <v>646</v>
      </c>
      <c r="E738" s="82" t="s">
        <v>2163</v>
      </c>
      <c r="F738" s="82" t="s">
        <v>645</v>
      </c>
      <c r="G738" s="82" t="s">
        <v>1946</v>
      </c>
      <c r="H738" s="82" t="s">
        <v>2165</v>
      </c>
      <c r="I738" s="82" t="s">
        <v>24</v>
      </c>
      <c r="J738" s="82" t="s">
        <v>2171</v>
      </c>
      <c r="K738" s="82" t="s">
        <v>2167</v>
      </c>
      <c r="L738" s="82" t="s">
        <v>1946</v>
      </c>
      <c r="M738" s="82" t="s">
        <v>2090</v>
      </c>
      <c r="N738" s="82" t="s">
        <v>1946</v>
      </c>
      <c r="O738" s="82" t="s">
        <v>2173</v>
      </c>
    </row>
    <row r="739" spans="1:15" ht="15.75" hidden="1" x14ac:dyDescent="0.25">
      <c r="A739" t="str">
        <f t="shared" si="11"/>
        <v>ALR_SEZ_SCATTATO-Allarme sezionatore scattato</v>
      </c>
      <c r="C739" s="82" t="s">
        <v>1876</v>
      </c>
      <c r="D739" s="82" t="s">
        <v>1877</v>
      </c>
      <c r="E739" s="82" t="s">
        <v>2163</v>
      </c>
      <c r="F739" s="82" t="s">
        <v>1876</v>
      </c>
      <c r="G739" s="82" t="s">
        <v>1946</v>
      </c>
      <c r="H739" s="82" t="s">
        <v>2165</v>
      </c>
      <c r="I739" s="82" t="s">
        <v>24</v>
      </c>
      <c r="J739" s="82" t="s">
        <v>2171</v>
      </c>
      <c r="K739" s="82" t="s">
        <v>2173</v>
      </c>
      <c r="L739" s="82" t="s">
        <v>1946</v>
      </c>
      <c r="M739" s="82" t="s">
        <v>2090</v>
      </c>
      <c r="N739" s="82" t="s">
        <v>1946</v>
      </c>
      <c r="O739" s="82" t="s">
        <v>2173</v>
      </c>
    </row>
    <row r="740" spans="1:15" ht="15.75" hidden="1" x14ac:dyDescent="0.25">
      <c r="A740" t="str">
        <f t="shared" si="11"/>
        <v>ALR_SEZ_VUOTO-Allarme sezionatore a vuoto</v>
      </c>
      <c r="C740" s="82" t="s">
        <v>647</v>
      </c>
      <c r="D740" s="82" t="s">
        <v>648</v>
      </c>
      <c r="E740" s="82" t="s">
        <v>2163</v>
      </c>
      <c r="F740" s="82" t="s">
        <v>647</v>
      </c>
      <c r="G740" s="82" t="s">
        <v>1946</v>
      </c>
      <c r="H740" s="82" t="s">
        <v>2165</v>
      </c>
      <c r="I740" s="82" t="s">
        <v>24</v>
      </c>
      <c r="J740" s="82" t="s">
        <v>2171</v>
      </c>
      <c r="K740" s="82" t="s">
        <v>2167</v>
      </c>
      <c r="L740" s="82" t="s">
        <v>1946</v>
      </c>
      <c r="M740" s="82" t="s">
        <v>2090</v>
      </c>
      <c r="N740" s="82" t="s">
        <v>1946</v>
      </c>
      <c r="O740" s="82" t="s">
        <v>2173</v>
      </c>
    </row>
    <row r="741" spans="1:15" ht="15.75" hidden="1" x14ac:dyDescent="0.25">
      <c r="A741" t="str">
        <f t="shared" si="11"/>
        <v>ALR_SFILAMENTO-Allarme sfilamento</v>
      </c>
      <c r="C741" s="82" t="s">
        <v>649</v>
      </c>
      <c r="D741" s="82" t="s">
        <v>650</v>
      </c>
      <c r="E741" s="82" t="s">
        <v>2163</v>
      </c>
      <c r="F741" s="82" t="s">
        <v>649</v>
      </c>
      <c r="G741" s="82" t="s">
        <v>1946</v>
      </c>
      <c r="H741" s="82" t="s">
        <v>2165</v>
      </c>
      <c r="I741" s="82" t="s">
        <v>33</v>
      </c>
      <c r="J741" s="82" t="s">
        <v>2174</v>
      </c>
      <c r="K741" s="82" t="s">
        <v>2173</v>
      </c>
      <c r="L741" s="82" t="s">
        <v>1946</v>
      </c>
      <c r="M741" s="82" t="s">
        <v>2176</v>
      </c>
      <c r="N741" s="82" t="s">
        <v>2188</v>
      </c>
      <c r="O741" s="82" t="s">
        <v>2173</v>
      </c>
    </row>
    <row r="742" spans="1:15" ht="15.75" hidden="1" x14ac:dyDescent="0.25">
      <c r="A742" t="str">
        <f t="shared" si="11"/>
        <v>ALR_SGANCIO_TELEFONO-Allarme sgancio telefono</v>
      </c>
      <c r="C742" s="82" t="s">
        <v>651</v>
      </c>
      <c r="D742" s="82" t="s">
        <v>652</v>
      </c>
      <c r="E742" s="82" t="s">
        <v>2163</v>
      </c>
      <c r="F742" s="82" t="s">
        <v>651</v>
      </c>
      <c r="G742" s="82" t="s">
        <v>1946</v>
      </c>
      <c r="H742" s="82" t="s">
        <v>2165</v>
      </c>
      <c r="I742" s="82" t="s">
        <v>33</v>
      </c>
      <c r="J742" s="82" t="s">
        <v>2174</v>
      </c>
      <c r="K742" s="82" t="s">
        <v>2173</v>
      </c>
      <c r="L742" s="82" t="s">
        <v>1946</v>
      </c>
      <c r="M742" s="82" t="s">
        <v>2176</v>
      </c>
      <c r="N742" s="82" t="s">
        <v>2177</v>
      </c>
      <c r="O742" s="82" t="s">
        <v>2173</v>
      </c>
    </row>
    <row r="743" spans="1:15" ht="15.75" hidden="1" x14ac:dyDescent="0.25">
      <c r="A743" t="str">
        <f t="shared" si="11"/>
        <v>ALR_SHUTDOWN_IMMINENTE-Allarme shutdown imminente</v>
      </c>
      <c r="C743" s="82" t="s">
        <v>1574</v>
      </c>
      <c r="D743" s="82" t="s">
        <v>1575</v>
      </c>
      <c r="E743" s="82" t="s">
        <v>2163</v>
      </c>
      <c r="F743" s="82" t="s">
        <v>1574</v>
      </c>
      <c r="G743" s="82" t="s">
        <v>1946</v>
      </c>
      <c r="H743" s="82" t="s">
        <v>2165</v>
      </c>
      <c r="I743" s="82" t="s">
        <v>24</v>
      </c>
      <c r="J743" s="82" t="s">
        <v>2171</v>
      </c>
      <c r="K743" s="82" t="s">
        <v>2167</v>
      </c>
      <c r="L743" s="82" t="s">
        <v>1946</v>
      </c>
      <c r="M743" s="82" t="s">
        <v>2090</v>
      </c>
      <c r="N743" s="82" t="s">
        <v>1946</v>
      </c>
      <c r="O743" s="82" t="s">
        <v>2173</v>
      </c>
    </row>
    <row r="744" spans="1:15" ht="15.75" hidden="1" x14ac:dyDescent="0.25">
      <c r="A744" t="str">
        <f t="shared" si="11"/>
        <v>ALR_SHUTDOWN_IN_ATTESA-Allarme shutdown in attesa</v>
      </c>
      <c r="C744" s="82" t="s">
        <v>1576</v>
      </c>
      <c r="D744" s="82" t="s">
        <v>1577</v>
      </c>
      <c r="E744" s="82" t="s">
        <v>2163</v>
      </c>
      <c r="F744" s="82" t="s">
        <v>1576</v>
      </c>
      <c r="G744" s="82" t="s">
        <v>1946</v>
      </c>
      <c r="H744" s="82" t="s">
        <v>2165</v>
      </c>
      <c r="I744" s="82" t="s">
        <v>24</v>
      </c>
      <c r="J744" s="82" t="s">
        <v>2171</v>
      </c>
      <c r="K744" s="82" t="s">
        <v>2167</v>
      </c>
      <c r="L744" s="82" t="s">
        <v>1946</v>
      </c>
      <c r="M744" s="82" t="s">
        <v>2090</v>
      </c>
      <c r="N744" s="82" t="s">
        <v>1946</v>
      </c>
      <c r="O744" s="82" t="s">
        <v>2173</v>
      </c>
    </row>
    <row r="745" spans="1:15" ht="15.75" hidden="1" x14ac:dyDescent="0.25">
      <c r="A745" t="str">
        <f t="shared" si="11"/>
        <v>ALR_SIMULATO_1-Allarme simulato 1</v>
      </c>
      <c r="C745" s="82" t="s">
        <v>1578</v>
      </c>
      <c r="D745" s="82" t="s">
        <v>1579</v>
      </c>
      <c r="E745" s="82" t="s">
        <v>2163</v>
      </c>
      <c r="F745" s="82" t="s">
        <v>1578</v>
      </c>
      <c r="G745" s="82" t="s">
        <v>1946</v>
      </c>
      <c r="H745" s="82" t="s">
        <v>2165</v>
      </c>
      <c r="I745" s="82" t="s">
        <v>24</v>
      </c>
      <c r="J745" s="82" t="s">
        <v>2171</v>
      </c>
      <c r="K745" s="82" t="s">
        <v>2167</v>
      </c>
      <c r="L745" s="82" t="s">
        <v>1946</v>
      </c>
      <c r="M745" s="82" t="s">
        <v>2090</v>
      </c>
      <c r="N745" s="82" t="s">
        <v>1946</v>
      </c>
      <c r="O745" s="82" t="s">
        <v>2173</v>
      </c>
    </row>
    <row r="746" spans="1:15" ht="15.75" hidden="1" x14ac:dyDescent="0.25">
      <c r="A746" t="str">
        <f t="shared" si="11"/>
        <v>ALR_SIMULATO_2-Allarme simulato 2</v>
      </c>
      <c r="C746" s="82" t="s">
        <v>1580</v>
      </c>
      <c r="D746" s="82" t="s">
        <v>1581</v>
      </c>
      <c r="E746" s="82" t="s">
        <v>2163</v>
      </c>
      <c r="F746" s="82" t="s">
        <v>1580</v>
      </c>
      <c r="G746" s="82" t="s">
        <v>1946</v>
      </c>
      <c r="H746" s="82" t="s">
        <v>2165</v>
      </c>
      <c r="I746" s="82" t="s">
        <v>24</v>
      </c>
      <c r="J746" s="82" t="s">
        <v>2171</v>
      </c>
      <c r="K746" s="82" t="s">
        <v>2167</v>
      </c>
      <c r="L746" s="82" t="s">
        <v>1946</v>
      </c>
      <c r="M746" s="82" t="s">
        <v>2090</v>
      </c>
      <c r="N746" s="82" t="s">
        <v>1946</v>
      </c>
      <c r="O746" s="82" t="s">
        <v>2173</v>
      </c>
    </row>
    <row r="747" spans="1:15" ht="15.75" hidden="1" x14ac:dyDescent="0.25">
      <c r="A747" t="str">
        <f t="shared" si="11"/>
        <v>ALR_SIMULATO_3-Allarme simulato 3</v>
      </c>
      <c r="C747" s="82" t="s">
        <v>1582</v>
      </c>
      <c r="D747" s="82" t="s">
        <v>1583</v>
      </c>
      <c r="E747" s="82" t="s">
        <v>2163</v>
      </c>
      <c r="F747" s="82" t="s">
        <v>1582</v>
      </c>
      <c r="G747" s="82" t="s">
        <v>1946</v>
      </c>
      <c r="H747" s="82" t="s">
        <v>2165</v>
      </c>
      <c r="I747" s="82" t="s">
        <v>24</v>
      </c>
      <c r="J747" s="82" t="s">
        <v>2171</v>
      </c>
      <c r="K747" s="82" t="s">
        <v>2167</v>
      </c>
      <c r="L747" s="82" t="s">
        <v>1946</v>
      </c>
      <c r="M747" s="82" t="s">
        <v>2090</v>
      </c>
      <c r="N747" s="82" t="s">
        <v>1946</v>
      </c>
      <c r="O747" s="82" t="s">
        <v>2173</v>
      </c>
    </row>
    <row r="748" spans="1:15" ht="15.75" hidden="1" x14ac:dyDescent="0.25">
      <c r="A748" t="str">
        <f t="shared" si="11"/>
        <v>ALR_SIMULAZIONE-Allarme simulazione</v>
      </c>
      <c r="C748" s="82" t="s">
        <v>1584</v>
      </c>
      <c r="D748" s="82" t="s">
        <v>1585</v>
      </c>
      <c r="E748" s="82" t="s">
        <v>2163</v>
      </c>
      <c r="F748" s="82" t="s">
        <v>1584</v>
      </c>
      <c r="G748" s="82" t="s">
        <v>1946</v>
      </c>
      <c r="H748" s="82" t="s">
        <v>2165</v>
      </c>
      <c r="I748" s="82" t="s">
        <v>24</v>
      </c>
      <c r="J748" s="82" t="s">
        <v>2171</v>
      </c>
      <c r="K748" s="82" t="s">
        <v>2167</v>
      </c>
      <c r="L748" s="82" t="s">
        <v>1946</v>
      </c>
      <c r="M748" s="82" t="s">
        <v>2090</v>
      </c>
      <c r="N748" s="82" t="s">
        <v>1946</v>
      </c>
      <c r="O748" s="82" t="s">
        <v>2173</v>
      </c>
    </row>
    <row r="749" spans="1:15" ht="15.75" hidden="1" x14ac:dyDescent="0.25">
      <c r="A749" t="str">
        <f t="shared" si="11"/>
        <v>ALR_SIMULAZIONE_INCENDIO-Allarme simulazione incendio attiva</v>
      </c>
      <c r="C749" s="82" t="s">
        <v>2549</v>
      </c>
      <c r="D749" s="82" t="s">
        <v>2550</v>
      </c>
      <c r="E749" s="82" t="s">
        <v>2163</v>
      </c>
      <c r="F749" s="82" t="s">
        <v>2549</v>
      </c>
      <c r="G749" s="82" t="s">
        <v>1946</v>
      </c>
      <c r="H749" s="82" t="s">
        <v>2165</v>
      </c>
      <c r="I749" s="82" t="s">
        <v>24</v>
      </c>
      <c r="J749" s="82" t="s">
        <v>2171</v>
      </c>
      <c r="K749" s="82" t="s">
        <v>2167</v>
      </c>
      <c r="L749" s="82" t="s">
        <v>1946</v>
      </c>
      <c r="M749" s="82" t="s">
        <v>2090</v>
      </c>
      <c r="N749" s="82" t="s">
        <v>1946</v>
      </c>
      <c r="O749" s="82" t="s">
        <v>2173</v>
      </c>
    </row>
    <row r="750" spans="1:15" ht="15.75" hidden="1" x14ac:dyDescent="0.25">
      <c r="A750" t="str">
        <f t="shared" si="11"/>
        <v>ALR_SINCRONIZZAZIONE_PLC-Allarme sincronizzazione PLC</v>
      </c>
      <c r="C750" s="82" t="s">
        <v>1586</v>
      </c>
      <c r="D750" s="82" t="s">
        <v>1587</v>
      </c>
      <c r="E750" s="82" t="s">
        <v>2163</v>
      </c>
      <c r="F750" s="82" t="s">
        <v>1586</v>
      </c>
      <c r="G750" s="82" t="s">
        <v>1946</v>
      </c>
      <c r="H750" s="82" t="s">
        <v>2165</v>
      </c>
      <c r="I750" s="82" t="s">
        <v>33</v>
      </c>
      <c r="J750" s="82" t="s">
        <v>2174</v>
      </c>
      <c r="K750" s="82" t="s">
        <v>2173</v>
      </c>
      <c r="L750" s="82" t="s">
        <v>1946</v>
      </c>
      <c r="M750" s="82" t="s">
        <v>2176</v>
      </c>
      <c r="N750" s="82" t="s">
        <v>2188</v>
      </c>
      <c r="O750" s="82" t="s">
        <v>2173</v>
      </c>
    </row>
    <row r="751" spans="1:15" ht="15.75" hidden="1" x14ac:dyDescent="0.25">
      <c r="A751" t="str">
        <f t="shared" si="11"/>
        <v>ALR_SIRENA-Allarme sirena attiva</v>
      </c>
      <c r="C751" s="82" t="s">
        <v>653</v>
      </c>
      <c r="D751" s="82" t="s">
        <v>654</v>
      </c>
      <c r="E751" s="82" t="s">
        <v>2163</v>
      </c>
      <c r="F751" s="82" t="s">
        <v>653</v>
      </c>
      <c r="G751" s="82" t="s">
        <v>1946</v>
      </c>
      <c r="H751" s="82" t="s">
        <v>2165</v>
      </c>
      <c r="I751" s="82" t="s">
        <v>157</v>
      </c>
      <c r="J751" s="82" t="s">
        <v>2181</v>
      </c>
      <c r="K751" s="82" t="s">
        <v>2167</v>
      </c>
      <c r="L751" s="82" t="s">
        <v>1946</v>
      </c>
      <c r="M751" s="82" t="s">
        <v>2176</v>
      </c>
      <c r="N751" s="82" t="s">
        <v>2177</v>
      </c>
      <c r="O751" s="82" t="s">
        <v>2173</v>
      </c>
    </row>
    <row r="752" spans="1:15" ht="15.75" hidden="1" x14ac:dyDescent="0.25">
      <c r="A752" t="str">
        <f t="shared" si="11"/>
        <v>ALR_SOCCORRITORE-Allarme soccorritore</v>
      </c>
      <c r="C752" s="82" t="s">
        <v>1588</v>
      </c>
      <c r="D752" s="82" t="s">
        <v>1589</v>
      </c>
      <c r="E752" s="82" t="s">
        <v>2163</v>
      </c>
      <c r="F752" s="82" t="s">
        <v>1588</v>
      </c>
      <c r="G752" s="82" t="s">
        <v>1946</v>
      </c>
      <c r="H752" s="82" t="s">
        <v>2165</v>
      </c>
      <c r="I752" s="82" t="s">
        <v>24</v>
      </c>
      <c r="J752" s="82" t="s">
        <v>2171</v>
      </c>
      <c r="K752" s="82" t="s">
        <v>2167</v>
      </c>
      <c r="L752" s="82" t="s">
        <v>1946</v>
      </c>
      <c r="M752" s="82" t="s">
        <v>2090</v>
      </c>
      <c r="N752" s="82" t="s">
        <v>1946</v>
      </c>
      <c r="O752" s="82" t="s">
        <v>2173</v>
      </c>
    </row>
    <row r="753" spans="1:15" ht="15.75" hidden="1" x14ac:dyDescent="0.25">
      <c r="A753" t="str">
        <f t="shared" si="11"/>
        <v>ALR_SOCCORRITORE_BATTERIA_SCARICA-Allarme soccorritore batteria scarica</v>
      </c>
      <c r="C753" s="82" t="s">
        <v>655</v>
      </c>
      <c r="D753" s="82" t="s">
        <v>656</v>
      </c>
      <c r="E753" s="82" t="s">
        <v>2163</v>
      </c>
      <c r="F753" s="82" t="s">
        <v>655</v>
      </c>
      <c r="G753" s="82" t="s">
        <v>1946</v>
      </c>
      <c r="H753" s="82" t="s">
        <v>2165</v>
      </c>
      <c r="I753" s="82" t="s">
        <v>24</v>
      </c>
      <c r="J753" s="82" t="s">
        <v>2171</v>
      </c>
      <c r="K753" s="82" t="s">
        <v>2167</v>
      </c>
      <c r="L753" s="82" t="s">
        <v>1946</v>
      </c>
      <c r="M753" s="82" t="s">
        <v>2090</v>
      </c>
      <c r="N753" s="82" t="s">
        <v>1946</v>
      </c>
      <c r="O753" s="82" t="s">
        <v>2173</v>
      </c>
    </row>
    <row r="754" spans="1:15" ht="15.75" hidden="1" x14ac:dyDescent="0.25">
      <c r="A754" t="str">
        <f t="shared" si="11"/>
        <v>ALR_SOCCORRITORE_BYPASS-Allarme soccorritore in bypass</v>
      </c>
      <c r="C754" s="82" t="s">
        <v>657</v>
      </c>
      <c r="D754" s="82" t="s">
        <v>658</v>
      </c>
      <c r="E754" s="82" t="s">
        <v>2163</v>
      </c>
      <c r="F754" s="82" t="s">
        <v>657</v>
      </c>
      <c r="G754" s="82" t="s">
        <v>1946</v>
      </c>
      <c r="H754" s="82" t="s">
        <v>2165</v>
      </c>
      <c r="I754" s="82" t="s">
        <v>24</v>
      </c>
      <c r="J754" s="82" t="s">
        <v>2171</v>
      </c>
      <c r="K754" s="82" t="s">
        <v>2167</v>
      </c>
      <c r="L754" s="82" t="s">
        <v>1946</v>
      </c>
      <c r="M754" s="82" t="s">
        <v>2090</v>
      </c>
      <c r="N754" s="82" t="s">
        <v>1946</v>
      </c>
      <c r="O754" s="82" t="s">
        <v>2173</v>
      </c>
    </row>
    <row r="755" spans="1:15" ht="15.75" hidden="1" x14ac:dyDescent="0.25">
      <c r="A755" t="str">
        <f t="shared" si="11"/>
        <v>ALR_SOCCORRITORE_INVERTER_ON-Allarme soccorritore in scarica</v>
      </c>
      <c r="C755" s="82" t="s">
        <v>659</v>
      </c>
      <c r="D755" s="82" t="s">
        <v>660</v>
      </c>
      <c r="E755" s="82" t="s">
        <v>2163</v>
      </c>
      <c r="F755" s="82" t="s">
        <v>659</v>
      </c>
      <c r="G755" s="82" t="s">
        <v>1946</v>
      </c>
      <c r="H755" s="82" t="s">
        <v>2165</v>
      </c>
      <c r="I755" s="82" t="s">
        <v>24</v>
      </c>
      <c r="J755" s="82" t="s">
        <v>2171</v>
      </c>
      <c r="K755" s="82" t="s">
        <v>2167</v>
      </c>
      <c r="L755" s="82" t="s">
        <v>1946</v>
      </c>
      <c r="M755" s="82" t="s">
        <v>2090</v>
      </c>
      <c r="N755" s="82" t="s">
        <v>1946</v>
      </c>
      <c r="O755" s="82" t="s">
        <v>2173</v>
      </c>
    </row>
    <row r="756" spans="1:15" ht="15.75" hidden="1" x14ac:dyDescent="0.25">
      <c r="A756" t="str">
        <f t="shared" si="11"/>
        <v>ALR_SOFT_START-Allarme ventilatore</v>
      </c>
      <c r="C756" s="82" t="s">
        <v>661</v>
      </c>
      <c r="D756" s="82" t="s">
        <v>662</v>
      </c>
      <c r="E756" s="82" t="s">
        <v>2163</v>
      </c>
      <c r="F756" s="82" t="s">
        <v>661</v>
      </c>
      <c r="G756" s="82" t="s">
        <v>1946</v>
      </c>
      <c r="H756" s="82" t="s">
        <v>2165</v>
      </c>
      <c r="I756" s="82" t="s">
        <v>24</v>
      </c>
      <c r="J756" s="82" t="s">
        <v>2171</v>
      </c>
      <c r="K756" s="82" t="s">
        <v>2167</v>
      </c>
      <c r="L756" s="82" t="s">
        <v>1946</v>
      </c>
      <c r="M756" s="82" t="s">
        <v>2090</v>
      </c>
      <c r="N756" s="82" t="s">
        <v>1946</v>
      </c>
      <c r="O756" s="82" t="s">
        <v>2173</v>
      </c>
    </row>
    <row r="757" spans="1:15" ht="15.75" hidden="1" x14ac:dyDescent="0.25">
      <c r="A757" t="str">
        <f t="shared" si="11"/>
        <v>ALR_SOGLIA_INCENDIO_SUPERATA_CANNA_NORD-Allarme soglia incendio superata canna nord</v>
      </c>
      <c r="C757" s="82" t="s">
        <v>2551</v>
      </c>
      <c r="D757" s="82" t="s">
        <v>2552</v>
      </c>
      <c r="E757" s="82" t="s">
        <v>2163</v>
      </c>
      <c r="F757" s="82" t="s">
        <v>2551</v>
      </c>
      <c r="G757" s="82" t="s">
        <v>1946</v>
      </c>
      <c r="H757" s="82" t="s">
        <v>2165</v>
      </c>
      <c r="I757" s="82" t="s">
        <v>24</v>
      </c>
      <c r="J757" s="82" t="s">
        <v>2171</v>
      </c>
      <c r="K757" s="82" t="s">
        <v>2167</v>
      </c>
      <c r="L757" s="82" t="s">
        <v>1946</v>
      </c>
      <c r="M757" s="82" t="s">
        <v>2090</v>
      </c>
      <c r="N757" s="82" t="s">
        <v>1946</v>
      </c>
      <c r="O757" s="82" t="s">
        <v>2173</v>
      </c>
    </row>
    <row r="758" spans="1:15" ht="15.75" hidden="1" x14ac:dyDescent="0.25">
      <c r="A758" t="str">
        <f t="shared" si="11"/>
        <v>ALR_SOGLIA_INCENDIO_SUPERATA_CANNA_SUD-Allarme soglia incendio superata canna sud</v>
      </c>
      <c r="C758" s="82" t="s">
        <v>2553</v>
      </c>
      <c r="D758" s="82" t="s">
        <v>2554</v>
      </c>
      <c r="E758" s="82" t="s">
        <v>2163</v>
      </c>
      <c r="F758" s="82" t="s">
        <v>2553</v>
      </c>
      <c r="G758" s="82" t="s">
        <v>1946</v>
      </c>
      <c r="H758" s="82" t="s">
        <v>2165</v>
      </c>
      <c r="I758" s="82" t="s">
        <v>24</v>
      </c>
      <c r="J758" s="82" t="s">
        <v>2171</v>
      </c>
      <c r="K758" s="82" t="s">
        <v>2167</v>
      </c>
      <c r="L758" s="82" t="s">
        <v>1946</v>
      </c>
      <c r="M758" s="82" t="s">
        <v>2090</v>
      </c>
      <c r="N758" s="82" t="s">
        <v>1946</v>
      </c>
      <c r="O758" s="82" t="s">
        <v>2173</v>
      </c>
    </row>
    <row r="759" spans="1:15" ht="15.75" hidden="1" x14ac:dyDescent="0.25">
      <c r="A759" t="str">
        <f t="shared" si="11"/>
        <v>ALR_SONDA_ASSORBIMENTO-Allarme sonda assorbimento</v>
      </c>
      <c r="C759" s="82" t="s">
        <v>1591</v>
      </c>
      <c r="D759" s="82" t="s">
        <v>1592</v>
      </c>
      <c r="E759" s="82" t="s">
        <v>2163</v>
      </c>
      <c r="F759" s="82" t="s">
        <v>1591</v>
      </c>
      <c r="G759" s="82" t="s">
        <v>1946</v>
      </c>
      <c r="H759" s="82" t="s">
        <v>2165</v>
      </c>
      <c r="I759" s="82" t="s">
        <v>24</v>
      </c>
      <c r="J759" s="82" t="s">
        <v>2171</v>
      </c>
      <c r="K759" s="82" t="s">
        <v>2167</v>
      </c>
      <c r="L759" s="82" t="s">
        <v>1946</v>
      </c>
      <c r="M759" s="82" t="s">
        <v>2090</v>
      </c>
      <c r="N759" s="82" t="s">
        <v>1946</v>
      </c>
      <c r="O759" s="82" t="s">
        <v>2173</v>
      </c>
    </row>
    <row r="760" spans="1:15" ht="15.75" hidden="1" x14ac:dyDescent="0.25">
      <c r="A760" t="str">
        <f t="shared" si="11"/>
        <v>ALR_SONDA_TERMICA_S1-Allarme sonda termica S1</v>
      </c>
      <c r="C760" s="82" t="s">
        <v>2555</v>
      </c>
      <c r="D760" s="82" t="s">
        <v>2556</v>
      </c>
      <c r="E760" s="82" t="s">
        <v>2163</v>
      </c>
      <c r="F760" s="82" t="s">
        <v>2555</v>
      </c>
      <c r="G760" s="82" t="s">
        <v>1946</v>
      </c>
      <c r="H760" s="82" t="s">
        <v>2165</v>
      </c>
      <c r="I760" s="82" t="s">
        <v>24</v>
      </c>
      <c r="J760" s="82" t="s">
        <v>2171</v>
      </c>
      <c r="K760" s="82" t="s">
        <v>2167</v>
      </c>
      <c r="L760" s="82" t="s">
        <v>1946</v>
      </c>
      <c r="M760" s="82" t="s">
        <v>2090</v>
      </c>
      <c r="N760" s="82" t="s">
        <v>1946</v>
      </c>
      <c r="O760" s="82" t="s">
        <v>2173</v>
      </c>
    </row>
    <row r="761" spans="1:15" ht="15.75" hidden="1" x14ac:dyDescent="0.25">
      <c r="A761" t="str">
        <f t="shared" si="11"/>
        <v>ALR_SONDA_TERMICA_S2-Allarme sonda termica S2</v>
      </c>
      <c r="C761" s="82" t="s">
        <v>2557</v>
      </c>
      <c r="D761" s="82" t="s">
        <v>2558</v>
      </c>
      <c r="E761" s="82" t="s">
        <v>2163</v>
      </c>
      <c r="F761" s="82" t="s">
        <v>2557</v>
      </c>
      <c r="G761" s="82" t="s">
        <v>1946</v>
      </c>
      <c r="H761" s="82" t="s">
        <v>2165</v>
      </c>
      <c r="I761" s="82" t="s">
        <v>24</v>
      </c>
      <c r="J761" s="82" t="s">
        <v>2171</v>
      </c>
      <c r="K761" s="82" t="s">
        <v>2167</v>
      </c>
      <c r="L761" s="82" t="s">
        <v>1946</v>
      </c>
      <c r="M761" s="82" t="s">
        <v>2090</v>
      </c>
      <c r="N761" s="82" t="s">
        <v>1946</v>
      </c>
      <c r="O761" s="82" t="s">
        <v>2173</v>
      </c>
    </row>
    <row r="762" spans="1:15" ht="15.75" hidden="1" x14ac:dyDescent="0.25">
      <c r="A762" t="str">
        <f t="shared" si="11"/>
        <v>ALR_SONDA_TERMICA_S3-Allarme sonda termica S3</v>
      </c>
      <c r="C762" s="82" t="s">
        <v>2559</v>
      </c>
      <c r="D762" s="82" t="s">
        <v>2560</v>
      </c>
      <c r="E762" s="82" t="s">
        <v>2163</v>
      </c>
      <c r="F762" s="82" t="s">
        <v>2559</v>
      </c>
      <c r="G762" s="82" t="s">
        <v>1946</v>
      </c>
      <c r="H762" s="82" t="s">
        <v>2165</v>
      </c>
      <c r="I762" s="82" t="s">
        <v>24</v>
      </c>
      <c r="J762" s="82" t="s">
        <v>2171</v>
      </c>
      <c r="K762" s="82" t="s">
        <v>2167</v>
      </c>
      <c r="L762" s="82" t="s">
        <v>1946</v>
      </c>
      <c r="M762" s="82" t="s">
        <v>2090</v>
      </c>
      <c r="N762" s="82" t="s">
        <v>1946</v>
      </c>
      <c r="O762" s="82" t="s">
        <v>2173</v>
      </c>
    </row>
    <row r="763" spans="1:15" ht="15.75" hidden="1" x14ac:dyDescent="0.25">
      <c r="A763" t="str">
        <f t="shared" si="11"/>
        <v>ALR_SONDA_TERMICA_S4-Allarme sonda termica S4</v>
      </c>
      <c r="C763" s="82" t="s">
        <v>2561</v>
      </c>
      <c r="D763" s="82" t="s">
        <v>2562</v>
      </c>
      <c r="E763" s="82" t="s">
        <v>2163</v>
      </c>
      <c r="F763" s="82" t="s">
        <v>2561</v>
      </c>
      <c r="G763" s="82" t="s">
        <v>1946</v>
      </c>
      <c r="H763" s="82" t="s">
        <v>2165</v>
      </c>
      <c r="I763" s="82" t="s">
        <v>24</v>
      </c>
      <c r="J763" s="82" t="s">
        <v>2171</v>
      </c>
      <c r="K763" s="82" t="s">
        <v>2167</v>
      </c>
      <c r="L763" s="82" t="s">
        <v>1946</v>
      </c>
      <c r="M763" s="82" t="s">
        <v>2090</v>
      </c>
      <c r="N763" s="82" t="s">
        <v>1946</v>
      </c>
      <c r="O763" s="82" t="s">
        <v>2173</v>
      </c>
    </row>
    <row r="764" spans="1:15" ht="15.75" hidden="1" x14ac:dyDescent="0.25">
      <c r="A764" t="str">
        <f t="shared" si="11"/>
        <v>ALR_SONDA_TERMICA_S5-Allarme sonda termica S5</v>
      </c>
      <c r="C764" s="82" t="s">
        <v>2563</v>
      </c>
      <c r="D764" s="82" t="s">
        <v>2564</v>
      </c>
      <c r="E764" s="82" t="s">
        <v>2163</v>
      </c>
      <c r="F764" s="82" t="s">
        <v>2563</v>
      </c>
      <c r="G764" s="82" t="s">
        <v>1946</v>
      </c>
      <c r="H764" s="82" t="s">
        <v>2165</v>
      </c>
      <c r="I764" s="82" t="s">
        <v>24</v>
      </c>
      <c r="J764" s="82" t="s">
        <v>2171</v>
      </c>
      <c r="K764" s="82" t="s">
        <v>2167</v>
      </c>
      <c r="L764" s="82" t="s">
        <v>1946</v>
      </c>
      <c r="M764" s="82" t="s">
        <v>2090</v>
      </c>
      <c r="N764" s="82" t="s">
        <v>1946</v>
      </c>
      <c r="O764" s="82" t="s">
        <v>2173</v>
      </c>
    </row>
    <row r="765" spans="1:15" ht="15.75" hidden="1" x14ac:dyDescent="0.25">
      <c r="A765" t="str">
        <f t="shared" si="11"/>
        <v>ALR_SONDA_TERMICA_S6-Allarme sonda termica S6</v>
      </c>
      <c r="C765" s="82" t="s">
        <v>2565</v>
      </c>
      <c r="D765" s="82" t="s">
        <v>2566</v>
      </c>
      <c r="E765" s="82" t="s">
        <v>2163</v>
      </c>
      <c r="F765" s="82" t="s">
        <v>2565</v>
      </c>
      <c r="G765" s="82" t="s">
        <v>1946</v>
      </c>
      <c r="H765" s="82" t="s">
        <v>2165</v>
      </c>
      <c r="I765" s="82" t="s">
        <v>24</v>
      </c>
      <c r="J765" s="82" t="s">
        <v>2171</v>
      </c>
      <c r="K765" s="82" t="s">
        <v>2167</v>
      </c>
      <c r="L765" s="82" t="s">
        <v>1946</v>
      </c>
      <c r="M765" s="82" t="s">
        <v>2090</v>
      </c>
      <c r="N765" s="82" t="s">
        <v>1946</v>
      </c>
      <c r="O765" s="82" t="s">
        <v>2173</v>
      </c>
    </row>
    <row r="766" spans="1:15" ht="15.75" hidden="1" x14ac:dyDescent="0.25">
      <c r="A766" t="str">
        <f t="shared" si="11"/>
        <v>ALR_SONDA_TERMICA_S7-Allarme sonda termica S7</v>
      </c>
      <c r="C766" s="82" t="s">
        <v>2567</v>
      </c>
      <c r="D766" s="82" t="s">
        <v>2568</v>
      </c>
      <c r="E766" s="82" t="s">
        <v>2163</v>
      </c>
      <c r="F766" s="82" t="s">
        <v>2567</v>
      </c>
      <c r="G766" s="82" t="s">
        <v>1946</v>
      </c>
      <c r="H766" s="82" t="s">
        <v>2165</v>
      </c>
      <c r="I766" s="82" t="s">
        <v>24</v>
      </c>
      <c r="J766" s="82" t="s">
        <v>2171</v>
      </c>
      <c r="K766" s="82" t="s">
        <v>2167</v>
      </c>
      <c r="L766" s="82" t="s">
        <v>1946</v>
      </c>
      <c r="M766" s="82" t="s">
        <v>2090</v>
      </c>
      <c r="N766" s="82" t="s">
        <v>1946</v>
      </c>
      <c r="O766" s="82" t="s">
        <v>2173</v>
      </c>
    </row>
    <row r="767" spans="1:15" ht="15.75" hidden="1" x14ac:dyDescent="0.25">
      <c r="A767" t="str">
        <f t="shared" si="11"/>
        <v>ALR_SONDA_TERMICA_S8-Allarme sonda termica S8</v>
      </c>
      <c r="C767" s="82" t="s">
        <v>2569</v>
      </c>
      <c r="D767" s="82" t="s">
        <v>2570</v>
      </c>
      <c r="E767" s="82" t="s">
        <v>2163</v>
      </c>
      <c r="F767" s="82" t="s">
        <v>2569</v>
      </c>
      <c r="G767" s="82" t="s">
        <v>1946</v>
      </c>
      <c r="H767" s="82" t="s">
        <v>2165</v>
      </c>
      <c r="I767" s="82" t="s">
        <v>24</v>
      </c>
      <c r="J767" s="82" t="s">
        <v>2171</v>
      </c>
      <c r="K767" s="82" t="s">
        <v>2167</v>
      </c>
      <c r="L767" s="82" t="s">
        <v>1946</v>
      </c>
      <c r="M767" s="82" t="s">
        <v>2090</v>
      </c>
      <c r="N767" s="82" t="s">
        <v>1946</v>
      </c>
      <c r="O767" s="82" t="s">
        <v>2173</v>
      </c>
    </row>
    <row r="768" spans="1:15" ht="15.75" hidden="1" x14ac:dyDescent="0.25">
      <c r="A768" t="str">
        <f t="shared" si="11"/>
        <v>ALR_SONDA_VIBRAZIONE-Allarme sonda vibrazione</v>
      </c>
      <c r="C768" s="82" t="s">
        <v>1593</v>
      </c>
      <c r="D768" s="82" t="s">
        <v>1594</v>
      </c>
      <c r="E768" s="82" t="s">
        <v>2163</v>
      </c>
      <c r="F768" s="82" t="s">
        <v>1593</v>
      </c>
      <c r="G768" s="82" t="s">
        <v>1946</v>
      </c>
      <c r="H768" s="82" t="s">
        <v>2165</v>
      </c>
      <c r="I768" s="82" t="s">
        <v>24</v>
      </c>
      <c r="J768" s="82" t="s">
        <v>2171</v>
      </c>
      <c r="K768" s="82" t="s">
        <v>2167</v>
      </c>
      <c r="L768" s="82" t="s">
        <v>1946</v>
      </c>
      <c r="M768" s="82" t="s">
        <v>2176</v>
      </c>
      <c r="N768" s="82" t="s">
        <v>2188</v>
      </c>
      <c r="O768" s="82" t="s">
        <v>2173</v>
      </c>
    </row>
    <row r="769" spans="1:15" ht="15.75" hidden="1" x14ac:dyDescent="0.25">
      <c r="A769" t="str">
        <f t="shared" si="11"/>
        <v>ALR_SOSTITUZIONE_BATTERIA-Allarme sostituzione batteria</v>
      </c>
      <c r="C769" s="82" t="s">
        <v>1595</v>
      </c>
      <c r="D769" s="82" t="s">
        <v>1596</v>
      </c>
      <c r="E769" s="82" t="s">
        <v>2163</v>
      </c>
      <c r="F769" s="82" t="s">
        <v>1595</v>
      </c>
      <c r="G769" s="82" t="s">
        <v>1946</v>
      </c>
      <c r="H769" s="82" t="s">
        <v>2165</v>
      </c>
      <c r="I769" s="82" t="s">
        <v>24</v>
      </c>
      <c r="J769" s="82" t="s">
        <v>2171</v>
      </c>
      <c r="K769" s="82" t="s">
        <v>2167</v>
      </c>
      <c r="L769" s="82" t="s">
        <v>1946</v>
      </c>
      <c r="M769" s="82" t="s">
        <v>2090</v>
      </c>
      <c r="N769" s="82" t="s">
        <v>1946</v>
      </c>
      <c r="O769" s="82" t="s">
        <v>2173</v>
      </c>
    </row>
    <row r="770" spans="1:15" ht="15.75" hidden="1" x14ac:dyDescent="0.25">
      <c r="A770" t="str">
        <f t="shared" si="11"/>
        <v>ALR_SOS_OFFLINE-Allarme SOS offline</v>
      </c>
      <c r="C770" s="82" t="s">
        <v>663</v>
      </c>
      <c r="D770" s="82" t="s">
        <v>664</v>
      </c>
      <c r="E770" s="82" t="s">
        <v>2163</v>
      </c>
      <c r="F770" s="82" t="s">
        <v>663</v>
      </c>
      <c r="G770" s="82" t="s">
        <v>1946</v>
      </c>
      <c r="H770" s="82" t="s">
        <v>2165</v>
      </c>
      <c r="I770" s="82" t="s">
        <v>24</v>
      </c>
      <c r="J770" s="82" t="s">
        <v>2171</v>
      </c>
      <c r="K770" s="82" t="s">
        <v>2167</v>
      </c>
      <c r="L770" s="82" t="s">
        <v>1946</v>
      </c>
      <c r="M770" s="82" t="s">
        <v>2090</v>
      </c>
      <c r="N770" s="82" t="s">
        <v>1946</v>
      </c>
      <c r="O770" s="82" t="s">
        <v>2173</v>
      </c>
    </row>
    <row r="771" spans="1:15" ht="15.75" hidden="1" x14ac:dyDescent="0.25">
      <c r="A771" t="str">
        <f t="shared" ref="A771:A834" si="12">CONCATENATE(F771,"-",D771)</f>
        <v>ALR_SOVRAPOTENZA_ALTERNATORE-Allarme sovrapotenza alternatore</v>
      </c>
      <c r="C771" s="82" t="s">
        <v>665</v>
      </c>
      <c r="D771" s="82" t="s">
        <v>666</v>
      </c>
      <c r="E771" s="82" t="s">
        <v>2163</v>
      </c>
      <c r="F771" s="82" t="s">
        <v>665</v>
      </c>
      <c r="G771" s="82" t="s">
        <v>1946</v>
      </c>
      <c r="H771" s="82" t="s">
        <v>2165</v>
      </c>
      <c r="I771" s="82" t="s">
        <v>24</v>
      </c>
      <c r="J771" s="82" t="s">
        <v>2171</v>
      </c>
      <c r="K771" s="82" t="s">
        <v>2167</v>
      </c>
      <c r="L771" s="82" t="s">
        <v>1946</v>
      </c>
      <c r="M771" s="82" t="s">
        <v>2090</v>
      </c>
      <c r="N771" s="82" t="s">
        <v>1946</v>
      </c>
      <c r="O771" s="82" t="s">
        <v>2173</v>
      </c>
    </row>
    <row r="772" spans="1:15" ht="15.75" hidden="1" x14ac:dyDescent="0.25">
      <c r="A772" t="str">
        <f t="shared" si="12"/>
        <v>ALR_SOVRAPOTENZA_IN_INGRESSO-Allarme sovrapotenza In Ingresso</v>
      </c>
      <c r="C772" s="82" t="s">
        <v>1597</v>
      </c>
      <c r="D772" s="82" t="s">
        <v>1598</v>
      </c>
      <c r="E772" s="82" t="s">
        <v>2163</v>
      </c>
      <c r="F772" s="82" t="s">
        <v>1597</v>
      </c>
      <c r="G772" s="82" t="s">
        <v>1946</v>
      </c>
      <c r="H772" s="82" t="s">
        <v>2165</v>
      </c>
      <c r="I772" s="82" t="s">
        <v>24</v>
      </c>
      <c r="J772" s="82" t="s">
        <v>2171</v>
      </c>
      <c r="K772" s="82" t="s">
        <v>2167</v>
      </c>
      <c r="L772" s="82" t="s">
        <v>1946</v>
      </c>
      <c r="M772" s="82" t="s">
        <v>2090</v>
      </c>
      <c r="N772" s="82" t="s">
        <v>1946</v>
      </c>
      <c r="O772" s="82" t="s">
        <v>2173</v>
      </c>
    </row>
    <row r="773" spans="1:15" ht="15.75" hidden="1" x14ac:dyDescent="0.25">
      <c r="A773" t="str">
        <f t="shared" si="12"/>
        <v>ALR_SOVRATEMPERATURA_UPS-Allarme sovratemperatura interna</v>
      </c>
      <c r="C773" s="82" t="s">
        <v>667</v>
      </c>
      <c r="D773" s="82" t="s">
        <v>668</v>
      </c>
      <c r="E773" s="82" t="s">
        <v>2163</v>
      </c>
      <c r="F773" s="82" t="s">
        <v>667</v>
      </c>
      <c r="G773" s="82" t="s">
        <v>1946</v>
      </c>
      <c r="H773" s="82" t="s">
        <v>2165</v>
      </c>
      <c r="I773" s="82" t="s">
        <v>24</v>
      </c>
      <c r="J773" s="82" t="s">
        <v>2171</v>
      </c>
      <c r="K773" s="82" t="s">
        <v>2167</v>
      </c>
      <c r="L773" s="82" t="s">
        <v>1946</v>
      </c>
      <c r="M773" s="82" t="s">
        <v>2090</v>
      </c>
      <c r="N773" s="82" t="s">
        <v>1946</v>
      </c>
      <c r="O773" s="82" t="s">
        <v>2173</v>
      </c>
    </row>
    <row r="774" spans="1:15" ht="15.75" hidden="1" x14ac:dyDescent="0.25">
      <c r="A774" t="str">
        <f t="shared" si="12"/>
        <v>ALR_SOVRATENSIONE_ALTERNATORE-Allarme sovratensione alternatore</v>
      </c>
      <c r="C774" s="82" t="s">
        <v>669</v>
      </c>
      <c r="D774" s="82" t="s">
        <v>670</v>
      </c>
      <c r="E774" s="82" t="s">
        <v>2163</v>
      </c>
      <c r="F774" s="82" t="s">
        <v>669</v>
      </c>
      <c r="G774" s="82" t="s">
        <v>1946</v>
      </c>
      <c r="H774" s="82" t="s">
        <v>2165</v>
      </c>
      <c r="I774" s="82" t="s">
        <v>24</v>
      </c>
      <c r="J774" s="82" t="s">
        <v>2171</v>
      </c>
      <c r="K774" s="82" t="s">
        <v>2167</v>
      </c>
      <c r="L774" s="82" t="s">
        <v>1946</v>
      </c>
      <c r="M774" s="82" t="s">
        <v>2090</v>
      </c>
      <c r="N774" s="82" t="s">
        <v>1946</v>
      </c>
      <c r="O774" s="82" t="s">
        <v>2173</v>
      </c>
    </row>
    <row r="775" spans="1:15" ht="15.75" hidden="1" x14ac:dyDescent="0.25">
      <c r="A775" t="str">
        <f t="shared" si="12"/>
        <v>ALR_SOVRAVELOCITA_GE-Allarme sovravelocità gruppo elettrogeno</v>
      </c>
      <c r="C775" s="82" t="s">
        <v>1599</v>
      </c>
      <c r="D775" s="82" t="s">
        <v>1600</v>
      </c>
      <c r="E775" s="82" t="s">
        <v>2163</v>
      </c>
      <c r="F775" s="82" t="s">
        <v>1599</v>
      </c>
      <c r="G775" s="82" t="s">
        <v>1946</v>
      </c>
      <c r="H775" s="82" t="s">
        <v>2165</v>
      </c>
      <c r="I775" s="82" t="s">
        <v>24</v>
      </c>
      <c r="J775" s="82" t="s">
        <v>2171</v>
      </c>
      <c r="K775" s="82" t="s">
        <v>2167</v>
      </c>
      <c r="L775" s="82" t="s">
        <v>1946</v>
      </c>
      <c r="M775" s="82" t="s">
        <v>2090</v>
      </c>
      <c r="N775" s="82" t="s">
        <v>1946</v>
      </c>
      <c r="O775" s="82" t="s">
        <v>2173</v>
      </c>
    </row>
    <row r="776" spans="1:15" ht="15.75" hidden="1" x14ac:dyDescent="0.25">
      <c r="A776" t="str">
        <f t="shared" si="12"/>
        <v>ALR_SPEGNIMENTO-Allarme spegnimento</v>
      </c>
      <c r="C776" s="82" t="s">
        <v>1601</v>
      </c>
      <c r="D776" s="82" t="s">
        <v>1602</v>
      </c>
      <c r="E776" s="82" t="s">
        <v>2163</v>
      </c>
      <c r="F776" s="82" t="s">
        <v>1601</v>
      </c>
      <c r="G776" s="82" t="s">
        <v>1946</v>
      </c>
      <c r="H776" s="82" t="s">
        <v>2165</v>
      </c>
      <c r="I776" s="82" t="s">
        <v>24</v>
      </c>
      <c r="J776" s="82" t="s">
        <v>2171</v>
      </c>
      <c r="K776" s="82" t="s">
        <v>2167</v>
      </c>
      <c r="L776" s="82" t="s">
        <v>1946</v>
      </c>
      <c r="M776" s="82" t="s">
        <v>2090</v>
      </c>
      <c r="N776" s="82" t="s">
        <v>1946</v>
      </c>
      <c r="O776" s="82" t="s">
        <v>2173</v>
      </c>
    </row>
    <row r="777" spans="1:15" ht="15.75" hidden="1" x14ac:dyDescent="0.25">
      <c r="A777" t="str">
        <f t="shared" si="12"/>
        <v>ALR_SPENTO-Allarme spento</v>
      </c>
      <c r="C777" s="82" t="s">
        <v>671</v>
      </c>
      <c r="D777" s="82" t="s">
        <v>672</v>
      </c>
      <c r="E777" s="82" t="s">
        <v>2163</v>
      </c>
      <c r="F777" s="82" t="s">
        <v>671</v>
      </c>
      <c r="G777" s="82" t="s">
        <v>1946</v>
      </c>
      <c r="H777" s="82" t="s">
        <v>2165</v>
      </c>
      <c r="I777" s="82" t="s">
        <v>24</v>
      </c>
      <c r="J777" s="82" t="s">
        <v>2171</v>
      </c>
      <c r="K777" s="82" t="s">
        <v>2167</v>
      </c>
      <c r="L777" s="82" t="s">
        <v>1946</v>
      </c>
      <c r="M777" s="82" t="s">
        <v>2090</v>
      </c>
      <c r="N777" s="82" t="s">
        <v>1946</v>
      </c>
      <c r="O777" s="82" t="s">
        <v>2173</v>
      </c>
    </row>
    <row r="778" spans="1:15" ht="15.75" hidden="1" x14ac:dyDescent="0.25">
      <c r="A778" t="str">
        <f t="shared" si="12"/>
        <v>ALR_STACCO_VENTILATORE-Allarme stacco ventilatore</v>
      </c>
      <c r="C778" s="82" t="s">
        <v>673</v>
      </c>
      <c r="D778" s="82" t="s">
        <v>674</v>
      </c>
      <c r="E778" s="82" t="s">
        <v>2163</v>
      </c>
      <c r="F778" s="82" t="s">
        <v>673</v>
      </c>
      <c r="G778" s="82" t="s">
        <v>1946</v>
      </c>
      <c r="H778" s="82" t="s">
        <v>2165</v>
      </c>
      <c r="I778" s="82" t="s">
        <v>33</v>
      </c>
      <c r="J778" s="82" t="s">
        <v>2174</v>
      </c>
      <c r="K778" s="82" t="s">
        <v>2173</v>
      </c>
      <c r="L778" s="82" t="s">
        <v>1946</v>
      </c>
      <c r="M778" s="82" t="s">
        <v>2176</v>
      </c>
      <c r="N778" s="82" t="s">
        <v>2188</v>
      </c>
      <c r="O778" s="82" t="s">
        <v>2173</v>
      </c>
    </row>
    <row r="779" spans="1:15" ht="15.75" hidden="1" x14ac:dyDescent="0.25">
      <c r="A779" t="str">
        <f t="shared" si="12"/>
        <v>ALR_STATO_IN_MOTO_DA_QUADRO-Chiusura Allarme stato in moto da quadro</v>
      </c>
      <c r="C779" s="82" t="s">
        <v>2571</v>
      </c>
      <c r="D779" s="82" t="s">
        <v>2572</v>
      </c>
      <c r="E779" s="82" t="s">
        <v>2163</v>
      </c>
      <c r="F779" s="82" t="s">
        <v>2571</v>
      </c>
      <c r="G779" s="82" t="s">
        <v>1946</v>
      </c>
      <c r="H779" s="82" t="s">
        <v>2165</v>
      </c>
      <c r="I779" s="82" t="s">
        <v>24</v>
      </c>
      <c r="J779" s="82" t="s">
        <v>2171</v>
      </c>
      <c r="K779" s="82" t="s">
        <v>2167</v>
      </c>
      <c r="L779" s="82" t="s">
        <v>1946</v>
      </c>
      <c r="M779" s="82" t="s">
        <v>2090</v>
      </c>
      <c r="N779" s="82" t="s">
        <v>1946</v>
      </c>
      <c r="O779" s="82" t="s">
        <v>2173</v>
      </c>
    </row>
    <row r="780" spans="1:15" ht="15.75" hidden="1" x14ac:dyDescent="0.25">
      <c r="A780" t="str">
        <f t="shared" si="12"/>
        <v>ALR_SUPERAMENTO_SOGLIA_1-Allarme superamento soglia 1</v>
      </c>
      <c r="C780" s="82" t="s">
        <v>1603</v>
      </c>
      <c r="D780" s="82" t="s">
        <v>1604</v>
      </c>
      <c r="E780" s="82" t="s">
        <v>2163</v>
      </c>
      <c r="F780" s="82" t="s">
        <v>1603</v>
      </c>
      <c r="G780" s="82" t="s">
        <v>1946</v>
      </c>
      <c r="H780" s="82" t="s">
        <v>2165</v>
      </c>
      <c r="I780" s="82" t="s">
        <v>24</v>
      </c>
      <c r="J780" s="82" t="s">
        <v>2171</v>
      </c>
      <c r="K780" s="82" t="s">
        <v>2167</v>
      </c>
      <c r="L780" s="82" t="s">
        <v>1946</v>
      </c>
      <c r="M780" s="82" t="s">
        <v>2090</v>
      </c>
      <c r="N780" s="82" t="s">
        <v>1946</v>
      </c>
      <c r="O780" s="82" t="s">
        <v>2173</v>
      </c>
    </row>
    <row r="781" spans="1:15" ht="15.75" hidden="1" x14ac:dyDescent="0.25">
      <c r="A781" t="str">
        <f t="shared" si="12"/>
        <v>ALR_SUPERAMENTO_SOGLIA_2-Allarme superamento soglia 2</v>
      </c>
      <c r="C781" s="82" t="s">
        <v>1605</v>
      </c>
      <c r="D781" s="82" t="s">
        <v>1606</v>
      </c>
      <c r="E781" s="82" t="s">
        <v>2163</v>
      </c>
      <c r="F781" s="82" t="s">
        <v>1605</v>
      </c>
      <c r="G781" s="82" t="s">
        <v>1946</v>
      </c>
      <c r="H781" s="82" t="s">
        <v>2165</v>
      </c>
      <c r="I781" s="82" t="s">
        <v>24</v>
      </c>
      <c r="J781" s="82" t="s">
        <v>2171</v>
      </c>
      <c r="K781" s="82" t="s">
        <v>2167</v>
      </c>
      <c r="L781" s="82" t="s">
        <v>1946</v>
      </c>
      <c r="M781" s="82" t="s">
        <v>2090</v>
      </c>
      <c r="N781" s="82" t="s">
        <v>1946</v>
      </c>
      <c r="O781" s="82" t="s">
        <v>2173</v>
      </c>
    </row>
    <row r="782" spans="1:15" ht="15.75" hidden="1" x14ac:dyDescent="0.25">
      <c r="A782" t="str">
        <f t="shared" si="12"/>
        <v>ALR_SUPERAMENTO_SOGLIA_3-Allarme superamento soglia 3</v>
      </c>
      <c r="C782" s="82" t="s">
        <v>1607</v>
      </c>
      <c r="D782" s="82" t="s">
        <v>1608</v>
      </c>
      <c r="E782" s="82" t="s">
        <v>2163</v>
      </c>
      <c r="F782" s="82" t="s">
        <v>1607</v>
      </c>
      <c r="G782" s="82" t="s">
        <v>1946</v>
      </c>
      <c r="H782" s="82" t="s">
        <v>2165</v>
      </c>
      <c r="I782" s="82" t="s">
        <v>24</v>
      </c>
      <c r="J782" s="82" t="s">
        <v>2171</v>
      </c>
      <c r="K782" s="82" t="s">
        <v>2167</v>
      </c>
      <c r="L782" s="82" t="s">
        <v>1946</v>
      </c>
      <c r="M782" s="82" t="s">
        <v>2090</v>
      </c>
      <c r="N782" s="82" t="s">
        <v>1946</v>
      </c>
      <c r="O782" s="82" t="s">
        <v>2173</v>
      </c>
    </row>
    <row r="783" spans="1:15" ht="15.75" hidden="1" x14ac:dyDescent="0.25">
      <c r="A783" t="str">
        <f t="shared" si="12"/>
        <v>ALR_SUPERAMENTO_SOGLIA_4-Allarme superamento soglia 4</v>
      </c>
      <c r="C783" s="82" t="s">
        <v>1609</v>
      </c>
      <c r="D783" s="82" t="s">
        <v>1610</v>
      </c>
      <c r="E783" s="82" t="s">
        <v>2163</v>
      </c>
      <c r="F783" s="82" t="s">
        <v>1609</v>
      </c>
      <c r="G783" s="82" t="s">
        <v>1946</v>
      </c>
      <c r="H783" s="82" t="s">
        <v>2165</v>
      </c>
      <c r="I783" s="82" t="s">
        <v>24</v>
      </c>
      <c r="J783" s="82" t="s">
        <v>2171</v>
      </c>
      <c r="K783" s="82" t="s">
        <v>2167</v>
      </c>
      <c r="L783" s="82" t="s">
        <v>1946</v>
      </c>
      <c r="M783" s="82" t="s">
        <v>2090</v>
      </c>
      <c r="N783" s="82" t="s">
        <v>1946</v>
      </c>
      <c r="O783" s="82" t="s">
        <v>2173</v>
      </c>
    </row>
    <row r="784" spans="1:15" ht="15.75" hidden="1" x14ac:dyDescent="0.25">
      <c r="A784" t="str">
        <f t="shared" si="12"/>
        <v>ALR_SUPERAMENTO_SOGLIA_5-Allarme superamento soglia 5</v>
      </c>
      <c r="C784" s="82" t="s">
        <v>1611</v>
      </c>
      <c r="D784" s="82" t="s">
        <v>1612</v>
      </c>
      <c r="E784" s="82" t="s">
        <v>2163</v>
      </c>
      <c r="F784" s="82" t="s">
        <v>1611</v>
      </c>
      <c r="G784" s="82" t="s">
        <v>1946</v>
      </c>
      <c r="H784" s="82" t="s">
        <v>2165</v>
      </c>
      <c r="I784" s="82" t="s">
        <v>24</v>
      </c>
      <c r="J784" s="82" t="s">
        <v>2171</v>
      </c>
      <c r="K784" s="82" t="s">
        <v>2167</v>
      </c>
      <c r="L784" s="82" t="s">
        <v>1946</v>
      </c>
      <c r="M784" s="82" t="s">
        <v>2090</v>
      </c>
      <c r="N784" s="82" t="s">
        <v>1946</v>
      </c>
      <c r="O784" s="82" t="s">
        <v>2173</v>
      </c>
    </row>
    <row r="785" spans="1:15" ht="15.75" hidden="1" x14ac:dyDescent="0.25">
      <c r="A785" t="str">
        <f t="shared" si="12"/>
        <v>ALR_SUPERAMENTO_SOGLIA_6-Allarme superamento soglia 6</v>
      </c>
      <c r="C785" s="82" t="s">
        <v>1613</v>
      </c>
      <c r="D785" s="82" t="s">
        <v>1614</v>
      </c>
      <c r="E785" s="82" t="s">
        <v>2163</v>
      </c>
      <c r="F785" s="82" t="s">
        <v>1613</v>
      </c>
      <c r="G785" s="82" t="s">
        <v>1946</v>
      </c>
      <c r="H785" s="82" t="s">
        <v>2165</v>
      </c>
      <c r="I785" s="82" t="s">
        <v>24</v>
      </c>
      <c r="J785" s="82" t="s">
        <v>2171</v>
      </c>
      <c r="K785" s="82" t="s">
        <v>2167</v>
      </c>
      <c r="L785" s="82" t="s">
        <v>1946</v>
      </c>
      <c r="M785" s="82" t="s">
        <v>2090</v>
      </c>
      <c r="N785" s="82" t="s">
        <v>1946</v>
      </c>
      <c r="O785" s="82" t="s">
        <v>2173</v>
      </c>
    </row>
    <row r="786" spans="1:15" ht="15.75" hidden="1" x14ac:dyDescent="0.25">
      <c r="A786" t="str">
        <f t="shared" si="12"/>
        <v>ALR_SUP_SOGLIA_ALTA-Allarme vibrazione</v>
      </c>
      <c r="C786" s="82" t="s">
        <v>2573</v>
      </c>
      <c r="D786" s="82" t="s">
        <v>779</v>
      </c>
      <c r="E786" s="82" t="s">
        <v>2163</v>
      </c>
      <c r="F786" s="82" t="s">
        <v>2573</v>
      </c>
      <c r="G786" s="82" t="s">
        <v>1946</v>
      </c>
      <c r="H786" s="82" t="s">
        <v>2165</v>
      </c>
      <c r="I786" s="82" t="s">
        <v>24</v>
      </c>
      <c r="J786" s="82" t="s">
        <v>2171</v>
      </c>
      <c r="K786" s="82" t="s">
        <v>2167</v>
      </c>
      <c r="L786" s="82" t="s">
        <v>1946</v>
      </c>
      <c r="M786" s="82" t="s">
        <v>2090</v>
      </c>
      <c r="N786" s="82" t="s">
        <v>1946</v>
      </c>
      <c r="O786" s="82" t="s">
        <v>2173</v>
      </c>
    </row>
    <row r="787" spans="1:15" ht="15.75" hidden="1" x14ac:dyDescent="0.25">
      <c r="A787" t="str">
        <f t="shared" si="12"/>
        <v>ALR_SURRISCALDAMENTO-Allarme surriscaldamento</v>
      </c>
      <c r="C787" s="82" t="s">
        <v>1887</v>
      </c>
      <c r="D787" s="82" t="s">
        <v>1888</v>
      </c>
      <c r="E787" s="82" t="s">
        <v>2163</v>
      </c>
      <c r="F787" s="82" t="s">
        <v>1887</v>
      </c>
      <c r="G787" s="82" t="s">
        <v>2182</v>
      </c>
      <c r="H787" s="82" t="s">
        <v>2165</v>
      </c>
      <c r="I787" s="82" t="s">
        <v>24</v>
      </c>
      <c r="J787" s="82" t="s">
        <v>2171</v>
      </c>
      <c r="K787" s="82" t="s">
        <v>2167</v>
      </c>
      <c r="L787" s="82" t="s">
        <v>2182</v>
      </c>
      <c r="M787" s="82" t="s">
        <v>2184</v>
      </c>
      <c r="N787" s="82" t="s">
        <v>1946</v>
      </c>
      <c r="O787" s="82" t="s">
        <v>2173</v>
      </c>
    </row>
    <row r="788" spans="1:15" ht="15.75" hidden="1" x14ac:dyDescent="0.25">
      <c r="A788" t="str">
        <f t="shared" si="12"/>
        <v>ALR_SWITCH_FAULT-Allarme switch in fault</v>
      </c>
      <c r="C788" s="82" t="s">
        <v>675</v>
      </c>
      <c r="D788" s="82" t="s">
        <v>676</v>
      </c>
      <c r="E788" s="82" t="s">
        <v>2163</v>
      </c>
      <c r="F788" s="82" t="s">
        <v>675</v>
      </c>
      <c r="G788" s="82" t="s">
        <v>1946</v>
      </c>
      <c r="H788" s="82" t="s">
        <v>2165</v>
      </c>
      <c r="I788" s="82" t="s">
        <v>24</v>
      </c>
      <c r="J788" s="82" t="s">
        <v>2171</v>
      </c>
      <c r="K788" s="82" t="s">
        <v>2167</v>
      </c>
      <c r="L788" s="82" t="s">
        <v>1946</v>
      </c>
      <c r="M788" s="82" t="s">
        <v>2090</v>
      </c>
      <c r="N788" s="82" t="s">
        <v>1946</v>
      </c>
      <c r="O788" s="82" t="s">
        <v>2173</v>
      </c>
    </row>
    <row r="789" spans="1:15" ht="15.75" hidden="1" x14ac:dyDescent="0.25">
      <c r="A789" t="str">
        <f t="shared" si="12"/>
        <v>ALR_SWITCH_PRIMARIO-Allarme switch su primario</v>
      </c>
      <c r="C789" s="82" t="s">
        <v>1616</v>
      </c>
      <c r="D789" s="82" t="s">
        <v>1617</v>
      </c>
      <c r="E789" s="82" t="s">
        <v>2163</v>
      </c>
      <c r="F789" s="82" t="s">
        <v>1616</v>
      </c>
      <c r="G789" s="82" t="s">
        <v>1946</v>
      </c>
      <c r="H789" s="82" t="s">
        <v>2165</v>
      </c>
      <c r="I789" s="82" t="s">
        <v>24</v>
      </c>
      <c r="J789" s="82" t="s">
        <v>2171</v>
      </c>
      <c r="K789" s="82" t="s">
        <v>2167</v>
      </c>
      <c r="L789" s="82" t="s">
        <v>1946</v>
      </c>
      <c r="M789" s="82" t="s">
        <v>2090</v>
      </c>
      <c r="N789" s="82" t="s">
        <v>1946</v>
      </c>
      <c r="O789" s="82" t="s">
        <v>2173</v>
      </c>
    </row>
    <row r="790" spans="1:15" ht="15.75" hidden="1" x14ac:dyDescent="0.25">
      <c r="A790" t="str">
        <f t="shared" si="12"/>
        <v>ALR_TEMPERATURA_ALTA-Allarme alta temperatura Gruppo elettrogeno</v>
      </c>
      <c r="C790" s="82" t="s">
        <v>677</v>
      </c>
      <c r="D790" s="82" t="s">
        <v>678</v>
      </c>
      <c r="E790" s="82" t="s">
        <v>2163</v>
      </c>
      <c r="F790" s="82" t="s">
        <v>677</v>
      </c>
      <c r="G790" s="82" t="s">
        <v>1946</v>
      </c>
      <c r="H790" s="82" t="s">
        <v>2165</v>
      </c>
      <c r="I790" s="82" t="s">
        <v>24</v>
      </c>
      <c r="J790" s="82" t="s">
        <v>2171</v>
      </c>
      <c r="K790" s="82" t="s">
        <v>2167</v>
      </c>
      <c r="L790" s="82" t="s">
        <v>1946</v>
      </c>
      <c r="M790" s="82" t="s">
        <v>2090</v>
      </c>
      <c r="N790" s="82" t="s">
        <v>1946</v>
      </c>
      <c r="O790" s="82" t="s">
        <v>2173</v>
      </c>
    </row>
    <row r="791" spans="1:15" ht="15.75" hidden="1" x14ac:dyDescent="0.25">
      <c r="A791" t="str">
        <f t="shared" si="12"/>
        <v>ALR_TEMPERATURA_ALTA_OLIO-Allarme temperatura alta olio</v>
      </c>
      <c r="C791" s="82" t="s">
        <v>679</v>
      </c>
      <c r="D791" s="82" t="s">
        <v>680</v>
      </c>
      <c r="E791" s="82" t="s">
        <v>2163</v>
      </c>
      <c r="F791" s="82" t="s">
        <v>679</v>
      </c>
      <c r="G791" s="82" t="s">
        <v>1946</v>
      </c>
      <c r="H791" s="82" t="s">
        <v>2165</v>
      </c>
      <c r="I791" s="82" t="s">
        <v>24</v>
      </c>
      <c r="J791" s="82" t="s">
        <v>2171</v>
      </c>
      <c r="K791" s="82" t="s">
        <v>2167</v>
      </c>
      <c r="L791" s="82" t="s">
        <v>1946</v>
      </c>
      <c r="M791" s="82" t="s">
        <v>2090</v>
      </c>
      <c r="N791" s="82" t="s">
        <v>1946</v>
      </c>
      <c r="O791" s="82" t="s">
        <v>2173</v>
      </c>
    </row>
    <row r="792" spans="1:15" ht="15.75" hidden="1" x14ac:dyDescent="0.25">
      <c r="A792" t="str">
        <f t="shared" si="12"/>
        <v>ALR_TEMPERATURA_ALTA_QE-Allarme temperatura locali quadri</v>
      </c>
      <c r="C792" s="82" t="s">
        <v>681</v>
      </c>
      <c r="D792" s="82" t="s">
        <v>682</v>
      </c>
      <c r="E792" s="82" t="s">
        <v>2163</v>
      </c>
      <c r="F792" s="82" t="s">
        <v>681</v>
      </c>
      <c r="G792" s="82" t="s">
        <v>1946</v>
      </c>
      <c r="H792" s="82" t="s">
        <v>2165</v>
      </c>
      <c r="I792" s="82" t="s">
        <v>24</v>
      </c>
      <c r="J792" s="82" t="s">
        <v>2171</v>
      </c>
      <c r="K792" s="82" t="s">
        <v>2167</v>
      </c>
      <c r="L792" s="82" t="s">
        <v>1946</v>
      </c>
      <c r="M792" s="82" t="s">
        <v>2090</v>
      </c>
      <c r="N792" s="82" t="s">
        <v>1946</v>
      </c>
      <c r="O792" s="82" t="s">
        <v>2173</v>
      </c>
    </row>
    <row r="793" spans="1:15" ht="15.75" hidden="1" x14ac:dyDescent="0.25">
      <c r="A793" t="str">
        <f t="shared" si="12"/>
        <v>ALR_TEMPERATURA_ALTA_QMT-Allarme temperatura locali MT</v>
      </c>
      <c r="C793" s="82" t="s">
        <v>683</v>
      </c>
      <c r="D793" s="82" t="s">
        <v>684</v>
      </c>
      <c r="E793" s="82" t="s">
        <v>2163</v>
      </c>
      <c r="F793" s="82" t="s">
        <v>683</v>
      </c>
      <c r="G793" s="82" t="s">
        <v>1946</v>
      </c>
      <c r="H793" s="82" t="s">
        <v>2165</v>
      </c>
      <c r="I793" s="82" t="s">
        <v>24</v>
      </c>
      <c r="J793" s="82" t="s">
        <v>2171</v>
      </c>
      <c r="K793" s="82" t="s">
        <v>2167</v>
      </c>
      <c r="L793" s="82" t="s">
        <v>1946</v>
      </c>
      <c r="M793" s="82" t="s">
        <v>2090</v>
      </c>
      <c r="N793" s="82" t="s">
        <v>1946</v>
      </c>
      <c r="O793" s="82" t="s">
        <v>2173</v>
      </c>
    </row>
    <row r="794" spans="1:15" ht="15.75" hidden="1" x14ac:dyDescent="0.25">
      <c r="A794" t="str">
        <f t="shared" si="12"/>
        <v>ALR_TEMPERATURA_ALTA_QPLC-Allarme temperatura locale automazione</v>
      </c>
      <c r="C794" s="82" t="s">
        <v>685</v>
      </c>
      <c r="D794" s="82" t="s">
        <v>686</v>
      </c>
      <c r="E794" s="82" t="s">
        <v>2163</v>
      </c>
      <c r="F794" s="82" t="s">
        <v>685</v>
      </c>
      <c r="G794" s="82" t="s">
        <v>1946</v>
      </c>
      <c r="H794" s="82" t="s">
        <v>2165</v>
      </c>
      <c r="I794" s="82" t="s">
        <v>24</v>
      </c>
      <c r="J794" s="82" t="s">
        <v>2171</v>
      </c>
      <c r="K794" s="82" t="s">
        <v>2167</v>
      </c>
      <c r="L794" s="82" t="s">
        <v>1946</v>
      </c>
      <c r="M794" s="82" t="s">
        <v>2090</v>
      </c>
      <c r="N794" s="82" t="s">
        <v>1946</v>
      </c>
      <c r="O794" s="82" t="s">
        <v>2173</v>
      </c>
    </row>
    <row r="795" spans="1:15" ht="15.75" hidden="1" x14ac:dyDescent="0.25">
      <c r="A795" t="str">
        <f t="shared" si="12"/>
        <v>ALR_TEMPERATURA_ALTA_QUADRO-Allarme alta temperatura quadro</v>
      </c>
      <c r="C795" s="82" t="s">
        <v>687</v>
      </c>
      <c r="D795" s="82" t="s">
        <v>688</v>
      </c>
      <c r="E795" s="82" t="s">
        <v>2163</v>
      </c>
      <c r="F795" s="82" t="s">
        <v>687</v>
      </c>
      <c r="G795" s="82" t="s">
        <v>1946</v>
      </c>
      <c r="H795" s="82" t="s">
        <v>2165</v>
      </c>
      <c r="I795" s="82" t="s">
        <v>24</v>
      </c>
      <c r="J795" s="82" t="s">
        <v>2171</v>
      </c>
      <c r="K795" s="82" t="s">
        <v>2167</v>
      </c>
      <c r="L795" s="82" t="s">
        <v>1946</v>
      </c>
      <c r="M795" s="82" t="s">
        <v>2090</v>
      </c>
      <c r="N795" s="82" t="s">
        <v>1946</v>
      </c>
      <c r="O795" s="82" t="s">
        <v>2173</v>
      </c>
    </row>
    <row r="796" spans="1:15" ht="15.75" hidden="1" x14ac:dyDescent="0.25">
      <c r="A796" t="str">
        <f t="shared" si="12"/>
        <v>ALR_TEMPERATURA_ALTA_REATTORE_PRINCIPALE-Allarme alta temperatura reattore principale</v>
      </c>
      <c r="C796" s="82" t="s">
        <v>1618</v>
      </c>
      <c r="D796" s="82" t="s">
        <v>1619</v>
      </c>
      <c r="E796" s="82" t="s">
        <v>2163</v>
      </c>
      <c r="F796" s="82" t="s">
        <v>1618</v>
      </c>
      <c r="G796" s="82" t="s">
        <v>1946</v>
      </c>
      <c r="H796" s="82" t="s">
        <v>2165</v>
      </c>
      <c r="I796" s="82" t="s">
        <v>24</v>
      </c>
      <c r="J796" s="82" t="s">
        <v>2171</v>
      </c>
      <c r="K796" s="82" t="s">
        <v>2167</v>
      </c>
      <c r="L796" s="82" t="s">
        <v>1946</v>
      </c>
      <c r="M796" s="82" t="s">
        <v>2090</v>
      </c>
      <c r="N796" s="82" t="s">
        <v>1946</v>
      </c>
      <c r="O796" s="82" t="s">
        <v>2173</v>
      </c>
    </row>
    <row r="797" spans="1:15" ht="15.75" hidden="1" x14ac:dyDescent="0.25">
      <c r="A797" t="str">
        <f t="shared" si="12"/>
        <v>ALR_TEMPERATURA_ALTA_REATTORE_SERIE-Allarme alta temperatura reattore serie</v>
      </c>
      <c r="C797" s="82" t="s">
        <v>1620</v>
      </c>
      <c r="D797" s="82" t="s">
        <v>1621</v>
      </c>
      <c r="E797" s="82" t="s">
        <v>2163</v>
      </c>
      <c r="F797" s="82" t="s">
        <v>1620</v>
      </c>
      <c r="G797" s="82" t="s">
        <v>1946</v>
      </c>
      <c r="H797" s="82" t="s">
        <v>2165</v>
      </c>
      <c r="I797" s="82" t="s">
        <v>24</v>
      </c>
      <c r="J797" s="82" t="s">
        <v>2171</v>
      </c>
      <c r="K797" s="82" t="s">
        <v>2167</v>
      </c>
      <c r="L797" s="82" t="s">
        <v>1946</v>
      </c>
      <c r="M797" s="82" t="s">
        <v>2090</v>
      </c>
      <c r="N797" s="82" t="s">
        <v>1946</v>
      </c>
      <c r="O797" s="82" t="s">
        <v>2173</v>
      </c>
    </row>
    <row r="798" spans="1:15" ht="15.75" hidden="1" x14ac:dyDescent="0.25">
      <c r="A798" t="str">
        <f t="shared" si="12"/>
        <v>ALR_TEMPERATURA_ALTA_SENSORE_TEMPERATURA-Allarme alta temperatura Sensore di temperatura</v>
      </c>
      <c r="C798" s="82" t="s">
        <v>1622</v>
      </c>
      <c r="D798" s="82" t="s">
        <v>1623</v>
      </c>
      <c r="E798" s="82" t="s">
        <v>2163</v>
      </c>
      <c r="F798" s="82" t="s">
        <v>1622</v>
      </c>
      <c r="G798" s="82" t="s">
        <v>1946</v>
      </c>
      <c r="H798" s="82" t="s">
        <v>2165</v>
      </c>
      <c r="I798" s="82" t="s">
        <v>24</v>
      </c>
      <c r="J798" s="82" t="s">
        <v>2171</v>
      </c>
      <c r="K798" s="82" t="s">
        <v>2167</v>
      </c>
      <c r="L798" s="82" t="s">
        <v>1946</v>
      </c>
      <c r="M798" s="82" t="s">
        <v>2090</v>
      </c>
      <c r="N798" s="82" t="s">
        <v>1946</v>
      </c>
      <c r="O798" s="82" t="s">
        <v>2173</v>
      </c>
    </row>
    <row r="799" spans="1:15" ht="15.75" hidden="1" x14ac:dyDescent="0.25">
      <c r="A799" t="str">
        <f t="shared" si="12"/>
        <v>ALR_TEMPERATURA_ALTA_TRAFO-Allarme alta temperatura trasformatore</v>
      </c>
      <c r="C799" s="82" t="s">
        <v>689</v>
      </c>
      <c r="D799" s="82" t="s">
        <v>690</v>
      </c>
      <c r="E799" s="82" t="s">
        <v>2163</v>
      </c>
      <c r="F799" s="82" t="s">
        <v>689</v>
      </c>
      <c r="G799" s="82" t="s">
        <v>1946</v>
      </c>
      <c r="H799" s="82" t="s">
        <v>2165</v>
      </c>
      <c r="I799" s="82" t="s">
        <v>24</v>
      </c>
      <c r="J799" s="82" t="s">
        <v>2171</v>
      </c>
      <c r="K799" s="82" t="s">
        <v>2167</v>
      </c>
      <c r="L799" s="82" t="s">
        <v>1946</v>
      </c>
      <c r="M799" s="82" t="s">
        <v>2090</v>
      </c>
      <c r="N799" s="82" t="s">
        <v>1946</v>
      </c>
      <c r="O799" s="82" t="s">
        <v>2173</v>
      </c>
    </row>
    <row r="800" spans="1:15" ht="15.75" hidden="1" x14ac:dyDescent="0.25">
      <c r="A800" t="str">
        <f t="shared" si="12"/>
        <v>ALR_TEMPERATURA_AVVOLGIMENTO-Allarme temperatura avvolgimento</v>
      </c>
      <c r="C800" s="82" t="s">
        <v>2574</v>
      </c>
      <c r="D800" s="82" t="s">
        <v>2575</v>
      </c>
      <c r="E800" s="82" t="s">
        <v>2163</v>
      </c>
      <c r="F800" s="82" t="s">
        <v>2574</v>
      </c>
      <c r="G800" s="82" t="s">
        <v>1946</v>
      </c>
      <c r="H800" s="82" t="s">
        <v>2165</v>
      </c>
      <c r="I800" s="82" t="s">
        <v>24</v>
      </c>
      <c r="J800" s="82" t="s">
        <v>2171</v>
      </c>
      <c r="K800" s="82" t="s">
        <v>2167</v>
      </c>
      <c r="L800" s="82" t="s">
        <v>1946</v>
      </c>
      <c r="M800" s="82" t="s">
        <v>2090</v>
      </c>
      <c r="N800" s="82" t="s">
        <v>1946</v>
      </c>
      <c r="O800" s="82" t="s">
        <v>2173</v>
      </c>
    </row>
    <row r="801" spans="1:15" ht="15.75" hidden="1" x14ac:dyDescent="0.25">
      <c r="A801" t="str">
        <f t="shared" si="12"/>
        <v>ALR_TEMPERATURA_AVVOLGIMENTO_1-Allarme temperatura avvolgimento</v>
      </c>
      <c r="C801" s="82" t="s">
        <v>2576</v>
      </c>
      <c r="D801" s="82" t="s">
        <v>2575</v>
      </c>
      <c r="E801" s="82" t="s">
        <v>2163</v>
      </c>
      <c r="F801" s="82" t="s">
        <v>2576</v>
      </c>
      <c r="G801" s="82" t="s">
        <v>1946</v>
      </c>
      <c r="H801" s="82" t="s">
        <v>2165</v>
      </c>
      <c r="I801" s="82" t="s">
        <v>24</v>
      </c>
      <c r="J801" s="82" t="s">
        <v>2171</v>
      </c>
      <c r="K801" s="82" t="s">
        <v>2167</v>
      </c>
      <c r="L801" s="82" t="s">
        <v>1946</v>
      </c>
      <c r="M801" s="82" t="s">
        <v>2090</v>
      </c>
      <c r="N801" s="82" t="s">
        <v>1946</v>
      </c>
      <c r="O801" s="82" t="s">
        <v>2173</v>
      </c>
    </row>
    <row r="802" spans="1:15" ht="15.75" hidden="1" x14ac:dyDescent="0.25">
      <c r="A802" t="str">
        <f t="shared" si="12"/>
        <v>ALR_TEMPERATURA_AVVOLGIMENTO_2-Allarme temperatura avvolgimento</v>
      </c>
      <c r="C802" s="82" t="s">
        <v>2577</v>
      </c>
      <c r="D802" s="82" t="s">
        <v>2575</v>
      </c>
      <c r="E802" s="82" t="s">
        <v>2163</v>
      </c>
      <c r="F802" s="82" t="s">
        <v>2577</v>
      </c>
      <c r="G802" s="82" t="s">
        <v>1946</v>
      </c>
      <c r="H802" s="82" t="s">
        <v>2165</v>
      </c>
      <c r="I802" s="82" t="s">
        <v>24</v>
      </c>
      <c r="J802" s="82" t="s">
        <v>2171</v>
      </c>
      <c r="K802" s="82" t="s">
        <v>2167</v>
      </c>
      <c r="L802" s="82" t="s">
        <v>1946</v>
      </c>
      <c r="M802" s="82" t="s">
        <v>2090</v>
      </c>
      <c r="N802" s="82" t="s">
        <v>1946</v>
      </c>
      <c r="O802" s="82" t="s">
        <v>2173</v>
      </c>
    </row>
    <row r="803" spans="1:15" ht="15.75" hidden="1" x14ac:dyDescent="0.25">
      <c r="A803" t="str">
        <f t="shared" si="12"/>
        <v>ALR_TEMPERATURA_BASSA-Allarme temperatura bassa</v>
      </c>
      <c r="C803" s="82" t="s">
        <v>691</v>
      </c>
      <c r="D803" s="82" t="s">
        <v>692</v>
      </c>
      <c r="E803" s="82" t="s">
        <v>2163</v>
      </c>
      <c r="F803" s="82" t="s">
        <v>691</v>
      </c>
      <c r="G803" s="82" t="s">
        <v>1946</v>
      </c>
      <c r="H803" s="82" t="s">
        <v>2165</v>
      </c>
      <c r="I803" s="82" t="s">
        <v>24</v>
      </c>
      <c r="J803" s="82" t="s">
        <v>2171</v>
      </c>
      <c r="K803" s="82" t="s">
        <v>2167</v>
      </c>
      <c r="L803" s="82" t="s">
        <v>1946</v>
      </c>
      <c r="M803" s="82" t="s">
        <v>2090</v>
      </c>
      <c r="N803" s="82" t="s">
        <v>1946</v>
      </c>
      <c r="O803" s="82" t="s">
        <v>2173</v>
      </c>
    </row>
    <row r="804" spans="1:15" ht="15.75" hidden="1" x14ac:dyDescent="0.25">
      <c r="A804" t="str">
        <f t="shared" si="12"/>
        <v>ALR_TEMPERATURA_BASSA_DA_QUADRO-Allarme temperatura bassa da Quadro</v>
      </c>
      <c r="C804" s="82" t="s">
        <v>1987</v>
      </c>
      <c r="D804" s="82" t="s">
        <v>1988</v>
      </c>
      <c r="E804" s="82" t="s">
        <v>2163</v>
      </c>
      <c r="F804" s="82" t="s">
        <v>1987</v>
      </c>
      <c r="G804" s="82" t="s">
        <v>2182</v>
      </c>
      <c r="H804" s="82" t="s">
        <v>2165</v>
      </c>
      <c r="I804" s="82" t="s">
        <v>24</v>
      </c>
      <c r="J804" s="82" t="s">
        <v>2171</v>
      </c>
      <c r="K804" s="82" t="s">
        <v>2167</v>
      </c>
      <c r="L804" s="82" t="s">
        <v>2182</v>
      </c>
      <c r="M804" s="82" t="s">
        <v>2183</v>
      </c>
      <c r="N804" s="82" t="s">
        <v>1946</v>
      </c>
      <c r="O804" s="82" t="s">
        <v>2173</v>
      </c>
    </row>
    <row r="805" spans="1:15" ht="15.75" hidden="1" x14ac:dyDescent="0.25">
      <c r="A805" t="str">
        <f t="shared" si="12"/>
        <v>ALR_TEMPERATURA_BASSA_OLIO-Allarme temperatura olio bassa</v>
      </c>
      <c r="C805" s="82" t="s">
        <v>693</v>
      </c>
      <c r="D805" s="82" t="s">
        <v>694</v>
      </c>
      <c r="E805" s="82" t="s">
        <v>2163</v>
      </c>
      <c r="F805" s="82" t="s">
        <v>693</v>
      </c>
      <c r="G805" s="82" t="s">
        <v>1946</v>
      </c>
      <c r="H805" s="82" t="s">
        <v>2165</v>
      </c>
      <c r="I805" s="82" t="s">
        <v>24</v>
      </c>
      <c r="J805" s="82" t="s">
        <v>2171</v>
      </c>
      <c r="K805" s="82" t="s">
        <v>2167</v>
      </c>
      <c r="L805" s="82" t="s">
        <v>1946</v>
      </c>
      <c r="M805" s="82" t="s">
        <v>2090</v>
      </c>
      <c r="N805" s="82" t="s">
        <v>1946</v>
      </c>
      <c r="O805" s="82" t="s">
        <v>2173</v>
      </c>
    </row>
    <row r="806" spans="1:15" ht="15.75" hidden="1" x14ac:dyDescent="0.25">
      <c r="A806" t="str">
        <f t="shared" si="12"/>
        <v>ALR_TEMPERATURA_CUSCINETTI_1-Allarme temperatura cuscinetti</v>
      </c>
      <c r="C806" s="82" t="s">
        <v>2578</v>
      </c>
      <c r="D806" s="82" t="s">
        <v>2579</v>
      </c>
      <c r="E806" s="82" t="s">
        <v>2163</v>
      </c>
      <c r="F806" s="82" t="s">
        <v>2578</v>
      </c>
      <c r="G806" s="82" t="s">
        <v>1946</v>
      </c>
      <c r="H806" s="82" t="s">
        <v>2165</v>
      </c>
      <c r="I806" s="82" t="s">
        <v>24</v>
      </c>
      <c r="J806" s="82" t="s">
        <v>2171</v>
      </c>
      <c r="K806" s="82" t="s">
        <v>2167</v>
      </c>
      <c r="L806" s="82" t="s">
        <v>1946</v>
      </c>
      <c r="M806" s="82" t="s">
        <v>2090</v>
      </c>
      <c r="N806" s="82" t="s">
        <v>1946</v>
      </c>
      <c r="O806" s="82" t="s">
        <v>2173</v>
      </c>
    </row>
    <row r="807" spans="1:15" ht="15.75" hidden="1" x14ac:dyDescent="0.25">
      <c r="A807" t="str">
        <f t="shared" si="12"/>
        <v>ALR_TEMPERATURA_CUSCINETTI_2-Allarme temperatura cuscinetti</v>
      </c>
      <c r="C807" s="82" t="s">
        <v>2580</v>
      </c>
      <c r="D807" s="82" t="s">
        <v>2579</v>
      </c>
      <c r="E807" s="82" t="s">
        <v>2163</v>
      </c>
      <c r="F807" s="82" t="s">
        <v>2580</v>
      </c>
      <c r="G807" s="82" t="s">
        <v>1946</v>
      </c>
      <c r="H807" s="82" t="s">
        <v>2165</v>
      </c>
      <c r="I807" s="82" t="s">
        <v>24</v>
      </c>
      <c r="J807" s="82" t="s">
        <v>2171</v>
      </c>
      <c r="K807" s="82" t="s">
        <v>2167</v>
      </c>
      <c r="L807" s="82" t="s">
        <v>1946</v>
      </c>
      <c r="M807" s="82" t="s">
        <v>2090</v>
      </c>
      <c r="N807" s="82" t="s">
        <v>1946</v>
      </c>
      <c r="O807" s="82" t="s">
        <v>2173</v>
      </c>
    </row>
    <row r="808" spans="1:15" ht="15.75" hidden="1" x14ac:dyDescent="0.25">
      <c r="A808" t="str">
        <f t="shared" si="12"/>
        <v>ALR_TEMPERATURA_MATASSA_U-Allarme temperatura matassa U</v>
      </c>
      <c r="C808" s="82" t="s">
        <v>2581</v>
      </c>
      <c r="D808" s="82" t="s">
        <v>2582</v>
      </c>
      <c r="E808" s="82" t="s">
        <v>2163</v>
      </c>
      <c r="F808" s="82" t="s">
        <v>2581</v>
      </c>
      <c r="G808" s="82" t="s">
        <v>1946</v>
      </c>
      <c r="H808" s="82" t="s">
        <v>2165</v>
      </c>
      <c r="I808" s="82" t="s">
        <v>24</v>
      </c>
      <c r="J808" s="82" t="s">
        <v>2171</v>
      </c>
      <c r="K808" s="82" t="s">
        <v>2167</v>
      </c>
      <c r="L808" s="82" t="s">
        <v>1946</v>
      </c>
      <c r="M808" s="82" t="s">
        <v>2090</v>
      </c>
      <c r="N808" s="82" t="s">
        <v>1946</v>
      </c>
      <c r="O808" s="82" t="s">
        <v>2173</v>
      </c>
    </row>
    <row r="809" spans="1:15" ht="15.75" hidden="1" x14ac:dyDescent="0.25">
      <c r="A809" t="str">
        <f t="shared" si="12"/>
        <v>ALR_TEMPERATURA_MATASSA_V-Allarme temperatura matassa V</v>
      </c>
      <c r="C809" s="82" t="s">
        <v>2583</v>
      </c>
      <c r="D809" s="82" t="s">
        <v>2584</v>
      </c>
      <c r="E809" s="82" t="s">
        <v>2163</v>
      </c>
      <c r="F809" s="82" t="s">
        <v>2583</v>
      </c>
      <c r="G809" s="82" t="s">
        <v>1946</v>
      </c>
      <c r="H809" s="82" t="s">
        <v>2165</v>
      </c>
      <c r="I809" s="82" t="s">
        <v>24</v>
      </c>
      <c r="J809" s="82" t="s">
        <v>2171</v>
      </c>
      <c r="K809" s="82" t="s">
        <v>2167</v>
      </c>
      <c r="L809" s="82" t="s">
        <v>1946</v>
      </c>
      <c r="M809" s="82" t="s">
        <v>2090</v>
      </c>
      <c r="N809" s="82" t="s">
        <v>1946</v>
      </c>
      <c r="O809" s="82" t="s">
        <v>2173</v>
      </c>
    </row>
    <row r="810" spans="1:15" ht="15.75" hidden="1" x14ac:dyDescent="0.25">
      <c r="A810" t="str">
        <f t="shared" si="12"/>
        <v>ALR_TEMPERATURA_MATASSA_W-Allarme temperatura matassa W</v>
      </c>
      <c r="C810" s="82" t="s">
        <v>2585</v>
      </c>
      <c r="D810" s="82" t="s">
        <v>2586</v>
      </c>
      <c r="E810" s="82" t="s">
        <v>2163</v>
      </c>
      <c r="F810" s="82" t="s">
        <v>2585</v>
      </c>
      <c r="G810" s="82" t="s">
        <v>1946</v>
      </c>
      <c r="H810" s="82" t="s">
        <v>2165</v>
      </c>
      <c r="I810" s="82" t="s">
        <v>24</v>
      </c>
      <c r="J810" s="82" t="s">
        <v>2171</v>
      </c>
      <c r="K810" s="82" t="s">
        <v>2167</v>
      </c>
      <c r="L810" s="82" t="s">
        <v>1946</v>
      </c>
      <c r="M810" s="82" t="s">
        <v>2090</v>
      </c>
      <c r="N810" s="82" t="s">
        <v>1946</v>
      </c>
      <c r="O810" s="82" t="s">
        <v>2173</v>
      </c>
    </row>
    <row r="811" spans="1:15" ht="15.75" hidden="1" x14ac:dyDescent="0.25">
      <c r="A811" t="str">
        <f t="shared" si="12"/>
        <v>ALR_TEMPERATURA_PIASTRA-Allarme sovratemperatura piastra</v>
      </c>
      <c r="C811" s="82" t="s">
        <v>1625</v>
      </c>
      <c r="D811" s="82" t="s">
        <v>1626</v>
      </c>
      <c r="E811" s="82" t="s">
        <v>2163</v>
      </c>
      <c r="F811" s="82" t="s">
        <v>1625</v>
      </c>
      <c r="G811" s="82" t="s">
        <v>1946</v>
      </c>
      <c r="H811" s="82" t="s">
        <v>2165</v>
      </c>
      <c r="I811" s="82" t="s">
        <v>24</v>
      </c>
      <c r="J811" s="82" t="s">
        <v>2171</v>
      </c>
      <c r="K811" s="82" t="s">
        <v>2167</v>
      </c>
      <c r="L811" s="82" t="s">
        <v>1946</v>
      </c>
      <c r="M811" s="82" t="s">
        <v>2090</v>
      </c>
      <c r="N811" s="82" t="s">
        <v>1946</v>
      </c>
      <c r="O811" s="82" t="s">
        <v>2173</v>
      </c>
    </row>
    <row r="812" spans="1:15" ht="15.75" hidden="1" x14ac:dyDescent="0.25">
      <c r="A812" t="str">
        <f t="shared" si="12"/>
        <v>ALR_TENSIONE_IN_INGRESSO-Allarme stabilizzatore di tensione in ingresso</v>
      </c>
      <c r="C812" s="82" t="s">
        <v>1627</v>
      </c>
      <c r="D812" s="82" t="s">
        <v>1628</v>
      </c>
      <c r="E812" s="82" t="s">
        <v>2163</v>
      </c>
      <c r="F812" s="82" t="s">
        <v>1627</v>
      </c>
      <c r="G812" s="82" t="s">
        <v>1946</v>
      </c>
      <c r="H812" s="82" t="s">
        <v>2165</v>
      </c>
      <c r="I812" s="82" t="s">
        <v>24</v>
      </c>
      <c r="J812" s="82" t="s">
        <v>2171</v>
      </c>
      <c r="K812" s="82" t="s">
        <v>2167</v>
      </c>
      <c r="L812" s="82" t="s">
        <v>1946</v>
      </c>
      <c r="M812" s="82" t="s">
        <v>2090</v>
      </c>
      <c r="N812" s="82" t="s">
        <v>1946</v>
      </c>
      <c r="O812" s="82" t="s">
        <v>2173</v>
      </c>
    </row>
    <row r="813" spans="1:15" ht="15.75" hidden="1" x14ac:dyDescent="0.25">
      <c r="A813" t="str">
        <f t="shared" si="12"/>
        <v>ALR_TENSIONE_IN_USCITA-Allarme stabilizzatore di tensione in uscita</v>
      </c>
      <c r="C813" s="82" t="s">
        <v>1629</v>
      </c>
      <c r="D813" s="82" t="s">
        <v>1630</v>
      </c>
      <c r="E813" s="82" t="s">
        <v>2163</v>
      </c>
      <c r="F813" s="82" t="s">
        <v>1629</v>
      </c>
      <c r="G813" s="82" t="s">
        <v>53</v>
      </c>
      <c r="H813" s="82" t="s">
        <v>2165</v>
      </c>
      <c r="I813" s="82" t="s">
        <v>24</v>
      </c>
      <c r="J813" s="82" t="s">
        <v>2171</v>
      </c>
      <c r="K813" s="82" t="s">
        <v>2167</v>
      </c>
      <c r="L813" s="82" t="s">
        <v>1946</v>
      </c>
      <c r="M813" s="82" t="s">
        <v>2183</v>
      </c>
      <c r="N813" s="82" t="s">
        <v>1946</v>
      </c>
      <c r="O813" s="82" t="s">
        <v>2173</v>
      </c>
    </row>
    <row r="814" spans="1:15" ht="15.75" hidden="1" x14ac:dyDescent="0.25">
      <c r="A814" t="str">
        <f t="shared" si="12"/>
        <v>ALR_TENSIONE_MAX-Allarme tensione Gruppo Elettrogeno fuori limiti</v>
      </c>
      <c r="C814" s="82" t="s">
        <v>695</v>
      </c>
      <c r="D814" s="82" t="s">
        <v>696</v>
      </c>
      <c r="E814" s="82" t="s">
        <v>2163</v>
      </c>
      <c r="F814" s="82" t="s">
        <v>695</v>
      </c>
      <c r="G814" s="82" t="s">
        <v>1946</v>
      </c>
      <c r="H814" s="82" t="s">
        <v>2165</v>
      </c>
      <c r="I814" s="82" t="s">
        <v>24</v>
      </c>
      <c r="J814" s="82" t="s">
        <v>2171</v>
      </c>
      <c r="K814" s="82" t="s">
        <v>2167</v>
      </c>
      <c r="L814" s="82" t="s">
        <v>1946</v>
      </c>
      <c r="M814" s="82" t="s">
        <v>2090</v>
      </c>
      <c r="N814" s="82" t="s">
        <v>1946</v>
      </c>
      <c r="O814" s="82" t="s">
        <v>2173</v>
      </c>
    </row>
    <row r="815" spans="1:15" ht="15.75" hidden="1" x14ac:dyDescent="0.25">
      <c r="A815" t="str">
        <f t="shared" si="12"/>
        <v>ALR_TERMICA-Allarme termica</v>
      </c>
      <c r="C815" s="82" t="s">
        <v>1631</v>
      </c>
      <c r="D815" s="82" t="s">
        <v>1632</v>
      </c>
      <c r="E815" s="82" t="s">
        <v>2163</v>
      </c>
      <c r="F815" s="82" t="s">
        <v>1631</v>
      </c>
      <c r="G815" s="82" t="s">
        <v>1946</v>
      </c>
      <c r="H815" s="82" t="s">
        <v>2165</v>
      </c>
      <c r="I815" s="82" t="s">
        <v>24</v>
      </c>
      <c r="J815" s="82" t="s">
        <v>2171</v>
      </c>
      <c r="K815" s="82" t="s">
        <v>2167</v>
      </c>
      <c r="L815" s="82" t="s">
        <v>1946</v>
      </c>
      <c r="M815" s="82" t="s">
        <v>2090</v>
      </c>
      <c r="N815" s="82" t="s">
        <v>1946</v>
      </c>
      <c r="O815" s="82" t="s">
        <v>2173</v>
      </c>
    </row>
    <row r="816" spans="1:15" ht="15.75" hidden="1" x14ac:dyDescent="0.25">
      <c r="A816" t="str">
        <f t="shared" si="12"/>
        <v>ALR_TERMICO_ALTA_VELOCITA-Allarme termico alta velocità</v>
      </c>
      <c r="C816" s="82" t="s">
        <v>2587</v>
      </c>
      <c r="D816" s="82" t="s">
        <v>2588</v>
      </c>
      <c r="E816" s="82" t="s">
        <v>2163</v>
      </c>
      <c r="F816" s="82" t="s">
        <v>2587</v>
      </c>
      <c r="G816" s="82" t="s">
        <v>1946</v>
      </c>
      <c r="H816" s="82" t="s">
        <v>2165</v>
      </c>
      <c r="I816" s="82" t="s">
        <v>24</v>
      </c>
      <c r="J816" s="82" t="s">
        <v>2171</v>
      </c>
      <c r="K816" s="82" t="s">
        <v>2167</v>
      </c>
      <c r="L816" s="82" t="s">
        <v>1946</v>
      </c>
      <c r="M816" s="82" t="s">
        <v>2090</v>
      </c>
      <c r="N816" s="82" t="s">
        <v>1946</v>
      </c>
      <c r="O816" s="82" t="s">
        <v>2173</v>
      </c>
    </row>
    <row r="817" spans="1:15" ht="15.75" hidden="1" x14ac:dyDescent="0.25">
      <c r="A817" t="str">
        <f t="shared" si="12"/>
        <v>ALR_TERMICO_AUX-Allarme termico ausiliare</v>
      </c>
      <c r="C817" s="82" t="s">
        <v>2589</v>
      </c>
      <c r="D817" s="82" t="s">
        <v>2590</v>
      </c>
      <c r="E817" s="82" t="s">
        <v>2163</v>
      </c>
      <c r="F817" s="82" t="s">
        <v>2589</v>
      </c>
      <c r="G817" s="82" t="s">
        <v>1946</v>
      </c>
      <c r="H817" s="82" t="s">
        <v>2165</v>
      </c>
      <c r="I817" s="82" t="s">
        <v>24</v>
      </c>
      <c r="J817" s="82" t="s">
        <v>2171</v>
      </c>
      <c r="K817" s="82" t="s">
        <v>2167</v>
      </c>
      <c r="L817" s="82" t="s">
        <v>1946</v>
      </c>
      <c r="M817" s="82" t="s">
        <v>2090</v>
      </c>
      <c r="N817" s="82" t="s">
        <v>1946</v>
      </c>
      <c r="O817" s="82" t="s">
        <v>2173</v>
      </c>
    </row>
    <row r="818" spans="1:15" ht="15.75" hidden="1" x14ac:dyDescent="0.25">
      <c r="A818" t="str">
        <f t="shared" si="12"/>
        <v>ALR_TERMICO_BASSA_VELOCITA-Allarme termico bassa velocità</v>
      </c>
      <c r="C818" s="82" t="s">
        <v>2591</v>
      </c>
      <c r="D818" s="82" t="s">
        <v>2592</v>
      </c>
      <c r="E818" s="82" t="s">
        <v>2163</v>
      </c>
      <c r="F818" s="82" t="s">
        <v>2591</v>
      </c>
      <c r="G818" s="82" t="s">
        <v>1946</v>
      </c>
      <c r="H818" s="82" t="s">
        <v>2165</v>
      </c>
      <c r="I818" s="82" t="s">
        <v>24</v>
      </c>
      <c r="J818" s="82" t="s">
        <v>2171</v>
      </c>
      <c r="K818" s="82" t="s">
        <v>2167</v>
      </c>
      <c r="L818" s="82" t="s">
        <v>1946</v>
      </c>
      <c r="M818" s="82" t="s">
        <v>2090</v>
      </c>
      <c r="N818" s="82" t="s">
        <v>1946</v>
      </c>
      <c r="O818" s="82" t="s">
        <v>2173</v>
      </c>
    </row>
    <row r="819" spans="1:15" ht="15.75" hidden="1" x14ac:dyDescent="0.25">
      <c r="A819" t="str">
        <f t="shared" si="12"/>
        <v>ALR_TERMICO_LAMPADA_POMPA-Chiusura Allarme termico lampada pompa</v>
      </c>
      <c r="C819" s="82" t="s">
        <v>2593</v>
      </c>
      <c r="D819" s="82" t="s">
        <v>2594</v>
      </c>
      <c r="E819" s="82" t="s">
        <v>2163</v>
      </c>
      <c r="F819" s="82" t="s">
        <v>2593</v>
      </c>
      <c r="G819" s="82" t="s">
        <v>1946</v>
      </c>
      <c r="H819" s="82" t="s">
        <v>2165</v>
      </c>
      <c r="I819" s="82" t="s">
        <v>24</v>
      </c>
      <c r="J819" s="82" t="s">
        <v>2171</v>
      </c>
      <c r="K819" s="82" t="s">
        <v>2167</v>
      </c>
      <c r="L819" s="82" t="s">
        <v>1946</v>
      </c>
      <c r="M819" s="82" t="s">
        <v>2090</v>
      </c>
      <c r="N819" s="82" t="s">
        <v>1946</v>
      </c>
      <c r="O819" s="82" t="s">
        <v>2173</v>
      </c>
    </row>
    <row r="820" spans="1:15" ht="15.75" hidden="1" x14ac:dyDescent="0.25">
      <c r="A820" t="str">
        <f t="shared" si="12"/>
        <v>ALR_TERMICO_LAMPADA_RESISTENZA-Chiusura Allarme termico lampada resistenza</v>
      </c>
      <c r="C820" s="82" t="s">
        <v>2595</v>
      </c>
      <c r="D820" s="82" t="s">
        <v>2596</v>
      </c>
      <c r="E820" s="82" t="s">
        <v>2163</v>
      </c>
      <c r="F820" s="82" t="s">
        <v>2595</v>
      </c>
      <c r="G820" s="82" t="s">
        <v>1946</v>
      </c>
      <c r="H820" s="82" t="s">
        <v>2165</v>
      </c>
      <c r="I820" s="82" t="s">
        <v>24</v>
      </c>
      <c r="J820" s="82" t="s">
        <v>2171</v>
      </c>
      <c r="K820" s="82" t="s">
        <v>2167</v>
      </c>
      <c r="L820" s="82" t="s">
        <v>1946</v>
      </c>
      <c r="M820" s="82" t="s">
        <v>2090</v>
      </c>
      <c r="N820" s="82" t="s">
        <v>1946</v>
      </c>
      <c r="O820" s="82" t="s">
        <v>2173</v>
      </c>
    </row>
    <row r="821" spans="1:15" ht="15.75" hidden="1" x14ac:dyDescent="0.25">
      <c r="A821" t="str">
        <f t="shared" si="12"/>
        <v>ALR_TERMICO_LAMPADA_STUFA-Chiusura Allarme termico lampada stufa</v>
      </c>
      <c r="C821" s="82" t="s">
        <v>2597</v>
      </c>
      <c r="D821" s="82" t="s">
        <v>2598</v>
      </c>
      <c r="E821" s="82" t="s">
        <v>2163</v>
      </c>
      <c r="F821" s="82" t="s">
        <v>2597</v>
      </c>
      <c r="G821" s="82" t="s">
        <v>1946</v>
      </c>
      <c r="H821" s="82" t="s">
        <v>2165</v>
      </c>
      <c r="I821" s="82" t="s">
        <v>24</v>
      </c>
      <c r="J821" s="82" t="s">
        <v>2171</v>
      </c>
      <c r="K821" s="82" t="s">
        <v>2167</v>
      </c>
      <c r="L821" s="82" t="s">
        <v>1946</v>
      </c>
      <c r="M821" s="82" t="s">
        <v>2090</v>
      </c>
      <c r="N821" s="82" t="s">
        <v>1946</v>
      </c>
      <c r="O821" s="82" t="s">
        <v>2173</v>
      </c>
    </row>
    <row r="822" spans="1:15" ht="15.75" hidden="1" x14ac:dyDescent="0.25">
      <c r="A822" t="str">
        <f t="shared" si="12"/>
        <v>ALR_TERMICO_LAMPADA_VENTILATORE-Chiusura Allarme termico lampada ventilatore</v>
      </c>
      <c r="C822" s="82" t="s">
        <v>2599</v>
      </c>
      <c r="D822" s="82" t="s">
        <v>2600</v>
      </c>
      <c r="E822" s="82" t="s">
        <v>2163</v>
      </c>
      <c r="F822" s="82" t="s">
        <v>2599</v>
      </c>
      <c r="G822" s="82" t="s">
        <v>1946</v>
      </c>
      <c r="H822" s="82" t="s">
        <v>2165</v>
      </c>
      <c r="I822" s="82" t="s">
        <v>24</v>
      </c>
      <c r="J822" s="82" t="s">
        <v>2171</v>
      </c>
      <c r="K822" s="82" t="s">
        <v>2167</v>
      </c>
      <c r="L822" s="82" t="s">
        <v>1946</v>
      </c>
      <c r="M822" s="82" t="s">
        <v>2090</v>
      </c>
      <c r="N822" s="82" t="s">
        <v>1946</v>
      </c>
      <c r="O822" s="82" t="s">
        <v>2173</v>
      </c>
    </row>
    <row r="823" spans="1:15" ht="15.75" hidden="1" x14ac:dyDescent="0.25">
      <c r="A823" t="str">
        <f t="shared" si="12"/>
        <v>ALR_TERMICO_POMPA_OLIO-Allarme termico pompa olio</v>
      </c>
      <c r="C823" s="82" t="s">
        <v>2601</v>
      </c>
      <c r="D823" s="82" t="s">
        <v>2602</v>
      </c>
      <c r="E823" s="82" t="s">
        <v>2163</v>
      </c>
      <c r="F823" s="82" t="s">
        <v>2601</v>
      </c>
      <c r="G823" s="82" t="s">
        <v>1946</v>
      </c>
      <c r="H823" s="82" t="s">
        <v>2165</v>
      </c>
      <c r="I823" s="82" t="s">
        <v>24</v>
      </c>
      <c r="J823" s="82" t="s">
        <v>2171</v>
      </c>
      <c r="K823" s="82" t="s">
        <v>2167</v>
      </c>
      <c r="L823" s="82" t="s">
        <v>1946</v>
      </c>
      <c r="M823" s="82" t="s">
        <v>2090</v>
      </c>
      <c r="N823" s="82" t="s">
        <v>1946</v>
      </c>
      <c r="O823" s="82" t="s">
        <v>2173</v>
      </c>
    </row>
    <row r="824" spans="1:15" ht="15.75" hidden="1" x14ac:dyDescent="0.25">
      <c r="A824" t="str">
        <f t="shared" si="12"/>
        <v>ALR_TERMICO_POMPA_OLIO_1-Allarme termico pompa olio</v>
      </c>
      <c r="C824" s="82" t="s">
        <v>2603</v>
      </c>
      <c r="D824" s="82" t="s">
        <v>2602</v>
      </c>
      <c r="E824" s="82" t="s">
        <v>2163</v>
      </c>
      <c r="F824" s="82" t="s">
        <v>2603</v>
      </c>
      <c r="G824" s="82" t="s">
        <v>1946</v>
      </c>
      <c r="H824" s="82" t="s">
        <v>2165</v>
      </c>
      <c r="I824" s="82" t="s">
        <v>24</v>
      </c>
      <c r="J824" s="82" t="s">
        <v>2171</v>
      </c>
      <c r="K824" s="82" t="s">
        <v>2167</v>
      </c>
      <c r="L824" s="82" t="s">
        <v>1946</v>
      </c>
      <c r="M824" s="82" t="s">
        <v>2090</v>
      </c>
      <c r="N824" s="82" t="s">
        <v>1946</v>
      </c>
      <c r="O824" s="82" t="s">
        <v>2173</v>
      </c>
    </row>
    <row r="825" spans="1:15" ht="15.75" hidden="1" x14ac:dyDescent="0.25">
      <c r="A825" t="str">
        <f t="shared" si="12"/>
        <v>ALR_TERMICO_POMPA_OLIO_2-Allarme termico pompa olio</v>
      </c>
      <c r="C825" s="82" t="s">
        <v>2604</v>
      </c>
      <c r="D825" s="82" t="s">
        <v>2602</v>
      </c>
      <c r="E825" s="82" t="s">
        <v>2163</v>
      </c>
      <c r="F825" s="82" t="s">
        <v>2604</v>
      </c>
      <c r="G825" s="82" t="s">
        <v>1946</v>
      </c>
      <c r="H825" s="82" t="s">
        <v>2165</v>
      </c>
      <c r="I825" s="82" t="s">
        <v>24</v>
      </c>
      <c r="J825" s="82" t="s">
        <v>2171</v>
      </c>
      <c r="K825" s="82" t="s">
        <v>2167</v>
      </c>
      <c r="L825" s="82" t="s">
        <v>1946</v>
      </c>
      <c r="M825" s="82" t="s">
        <v>2090</v>
      </c>
      <c r="N825" s="82" t="s">
        <v>1946</v>
      </c>
      <c r="O825" s="82" t="s">
        <v>2173</v>
      </c>
    </row>
    <row r="826" spans="1:15" ht="15.75" hidden="1" x14ac:dyDescent="0.25">
      <c r="A826" t="str">
        <f t="shared" si="12"/>
        <v>ALR_TERMICO_RESISTENZA-Chiusura Allarme termico resistenza</v>
      </c>
      <c r="C826" s="82" t="s">
        <v>2605</v>
      </c>
      <c r="D826" s="82" t="s">
        <v>2606</v>
      </c>
      <c r="E826" s="82" t="s">
        <v>2163</v>
      </c>
      <c r="F826" s="82" t="s">
        <v>2605</v>
      </c>
      <c r="G826" s="82" t="s">
        <v>1946</v>
      </c>
      <c r="H826" s="82" t="s">
        <v>2165</v>
      </c>
      <c r="I826" s="82" t="s">
        <v>24</v>
      </c>
      <c r="J826" s="82" t="s">
        <v>2171</v>
      </c>
      <c r="K826" s="82" t="s">
        <v>2167</v>
      </c>
      <c r="L826" s="82" t="s">
        <v>1946</v>
      </c>
      <c r="M826" s="82" t="s">
        <v>2090</v>
      </c>
      <c r="N826" s="82" t="s">
        <v>1946</v>
      </c>
      <c r="O826" s="82" t="s">
        <v>2173</v>
      </c>
    </row>
    <row r="827" spans="1:15" ht="15.75" hidden="1" x14ac:dyDescent="0.25">
      <c r="A827" t="str">
        <f t="shared" si="12"/>
        <v>ALR_TERMICO_SERVIZI-Allarme termico servizi</v>
      </c>
      <c r="C827" s="82" t="s">
        <v>2607</v>
      </c>
      <c r="D827" s="82" t="s">
        <v>2608</v>
      </c>
      <c r="E827" s="82" t="s">
        <v>2163</v>
      </c>
      <c r="F827" s="82" t="s">
        <v>2607</v>
      </c>
      <c r="G827" s="82" t="s">
        <v>1946</v>
      </c>
      <c r="H827" s="82" t="s">
        <v>2165</v>
      </c>
      <c r="I827" s="82" t="s">
        <v>24</v>
      </c>
      <c r="J827" s="82" t="s">
        <v>2171</v>
      </c>
      <c r="K827" s="82" t="s">
        <v>2167</v>
      </c>
      <c r="L827" s="82" t="s">
        <v>1946</v>
      </c>
      <c r="M827" s="82" t="s">
        <v>2090</v>
      </c>
      <c r="N827" s="82" t="s">
        <v>1946</v>
      </c>
      <c r="O827" s="82" t="s">
        <v>2173</v>
      </c>
    </row>
    <row r="828" spans="1:15" ht="15.75" hidden="1" x14ac:dyDescent="0.25">
      <c r="A828" t="str">
        <f t="shared" si="12"/>
        <v>ALR_TERMICO_STUFA-Chiusura Allarme termico stufa</v>
      </c>
      <c r="C828" s="82" t="s">
        <v>2609</v>
      </c>
      <c r="D828" s="82" t="s">
        <v>2610</v>
      </c>
      <c r="E828" s="82" t="s">
        <v>2163</v>
      </c>
      <c r="F828" s="82" t="s">
        <v>2609</v>
      </c>
      <c r="G828" s="82" t="s">
        <v>1946</v>
      </c>
      <c r="H828" s="82" t="s">
        <v>2165</v>
      </c>
      <c r="I828" s="82" t="s">
        <v>24</v>
      </c>
      <c r="J828" s="82" t="s">
        <v>2171</v>
      </c>
      <c r="K828" s="82" t="s">
        <v>2167</v>
      </c>
      <c r="L828" s="82" t="s">
        <v>1946</v>
      </c>
      <c r="M828" s="82" t="s">
        <v>2090</v>
      </c>
      <c r="N828" s="82" t="s">
        <v>1946</v>
      </c>
      <c r="O828" s="82" t="s">
        <v>2173</v>
      </c>
    </row>
    <row r="829" spans="1:15" ht="15.75" hidden="1" x14ac:dyDescent="0.25">
      <c r="A829" t="str">
        <f t="shared" si="12"/>
        <v>ALR_TERMICO_VENTILATORE-Allarme termico ventilatore</v>
      </c>
      <c r="C829" s="82" t="s">
        <v>1633</v>
      </c>
      <c r="D829" s="82" t="s">
        <v>1634</v>
      </c>
      <c r="E829" s="82" t="s">
        <v>2163</v>
      </c>
      <c r="F829" s="82" t="s">
        <v>1633</v>
      </c>
      <c r="G829" s="82" t="s">
        <v>1946</v>
      </c>
      <c r="H829" s="82" t="s">
        <v>2165</v>
      </c>
      <c r="I829" s="82" t="s">
        <v>24</v>
      </c>
      <c r="J829" s="82" t="s">
        <v>2171</v>
      </c>
      <c r="K829" s="82" t="s">
        <v>2167</v>
      </c>
      <c r="L829" s="82" t="s">
        <v>1946</v>
      </c>
      <c r="M829" s="82" t="s">
        <v>2090</v>
      </c>
      <c r="N829" s="82" t="s">
        <v>1946</v>
      </c>
      <c r="O829" s="82" t="s">
        <v>2173</v>
      </c>
    </row>
    <row r="830" spans="1:15" ht="15.75" hidden="1" x14ac:dyDescent="0.25">
      <c r="A830" t="str">
        <f t="shared" si="12"/>
        <v>ALR_TERZO_LIVELLO_CO-Allarme terzo livello CO</v>
      </c>
      <c r="C830" s="82" t="s">
        <v>2611</v>
      </c>
      <c r="D830" s="82" t="s">
        <v>2612</v>
      </c>
      <c r="E830" s="82" t="s">
        <v>2163</v>
      </c>
      <c r="F830" s="82" t="s">
        <v>2611</v>
      </c>
      <c r="G830" s="82" t="s">
        <v>1946</v>
      </c>
      <c r="H830" s="82" t="s">
        <v>2165</v>
      </c>
      <c r="I830" s="82" t="s">
        <v>24</v>
      </c>
      <c r="J830" s="82" t="s">
        <v>2171</v>
      </c>
      <c r="K830" s="82" t="s">
        <v>2167</v>
      </c>
      <c r="L830" s="82" t="s">
        <v>1946</v>
      </c>
      <c r="M830" s="82" t="s">
        <v>2090</v>
      </c>
      <c r="N830" s="82" t="s">
        <v>1946</v>
      </c>
      <c r="O830" s="82" t="s">
        <v>2173</v>
      </c>
    </row>
    <row r="831" spans="1:15" ht="15.75" hidden="1" x14ac:dyDescent="0.25">
      <c r="A831" t="str">
        <f t="shared" si="12"/>
        <v>ALR_TERZO_LIVELLO_COOP-Allarme terzo livello CO-OP</v>
      </c>
      <c r="C831" s="82" t="s">
        <v>2613</v>
      </c>
      <c r="D831" s="82" t="s">
        <v>2614</v>
      </c>
      <c r="E831" s="82" t="s">
        <v>2163</v>
      </c>
      <c r="F831" s="82" t="s">
        <v>2613</v>
      </c>
      <c r="G831" s="82" t="s">
        <v>1946</v>
      </c>
      <c r="H831" s="82" t="s">
        <v>2165</v>
      </c>
      <c r="I831" s="82" t="s">
        <v>24</v>
      </c>
      <c r="J831" s="82" t="s">
        <v>2171</v>
      </c>
      <c r="K831" s="82" t="s">
        <v>2167</v>
      </c>
      <c r="L831" s="82" t="s">
        <v>1946</v>
      </c>
      <c r="M831" s="82" t="s">
        <v>2090</v>
      </c>
      <c r="N831" s="82" t="s">
        <v>1946</v>
      </c>
      <c r="O831" s="82" t="s">
        <v>2173</v>
      </c>
    </row>
    <row r="832" spans="1:15" ht="15.75" hidden="1" x14ac:dyDescent="0.25">
      <c r="A832" t="str">
        <f t="shared" si="12"/>
        <v>ALR_TERZO_LIVELLO_OP-Allarme terzo livello OP</v>
      </c>
      <c r="C832" s="82" t="s">
        <v>2615</v>
      </c>
      <c r="D832" s="82" t="s">
        <v>2616</v>
      </c>
      <c r="E832" s="82" t="s">
        <v>2163</v>
      </c>
      <c r="F832" s="82" t="s">
        <v>2615</v>
      </c>
      <c r="G832" s="82" t="s">
        <v>1946</v>
      </c>
      <c r="H832" s="82" t="s">
        <v>2165</v>
      </c>
      <c r="I832" s="82" t="s">
        <v>24</v>
      </c>
      <c r="J832" s="82" t="s">
        <v>2171</v>
      </c>
      <c r="K832" s="82" t="s">
        <v>2167</v>
      </c>
      <c r="L832" s="82" t="s">
        <v>1946</v>
      </c>
      <c r="M832" s="82" t="s">
        <v>2090</v>
      </c>
      <c r="N832" s="82" t="s">
        <v>1946</v>
      </c>
      <c r="O832" s="82" t="s">
        <v>2173</v>
      </c>
    </row>
    <row r="833" spans="1:15" ht="15.75" hidden="1" x14ac:dyDescent="0.25">
      <c r="A833" t="str">
        <f t="shared" si="12"/>
        <v>ALR_TEST_FALLITO-Allarme test fallito</v>
      </c>
      <c r="C833" s="82" t="s">
        <v>1635</v>
      </c>
      <c r="D833" s="82" t="s">
        <v>1636</v>
      </c>
      <c r="E833" s="82" t="s">
        <v>2163</v>
      </c>
      <c r="F833" s="82" t="s">
        <v>1635</v>
      </c>
      <c r="G833" s="82" t="s">
        <v>1946</v>
      </c>
      <c r="H833" s="82" t="s">
        <v>2165</v>
      </c>
      <c r="I833" s="82" t="s">
        <v>24</v>
      </c>
      <c r="J833" s="82" t="s">
        <v>2171</v>
      </c>
      <c r="K833" s="82" t="s">
        <v>2167</v>
      </c>
      <c r="L833" s="82" t="s">
        <v>1946</v>
      </c>
      <c r="M833" s="82" t="s">
        <v>2090</v>
      </c>
      <c r="N833" s="82" t="s">
        <v>1946</v>
      </c>
      <c r="O833" s="82" t="s">
        <v>2173</v>
      </c>
    </row>
    <row r="834" spans="1:15" ht="15.75" hidden="1" x14ac:dyDescent="0.25">
      <c r="A834" t="str">
        <f t="shared" si="12"/>
        <v>ALR_TIMEOUT-Allarme timeout</v>
      </c>
      <c r="C834" s="82" t="s">
        <v>1059</v>
      </c>
      <c r="D834" s="82" t="s">
        <v>1060</v>
      </c>
      <c r="E834" s="82" t="s">
        <v>2163</v>
      </c>
      <c r="F834" s="82" t="s">
        <v>1059</v>
      </c>
      <c r="G834" s="82" t="s">
        <v>1946</v>
      </c>
      <c r="H834" s="82" t="s">
        <v>2165</v>
      </c>
      <c r="I834" s="82" t="s">
        <v>24</v>
      </c>
      <c r="J834" s="82" t="s">
        <v>2171</v>
      </c>
      <c r="K834" s="82" t="s">
        <v>2167</v>
      </c>
      <c r="L834" s="82" t="s">
        <v>1946</v>
      </c>
      <c r="M834" s="82" t="s">
        <v>2090</v>
      </c>
      <c r="N834" s="82" t="s">
        <v>1946</v>
      </c>
      <c r="O834" s="82" t="s">
        <v>2173</v>
      </c>
    </row>
    <row r="835" spans="1:15" ht="15.75" hidden="1" x14ac:dyDescent="0.25">
      <c r="A835" t="str">
        <f t="shared" ref="A835:A898" si="13">CONCATENATE(F835,"-",D835)</f>
        <v>ALR_TIMEOUT_ACCENSIONE_PERMANENTI_DIR_NORD-Allarme timeout accensione luci permanenti dir. Nord</v>
      </c>
      <c r="C835" s="82" t="s">
        <v>697</v>
      </c>
      <c r="D835" s="82" t="s">
        <v>698</v>
      </c>
      <c r="E835" s="82" t="s">
        <v>2163</v>
      </c>
      <c r="F835" s="82" t="s">
        <v>697</v>
      </c>
      <c r="G835" s="82" t="s">
        <v>1946</v>
      </c>
      <c r="H835" s="82" t="s">
        <v>2165</v>
      </c>
      <c r="I835" s="82" t="s">
        <v>24</v>
      </c>
      <c r="J835" s="82" t="s">
        <v>2171</v>
      </c>
      <c r="K835" s="82" t="s">
        <v>2167</v>
      </c>
      <c r="L835" s="82" t="s">
        <v>1946</v>
      </c>
      <c r="M835" s="82" t="s">
        <v>2090</v>
      </c>
      <c r="N835" s="82" t="s">
        <v>1946</v>
      </c>
      <c r="O835" s="82" t="s">
        <v>2173</v>
      </c>
    </row>
    <row r="836" spans="1:15" ht="15.75" hidden="1" x14ac:dyDescent="0.25">
      <c r="A836" t="str">
        <f t="shared" si="13"/>
        <v>ALR_TIMEOUT_ACCENSIONE_PERMANENTI_DIR_SUD-Allarme timeout accensione luci permanenti dir. Sud</v>
      </c>
      <c r="C836" s="82" t="s">
        <v>700</v>
      </c>
      <c r="D836" s="82" t="s">
        <v>701</v>
      </c>
      <c r="E836" s="82" t="s">
        <v>2163</v>
      </c>
      <c r="F836" s="82" t="s">
        <v>700</v>
      </c>
      <c r="G836" s="82" t="s">
        <v>1946</v>
      </c>
      <c r="H836" s="82" t="s">
        <v>2165</v>
      </c>
      <c r="I836" s="82" t="s">
        <v>24</v>
      </c>
      <c r="J836" s="82" t="s">
        <v>2171</v>
      </c>
      <c r="K836" s="82" t="s">
        <v>2167</v>
      </c>
      <c r="L836" s="82" t="s">
        <v>1946</v>
      </c>
      <c r="M836" s="82" t="s">
        <v>2090</v>
      </c>
      <c r="N836" s="82" t="s">
        <v>1946</v>
      </c>
      <c r="O836" s="82" t="s">
        <v>2173</v>
      </c>
    </row>
    <row r="837" spans="1:15" ht="15.75" hidden="1" x14ac:dyDescent="0.25">
      <c r="A837" t="str">
        <f t="shared" si="13"/>
        <v>ALR_TIMEOUT_ACCENSIONE_RINFORZI_DIR_NORD-Allarme timeout accensione luci di rinforzo dir. Nord</v>
      </c>
      <c r="C837" s="82" t="s">
        <v>702</v>
      </c>
      <c r="D837" s="82" t="s">
        <v>703</v>
      </c>
      <c r="E837" s="82" t="s">
        <v>2163</v>
      </c>
      <c r="F837" s="82" t="s">
        <v>702</v>
      </c>
      <c r="G837" s="82" t="s">
        <v>1946</v>
      </c>
      <c r="H837" s="82" t="s">
        <v>2165</v>
      </c>
      <c r="I837" s="82" t="s">
        <v>24</v>
      </c>
      <c r="J837" s="82" t="s">
        <v>2171</v>
      </c>
      <c r="K837" s="82" t="s">
        <v>2167</v>
      </c>
      <c r="L837" s="82" t="s">
        <v>1946</v>
      </c>
      <c r="M837" s="82" t="s">
        <v>2090</v>
      </c>
      <c r="N837" s="82" t="s">
        <v>1946</v>
      </c>
      <c r="O837" s="82" t="s">
        <v>2173</v>
      </c>
    </row>
    <row r="838" spans="1:15" ht="15.75" hidden="1" x14ac:dyDescent="0.25">
      <c r="A838" t="str">
        <f t="shared" si="13"/>
        <v>ALR_TIMEOUT_ACCENSIONE_RINFORZI_DIR_SUD-Allarme timeout accensione luci di rinforzo dir. Sud</v>
      </c>
      <c r="C838" s="82" t="s">
        <v>705</v>
      </c>
      <c r="D838" s="82" t="s">
        <v>706</v>
      </c>
      <c r="E838" s="82" t="s">
        <v>2163</v>
      </c>
      <c r="F838" s="82" t="s">
        <v>705</v>
      </c>
      <c r="G838" s="82" t="s">
        <v>1946</v>
      </c>
      <c r="H838" s="82" t="s">
        <v>2165</v>
      </c>
      <c r="I838" s="82" t="s">
        <v>24</v>
      </c>
      <c r="J838" s="82" t="s">
        <v>2171</v>
      </c>
      <c r="K838" s="82" t="s">
        <v>2167</v>
      </c>
      <c r="L838" s="82" t="s">
        <v>1946</v>
      </c>
      <c r="M838" s="82" t="s">
        <v>2090</v>
      </c>
      <c r="N838" s="82" t="s">
        <v>1946</v>
      </c>
      <c r="O838" s="82" t="s">
        <v>2173</v>
      </c>
    </row>
    <row r="839" spans="1:15" ht="15.75" hidden="1" x14ac:dyDescent="0.25">
      <c r="A839" t="str">
        <f t="shared" si="13"/>
        <v>ALR_TIMEOUT_APERTURA_SERRANDA-Chiusura Allarme timeout apertura serranda</v>
      </c>
      <c r="C839" s="82" t="s">
        <v>2617</v>
      </c>
      <c r="D839" s="82" t="s">
        <v>2618</v>
      </c>
      <c r="E839" s="82" t="s">
        <v>2163</v>
      </c>
      <c r="F839" s="82" t="s">
        <v>2617</v>
      </c>
      <c r="G839" s="82" t="s">
        <v>1946</v>
      </c>
      <c r="H839" s="82" t="s">
        <v>2165</v>
      </c>
      <c r="I839" s="82" t="s">
        <v>24</v>
      </c>
      <c r="J839" s="82" t="s">
        <v>2171</v>
      </c>
      <c r="K839" s="82" t="s">
        <v>2167</v>
      </c>
      <c r="L839" s="82" t="s">
        <v>1946</v>
      </c>
      <c r="M839" s="82" t="s">
        <v>2090</v>
      </c>
      <c r="N839" s="82" t="s">
        <v>1946</v>
      </c>
      <c r="O839" s="82" t="s">
        <v>2173</v>
      </c>
    </row>
    <row r="840" spans="1:15" ht="15.75" hidden="1" x14ac:dyDescent="0.25">
      <c r="A840" t="str">
        <f t="shared" si="13"/>
        <v>ALR_TIMEOUT_CHIUSURA_SERRANDA-Chiusura Allarme timeout chiusura serranda</v>
      </c>
      <c r="C840" s="82" t="s">
        <v>2619</v>
      </c>
      <c r="D840" s="82" t="s">
        <v>2620</v>
      </c>
      <c r="E840" s="82" t="s">
        <v>2163</v>
      </c>
      <c r="F840" s="82" t="s">
        <v>2619</v>
      </c>
      <c r="G840" s="82" t="s">
        <v>1946</v>
      </c>
      <c r="H840" s="82" t="s">
        <v>2165</v>
      </c>
      <c r="I840" s="82" t="s">
        <v>24</v>
      </c>
      <c r="J840" s="82" t="s">
        <v>2171</v>
      </c>
      <c r="K840" s="82" t="s">
        <v>2167</v>
      </c>
      <c r="L840" s="82" t="s">
        <v>1946</v>
      </c>
      <c r="M840" s="82" t="s">
        <v>2090</v>
      </c>
      <c r="N840" s="82" t="s">
        <v>1946</v>
      </c>
      <c r="O840" s="82" t="s">
        <v>2173</v>
      </c>
    </row>
    <row r="841" spans="1:15" ht="15.75" hidden="1" x14ac:dyDescent="0.25">
      <c r="A841" t="str">
        <f t="shared" si="13"/>
        <v>ALR_TIMEOUT_CONNESSIONE-Allarme timeout connessione</v>
      </c>
      <c r="C841" s="82" t="s">
        <v>707</v>
      </c>
      <c r="D841" s="82" t="s">
        <v>708</v>
      </c>
      <c r="E841" s="82" t="s">
        <v>2163</v>
      </c>
      <c r="F841" s="82" t="s">
        <v>707</v>
      </c>
      <c r="G841" s="82" t="s">
        <v>1946</v>
      </c>
      <c r="H841" s="82" t="s">
        <v>2165</v>
      </c>
      <c r="I841" s="82" t="s">
        <v>24</v>
      </c>
      <c r="J841" s="82" t="s">
        <v>2171</v>
      </c>
      <c r="K841" s="82" t="s">
        <v>2167</v>
      </c>
      <c r="L841" s="82" t="s">
        <v>1946</v>
      </c>
      <c r="M841" s="82" t="s">
        <v>2090</v>
      </c>
      <c r="N841" s="82" t="s">
        <v>1946</v>
      </c>
      <c r="O841" s="82" t="s">
        <v>2173</v>
      </c>
    </row>
    <row r="842" spans="1:15" ht="15.75" hidden="1" x14ac:dyDescent="0.25">
      <c r="A842" t="str">
        <f t="shared" si="13"/>
        <v>ALR_TIMEOUT_DIR_NORD-Allarme timeout dir. Nord</v>
      </c>
      <c r="C842" s="82" t="s">
        <v>709</v>
      </c>
      <c r="D842" s="82" t="s">
        <v>710</v>
      </c>
      <c r="E842" s="82" t="s">
        <v>2163</v>
      </c>
      <c r="F842" s="82" t="s">
        <v>709</v>
      </c>
      <c r="G842" s="82" t="s">
        <v>1946</v>
      </c>
      <c r="H842" s="82" t="s">
        <v>2165</v>
      </c>
      <c r="I842" s="82" t="s">
        <v>24</v>
      </c>
      <c r="J842" s="82" t="s">
        <v>2171</v>
      </c>
      <c r="K842" s="82" t="s">
        <v>2167</v>
      </c>
      <c r="L842" s="82" t="s">
        <v>1946</v>
      </c>
      <c r="M842" s="82" t="s">
        <v>2090</v>
      </c>
      <c r="N842" s="82" t="s">
        <v>1946</v>
      </c>
      <c r="O842" s="82" t="s">
        <v>2173</v>
      </c>
    </row>
    <row r="843" spans="1:15" ht="15.75" hidden="1" x14ac:dyDescent="0.25">
      <c r="A843" t="str">
        <f t="shared" si="13"/>
        <v>ALR_TIMEOUT_DIR_SUD-Allarme timeout dir. Sud</v>
      </c>
      <c r="C843" s="82" t="s">
        <v>711</v>
      </c>
      <c r="D843" s="82" t="s">
        <v>712</v>
      </c>
      <c r="E843" s="82" t="s">
        <v>2163</v>
      </c>
      <c r="F843" s="82" t="s">
        <v>711</v>
      </c>
      <c r="G843" s="82" t="s">
        <v>1946</v>
      </c>
      <c r="H843" s="82" t="s">
        <v>2165</v>
      </c>
      <c r="I843" s="82" t="s">
        <v>24</v>
      </c>
      <c r="J843" s="82" t="s">
        <v>2171</v>
      </c>
      <c r="K843" s="82" t="s">
        <v>2167</v>
      </c>
      <c r="L843" s="82" t="s">
        <v>1946</v>
      </c>
      <c r="M843" s="82" t="s">
        <v>2090</v>
      </c>
      <c r="N843" s="82" t="s">
        <v>1946</v>
      </c>
      <c r="O843" s="82" t="s">
        <v>2173</v>
      </c>
    </row>
    <row r="844" spans="1:15" ht="15.75" hidden="1" x14ac:dyDescent="0.25">
      <c r="A844" t="str">
        <f t="shared" si="13"/>
        <v>ALR_TIMEOUT_ESCLUSIONE_PICCHETTI_LUMINOSI-Allarme timeout esclusione picchetti luminosi</v>
      </c>
      <c r="C844" s="82" t="s">
        <v>713</v>
      </c>
      <c r="D844" s="82" t="s">
        <v>714</v>
      </c>
      <c r="E844" s="82" t="s">
        <v>2163</v>
      </c>
      <c r="F844" s="82" t="s">
        <v>713</v>
      </c>
      <c r="G844" s="82" t="s">
        <v>1946</v>
      </c>
      <c r="H844" s="82" t="s">
        <v>2165</v>
      </c>
      <c r="I844" s="82" t="s">
        <v>24</v>
      </c>
      <c r="J844" s="82" t="s">
        <v>2171</v>
      </c>
      <c r="K844" s="82" t="s">
        <v>2167</v>
      </c>
      <c r="L844" s="82" t="s">
        <v>1946</v>
      </c>
      <c r="M844" s="82" t="s">
        <v>2090</v>
      </c>
      <c r="N844" s="82" t="s">
        <v>1946</v>
      </c>
      <c r="O844" s="82" t="s">
        <v>2173</v>
      </c>
    </row>
    <row r="845" spans="1:15" ht="15.75" hidden="1" x14ac:dyDescent="0.25">
      <c r="A845" t="str">
        <f t="shared" si="13"/>
        <v>ALR_TIMEOUT_FORZATURA_PICCHETTI_LUMINOSI-Allarme timeout forzatura picchetti luminosi</v>
      </c>
      <c r="C845" s="82" t="s">
        <v>716</v>
      </c>
      <c r="D845" s="82" t="s">
        <v>717</v>
      </c>
      <c r="E845" s="82" t="s">
        <v>2163</v>
      </c>
      <c r="F845" s="82" t="s">
        <v>716</v>
      </c>
      <c r="G845" s="82" t="s">
        <v>1946</v>
      </c>
      <c r="H845" s="82" t="s">
        <v>2165</v>
      </c>
      <c r="I845" s="82" t="s">
        <v>24</v>
      </c>
      <c r="J845" s="82" t="s">
        <v>2171</v>
      </c>
      <c r="K845" s="82" t="s">
        <v>2167</v>
      </c>
      <c r="L845" s="82" t="s">
        <v>1946</v>
      </c>
      <c r="M845" s="82" t="s">
        <v>2090</v>
      </c>
      <c r="N845" s="82" t="s">
        <v>1946</v>
      </c>
      <c r="O845" s="82" t="s">
        <v>2173</v>
      </c>
    </row>
    <row r="846" spans="1:15" ht="15.75" hidden="1" x14ac:dyDescent="0.25">
      <c r="A846" t="str">
        <f t="shared" si="13"/>
        <v>ALR_TIMEOUT_GIROFARO-Allarme timeout girofaro</v>
      </c>
      <c r="C846" s="82" t="s">
        <v>718</v>
      </c>
      <c r="D846" s="82" t="s">
        <v>719</v>
      </c>
      <c r="E846" s="82" t="s">
        <v>2163</v>
      </c>
      <c r="F846" s="82" t="s">
        <v>718</v>
      </c>
      <c r="G846" s="82" t="s">
        <v>1946</v>
      </c>
      <c r="H846" s="82" t="s">
        <v>2165</v>
      </c>
      <c r="I846" s="82" t="s">
        <v>157</v>
      </c>
      <c r="J846" s="82" t="s">
        <v>2181</v>
      </c>
      <c r="K846" s="82" t="s">
        <v>2167</v>
      </c>
      <c r="L846" s="82" t="s">
        <v>1946</v>
      </c>
      <c r="M846" s="82" t="s">
        <v>2090</v>
      </c>
      <c r="N846" s="82" t="s">
        <v>1946</v>
      </c>
      <c r="O846" s="82" t="s">
        <v>2173</v>
      </c>
    </row>
    <row r="847" spans="1:15" ht="15.75" hidden="1" x14ac:dyDescent="0.25">
      <c r="A847" t="str">
        <f t="shared" si="13"/>
        <v>ALR_TIMEOUT_INT_LINEA-1-Allarme interruttore linea 1 aperto</v>
      </c>
      <c r="C847" s="82" t="s">
        <v>1644</v>
      </c>
      <c r="D847" s="82" t="s">
        <v>1645</v>
      </c>
      <c r="E847" s="82" t="s">
        <v>2163</v>
      </c>
      <c r="F847" s="82" t="s">
        <v>1644</v>
      </c>
      <c r="G847" s="82" t="s">
        <v>1946</v>
      </c>
      <c r="H847" s="82" t="s">
        <v>2165</v>
      </c>
      <c r="I847" s="82" t="s">
        <v>24</v>
      </c>
      <c r="J847" s="82" t="s">
        <v>2171</v>
      </c>
      <c r="K847" s="82" t="s">
        <v>2167</v>
      </c>
      <c r="L847" s="82" t="s">
        <v>1946</v>
      </c>
      <c r="M847" s="82" t="s">
        <v>2090</v>
      </c>
      <c r="N847" s="82" t="s">
        <v>1946</v>
      </c>
      <c r="O847" s="82" t="s">
        <v>2173</v>
      </c>
    </row>
    <row r="848" spans="1:15" ht="15.75" hidden="1" x14ac:dyDescent="0.25">
      <c r="A848" t="str">
        <f t="shared" si="13"/>
        <v>ALR_TIMEOUT_INT_LINEA_2-Allarme interruttore linea 2 aperto</v>
      </c>
      <c r="C848" s="82" t="s">
        <v>1642</v>
      </c>
      <c r="D848" s="82" t="s">
        <v>1643</v>
      </c>
      <c r="E848" s="82" t="s">
        <v>2163</v>
      </c>
      <c r="F848" s="82" t="s">
        <v>1642</v>
      </c>
      <c r="G848" s="82" t="s">
        <v>1946</v>
      </c>
      <c r="H848" s="82" t="s">
        <v>2165</v>
      </c>
      <c r="I848" s="82" t="s">
        <v>24</v>
      </c>
      <c r="J848" s="82" t="s">
        <v>2171</v>
      </c>
      <c r="K848" s="82" t="s">
        <v>2167</v>
      </c>
      <c r="L848" s="82" t="s">
        <v>1946</v>
      </c>
      <c r="M848" s="82" t="s">
        <v>2090</v>
      </c>
      <c r="N848" s="82" t="s">
        <v>1946</v>
      </c>
      <c r="O848" s="82" t="s">
        <v>2173</v>
      </c>
    </row>
    <row r="849" spans="1:15" ht="15.75" hidden="1" x14ac:dyDescent="0.25">
      <c r="A849" t="str">
        <f t="shared" si="13"/>
        <v>ALR_TIMEOUT_LUCE_GIALLA-Allarme timeout semaforo luce gialla</v>
      </c>
      <c r="C849" s="82" t="s">
        <v>720</v>
      </c>
      <c r="D849" s="82" t="s">
        <v>721</v>
      </c>
      <c r="E849" s="82" t="s">
        <v>2163</v>
      </c>
      <c r="F849" s="82" t="s">
        <v>720</v>
      </c>
      <c r="G849" s="82" t="s">
        <v>1946</v>
      </c>
      <c r="H849" s="82" t="s">
        <v>2165</v>
      </c>
      <c r="I849" s="82" t="s">
        <v>24</v>
      </c>
      <c r="J849" s="82" t="s">
        <v>2171</v>
      </c>
      <c r="K849" s="82" t="s">
        <v>2167</v>
      </c>
      <c r="L849" s="82" t="s">
        <v>1946</v>
      </c>
      <c r="M849" s="82" t="s">
        <v>2090</v>
      </c>
      <c r="N849" s="82" t="s">
        <v>1946</v>
      </c>
      <c r="O849" s="82" t="s">
        <v>2173</v>
      </c>
    </row>
    <row r="850" spans="1:15" ht="15.75" hidden="1" x14ac:dyDescent="0.25">
      <c r="A850" t="str">
        <f t="shared" si="13"/>
        <v>ALR_TIMEOUT_LUCE_GIALLA_LAMPEGGIANTE-Allarme timeout semaforo luce gialla lampeggiante</v>
      </c>
      <c r="C850" s="82" t="s">
        <v>1944</v>
      </c>
      <c r="D850" s="82" t="s">
        <v>1945</v>
      </c>
      <c r="E850" s="82" t="s">
        <v>2163</v>
      </c>
      <c r="F850" s="82" t="s">
        <v>1944</v>
      </c>
      <c r="G850" s="82" t="s">
        <v>1946</v>
      </c>
      <c r="H850" s="82" t="s">
        <v>2165</v>
      </c>
      <c r="I850" s="82" t="s">
        <v>24</v>
      </c>
      <c r="J850" s="82" t="s">
        <v>2171</v>
      </c>
      <c r="K850" s="82" t="s">
        <v>2173</v>
      </c>
      <c r="L850" s="82" t="s">
        <v>1946</v>
      </c>
      <c r="M850" s="82" t="s">
        <v>2090</v>
      </c>
      <c r="N850" s="82" t="s">
        <v>1946</v>
      </c>
      <c r="O850" s="82" t="s">
        <v>2173</v>
      </c>
    </row>
    <row r="851" spans="1:15" ht="15.75" hidden="1" x14ac:dyDescent="0.25">
      <c r="A851" t="str">
        <f t="shared" si="13"/>
        <v>ALR_TIMEOUT_LUCE_ROSSA-Allarme timeout semaforo luce rossa</v>
      </c>
      <c r="C851" s="82" t="s">
        <v>722</v>
      </c>
      <c r="D851" s="82" t="s">
        <v>723</v>
      </c>
      <c r="E851" s="82" t="s">
        <v>2163</v>
      </c>
      <c r="F851" s="82" t="s">
        <v>722</v>
      </c>
      <c r="G851" s="82" t="s">
        <v>1946</v>
      </c>
      <c r="H851" s="82" t="s">
        <v>2165</v>
      </c>
      <c r="I851" s="82" t="s">
        <v>24</v>
      </c>
      <c r="J851" s="82" t="s">
        <v>2171</v>
      </c>
      <c r="K851" s="82" t="s">
        <v>2167</v>
      </c>
      <c r="L851" s="82" t="s">
        <v>1946</v>
      </c>
      <c r="M851" s="82" t="s">
        <v>2090</v>
      </c>
      <c r="N851" s="82" t="s">
        <v>1946</v>
      </c>
      <c r="O851" s="82" t="s">
        <v>2173</v>
      </c>
    </row>
    <row r="852" spans="1:15" ht="15.75" hidden="1" x14ac:dyDescent="0.25">
      <c r="A852" t="str">
        <f t="shared" si="13"/>
        <v>ALR_TIMEOUT_LUCE_VERDE-Allarme timeout semaforo luce verde</v>
      </c>
      <c r="C852" s="82" t="s">
        <v>724</v>
      </c>
      <c r="D852" s="82" t="s">
        <v>725</v>
      </c>
      <c r="E852" s="82" t="s">
        <v>2163</v>
      </c>
      <c r="F852" s="82" t="s">
        <v>724</v>
      </c>
      <c r="G852" s="82" t="s">
        <v>1946</v>
      </c>
      <c r="H852" s="82" t="s">
        <v>2165</v>
      </c>
      <c r="I852" s="82" t="s">
        <v>24</v>
      </c>
      <c r="J852" s="82" t="s">
        <v>2171</v>
      </c>
      <c r="K852" s="82" t="s">
        <v>2167</v>
      </c>
      <c r="L852" s="82" t="s">
        <v>1946</v>
      </c>
      <c r="M852" s="82" t="s">
        <v>2090</v>
      </c>
      <c r="N852" s="82" t="s">
        <v>1946</v>
      </c>
      <c r="O852" s="82" t="s">
        <v>2173</v>
      </c>
    </row>
    <row r="853" spans="1:15" ht="15.75" hidden="1" x14ac:dyDescent="0.25">
      <c r="A853" t="str">
        <f t="shared" si="13"/>
        <v>ALR_TIMEOUT_SIRENA-Allarme timeout sirena</v>
      </c>
      <c r="C853" s="82" t="s">
        <v>726</v>
      </c>
      <c r="D853" s="82" t="s">
        <v>727</v>
      </c>
      <c r="E853" s="82" t="s">
        <v>2163</v>
      </c>
      <c r="F853" s="82" t="s">
        <v>726</v>
      </c>
      <c r="G853" s="82" t="s">
        <v>1946</v>
      </c>
      <c r="H853" s="82" t="s">
        <v>2165</v>
      </c>
      <c r="I853" s="82" t="s">
        <v>157</v>
      </c>
      <c r="J853" s="82" t="s">
        <v>2181</v>
      </c>
      <c r="K853" s="82" t="s">
        <v>2167</v>
      </c>
      <c r="L853" s="82" t="s">
        <v>1946</v>
      </c>
      <c r="M853" s="82" t="s">
        <v>2090</v>
      </c>
      <c r="N853" s="82" t="s">
        <v>1946</v>
      </c>
      <c r="O853" s="82" t="s">
        <v>2173</v>
      </c>
    </row>
    <row r="854" spans="1:15" ht="15.75" hidden="1" x14ac:dyDescent="0.25">
      <c r="A854" t="str">
        <f t="shared" si="13"/>
        <v>ALR_TIMEOUT_SPEGNIMENTO_PERMANENTI_DIR_NORD-Allarme timeout spegnimento luci permanenti dir. Nord</v>
      </c>
      <c r="C854" s="82" t="s">
        <v>728</v>
      </c>
      <c r="D854" s="82" t="s">
        <v>729</v>
      </c>
      <c r="E854" s="82" t="s">
        <v>2163</v>
      </c>
      <c r="F854" s="82" t="s">
        <v>728</v>
      </c>
      <c r="G854" s="82" t="s">
        <v>1946</v>
      </c>
      <c r="H854" s="82" t="s">
        <v>2165</v>
      </c>
      <c r="I854" s="82" t="s">
        <v>24</v>
      </c>
      <c r="J854" s="82" t="s">
        <v>2171</v>
      </c>
      <c r="K854" s="82" t="s">
        <v>2167</v>
      </c>
      <c r="L854" s="82" t="s">
        <v>1946</v>
      </c>
      <c r="M854" s="82" t="s">
        <v>2090</v>
      </c>
      <c r="N854" s="82" t="s">
        <v>1946</v>
      </c>
      <c r="O854" s="82" t="s">
        <v>2173</v>
      </c>
    </row>
    <row r="855" spans="1:15" ht="15.75" hidden="1" x14ac:dyDescent="0.25">
      <c r="A855" t="str">
        <f t="shared" si="13"/>
        <v>ALR_TIMEOUT_SPEGNIMENTO_PERMANENTI_DIR_SUD-Allarme timeout spegnimento luci permanenti dir. Sud</v>
      </c>
      <c r="C855" s="82" t="s">
        <v>730</v>
      </c>
      <c r="D855" s="82" t="s">
        <v>731</v>
      </c>
      <c r="E855" s="82" t="s">
        <v>2163</v>
      </c>
      <c r="F855" s="82" t="s">
        <v>730</v>
      </c>
      <c r="G855" s="82" t="s">
        <v>1946</v>
      </c>
      <c r="H855" s="82" t="s">
        <v>2165</v>
      </c>
      <c r="I855" s="82" t="s">
        <v>24</v>
      </c>
      <c r="J855" s="82" t="s">
        <v>2171</v>
      </c>
      <c r="K855" s="82" t="s">
        <v>2167</v>
      </c>
      <c r="L855" s="82" t="s">
        <v>1946</v>
      </c>
      <c r="M855" s="82" t="s">
        <v>2090</v>
      </c>
      <c r="N855" s="82" t="s">
        <v>1946</v>
      </c>
      <c r="O855" s="82" t="s">
        <v>2173</v>
      </c>
    </row>
    <row r="856" spans="1:15" ht="15.75" hidden="1" x14ac:dyDescent="0.25">
      <c r="A856" t="str">
        <f t="shared" si="13"/>
        <v>ALR_TIMEOUT_SPEGNIMENTO_RINFORZI_DIR_NORD-Allarme timeout spegnimento luci di rinforzo dir. Nord</v>
      </c>
      <c r="C856" s="82" t="s">
        <v>732</v>
      </c>
      <c r="D856" s="82" t="s">
        <v>733</v>
      </c>
      <c r="E856" s="82" t="s">
        <v>2163</v>
      </c>
      <c r="F856" s="82" t="s">
        <v>732</v>
      </c>
      <c r="G856" s="82" t="s">
        <v>1946</v>
      </c>
      <c r="H856" s="82" t="s">
        <v>2165</v>
      </c>
      <c r="I856" s="82" t="s">
        <v>24</v>
      </c>
      <c r="J856" s="82" t="s">
        <v>2171</v>
      </c>
      <c r="K856" s="82" t="s">
        <v>2167</v>
      </c>
      <c r="L856" s="82" t="s">
        <v>1946</v>
      </c>
      <c r="M856" s="82" t="s">
        <v>2090</v>
      </c>
      <c r="N856" s="82" t="s">
        <v>1946</v>
      </c>
      <c r="O856" s="82" t="s">
        <v>2173</v>
      </c>
    </row>
    <row r="857" spans="1:15" ht="15.75" hidden="1" x14ac:dyDescent="0.25">
      <c r="A857" t="str">
        <f t="shared" si="13"/>
        <v>ALR_TIMEOUT_SPEGNIMENTO_RINFORZI_DIR_SUD-Allarme timeout spegnimento luci di rinforzo dir. Sud</v>
      </c>
      <c r="C857" s="82" t="s">
        <v>734</v>
      </c>
      <c r="D857" s="82" t="s">
        <v>735</v>
      </c>
      <c r="E857" s="82" t="s">
        <v>2163</v>
      </c>
      <c r="F857" s="82" t="s">
        <v>734</v>
      </c>
      <c r="G857" s="82" t="s">
        <v>1946</v>
      </c>
      <c r="H857" s="82" t="s">
        <v>2165</v>
      </c>
      <c r="I857" s="82" t="s">
        <v>24</v>
      </c>
      <c r="J857" s="82" t="s">
        <v>2171</v>
      </c>
      <c r="K857" s="82" t="s">
        <v>2167</v>
      </c>
      <c r="L857" s="82" t="s">
        <v>1946</v>
      </c>
      <c r="M857" s="82" t="s">
        <v>2090</v>
      </c>
      <c r="N857" s="82" t="s">
        <v>1946</v>
      </c>
      <c r="O857" s="82" t="s">
        <v>2173</v>
      </c>
    </row>
    <row r="858" spans="1:15" ht="15.75" hidden="1" x14ac:dyDescent="0.25">
      <c r="A858" t="str">
        <f t="shared" si="13"/>
        <v>ALR_TIME_OUT_ASPIRAZIONE-Allarme time-out aspirazione</v>
      </c>
      <c r="C858" s="82" t="s">
        <v>1637</v>
      </c>
      <c r="D858" s="82" t="s">
        <v>1638</v>
      </c>
      <c r="E858" s="82" t="s">
        <v>2163</v>
      </c>
      <c r="F858" s="82" t="s">
        <v>1637</v>
      </c>
      <c r="G858" s="82" t="s">
        <v>1946</v>
      </c>
      <c r="H858" s="82" t="s">
        <v>2165</v>
      </c>
      <c r="I858" s="82" t="s">
        <v>24</v>
      </c>
      <c r="J858" s="82" t="s">
        <v>2171</v>
      </c>
      <c r="K858" s="82" t="s">
        <v>2167</v>
      </c>
      <c r="L858" s="82" t="s">
        <v>1946</v>
      </c>
      <c r="M858" s="82" t="s">
        <v>2090</v>
      </c>
      <c r="N858" s="82" t="s">
        <v>1946</v>
      </c>
      <c r="O858" s="82" t="s">
        <v>2173</v>
      </c>
    </row>
    <row r="859" spans="1:15" ht="15.75" hidden="1" x14ac:dyDescent="0.25">
      <c r="A859" t="str">
        <f t="shared" si="13"/>
        <v>ALR_TIME_OUT_IMMISSIONE-Allarme time-out immissione</v>
      </c>
      <c r="C859" s="82" t="s">
        <v>1640</v>
      </c>
      <c r="D859" s="82" t="s">
        <v>1641</v>
      </c>
      <c r="E859" s="82" t="s">
        <v>2163</v>
      </c>
      <c r="F859" s="82" t="s">
        <v>1640</v>
      </c>
      <c r="G859" s="82" t="s">
        <v>1946</v>
      </c>
      <c r="H859" s="82" t="s">
        <v>2165</v>
      </c>
      <c r="I859" s="82" t="s">
        <v>24</v>
      </c>
      <c r="J859" s="82" t="s">
        <v>2171</v>
      </c>
      <c r="K859" s="82" t="s">
        <v>2167</v>
      </c>
      <c r="L859" s="82" t="s">
        <v>1946</v>
      </c>
      <c r="M859" s="82" t="s">
        <v>2090</v>
      </c>
      <c r="N859" s="82" t="s">
        <v>1946</v>
      </c>
      <c r="O859" s="82" t="s">
        <v>2173</v>
      </c>
    </row>
    <row r="860" spans="1:15" ht="15.75" hidden="1" x14ac:dyDescent="0.25">
      <c r="A860" t="str">
        <f t="shared" si="13"/>
        <v>ALR_TIPO_A_ATTIVO-Allarme tipo A (secondo Uni EN 12845)</v>
      </c>
      <c r="C860" s="82" t="s">
        <v>736</v>
      </c>
      <c r="D860" s="82" t="s">
        <v>737</v>
      </c>
      <c r="E860" s="82" t="s">
        <v>2163</v>
      </c>
      <c r="F860" s="82" t="s">
        <v>736</v>
      </c>
      <c r="G860" s="82" t="s">
        <v>1946</v>
      </c>
      <c r="H860" s="82" t="s">
        <v>2165</v>
      </c>
      <c r="I860" s="82" t="s">
        <v>24</v>
      </c>
      <c r="J860" s="82" t="s">
        <v>2171</v>
      </c>
      <c r="K860" s="82" t="s">
        <v>2167</v>
      </c>
      <c r="L860" s="82" t="s">
        <v>1946</v>
      </c>
      <c r="M860" s="82" t="s">
        <v>2090</v>
      </c>
      <c r="N860" s="82" t="s">
        <v>1946</v>
      </c>
      <c r="O860" s="82" t="s">
        <v>2173</v>
      </c>
    </row>
    <row r="861" spans="1:15" ht="15.75" hidden="1" x14ac:dyDescent="0.25">
      <c r="A861" t="str">
        <f t="shared" si="13"/>
        <v>ALR_TIPO_A_NON_ATTIVO-Allarme tipo A non attivo</v>
      </c>
      <c r="C861" s="82" t="s">
        <v>2621</v>
      </c>
      <c r="D861" s="82" t="s">
        <v>2622</v>
      </c>
      <c r="E861" s="82" t="s">
        <v>2163</v>
      </c>
      <c r="F861" s="82" t="s">
        <v>2621</v>
      </c>
      <c r="G861" s="82" t="s">
        <v>1946</v>
      </c>
      <c r="H861" s="82" t="s">
        <v>2165</v>
      </c>
      <c r="I861" s="82" t="s">
        <v>24</v>
      </c>
      <c r="J861" s="82" t="s">
        <v>2171</v>
      </c>
      <c r="K861" s="82" t="s">
        <v>2167</v>
      </c>
      <c r="L861" s="82" t="s">
        <v>1946</v>
      </c>
      <c r="M861" s="82" t="s">
        <v>2090</v>
      </c>
      <c r="N861" s="82" t="s">
        <v>1946</v>
      </c>
      <c r="O861" s="82" t="s">
        <v>2173</v>
      </c>
    </row>
    <row r="862" spans="1:15" ht="15.75" hidden="1" x14ac:dyDescent="0.25">
      <c r="A862" t="str">
        <f t="shared" si="13"/>
        <v>ALR_TIPO_B_ATTIVO-Allarme tipo B (secondo Uni EN 12845)</v>
      </c>
      <c r="C862" s="82" t="s">
        <v>738</v>
      </c>
      <c r="D862" s="82" t="s">
        <v>739</v>
      </c>
      <c r="E862" s="82" t="s">
        <v>2163</v>
      </c>
      <c r="F862" s="82" t="s">
        <v>738</v>
      </c>
      <c r="G862" s="82" t="s">
        <v>1946</v>
      </c>
      <c r="H862" s="82" t="s">
        <v>2165</v>
      </c>
      <c r="I862" s="82" t="s">
        <v>24</v>
      </c>
      <c r="J862" s="82" t="s">
        <v>2171</v>
      </c>
      <c r="K862" s="82" t="s">
        <v>2167</v>
      </c>
      <c r="L862" s="82" t="s">
        <v>1946</v>
      </c>
      <c r="M862" s="82" t="s">
        <v>2090</v>
      </c>
      <c r="N862" s="82" t="s">
        <v>1946</v>
      </c>
      <c r="O862" s="82" t="s">
        <v>2173</v>
      </c>
    </row>
    <row r="863" spans="1:15" ht="15.75" hidden="1" x14ac:dyDescent="0.25">
      <c r="A863" t="str">
        <f t="shared" si="13"/>
        <v>ALR_TIPO_B_NON_ATTIVO-Allarme tipo B non attivo</v>
      </c>
      <c r="C863" s="82" t="s">
        <v>2623</v>
      </c>
      <c r="D863" s="82" t="s">
        <v>2624</v>
      </c>
      <c r="E863" s="82" t="s">
        <v>2163</v>
      </c>
      <c r="F863" s="82" t="s">
        <v>2623</v>
      </c>
      <c r="G863" s="82" t="s">
        <v>1946</v>
      </c>
      <c r="H863" s="82" t="s">
        <v>2165</v>
      </c>
      <c r="I863" s="82" t="s">
        <v>24</v>
      </c>
      <c r="J863" s="82" t="s">
        <v>2171</v>
      </c>
      <c r="K863" s="82" t="s">
        <v>2167</v>
      </c>
      <c r="L863" s="82" t="s">
        <v>1946</v>
      </c>
      <c r="M863" s="82" t="s">
        <v>2090</v>
      </c>
      <c r="N863" s="82" t="s">
        <v>1946</v>
      </c>
      <c r="O863" s="82" t="s">
        <v>2173</v>
      </c>
    </row>
    <row r="864" spans="1:15" ht="15.75" hidden="1" x14ac:dyDescent="0.25">
      <c r="A864" t="str">
        <f t="shared" si="13"/>
        <v>ALR_TIPO_GCB-Allarme tipo contattore generatore</v>
      </c>
      <c r="C864" s="82" t="s">
        <v>740</v>
      </c>
      <c r="D864" s="82" t="s">
        <v>741</v>
      </c>
      <c r="E864" s="82" t="s">
        <v>2163</v>
      </c>
      <c r="F864" s="82" t="s">
        <v>740</v>
      </c>
      <c r="G864" s="82" t="s">
        <v>1946</v>
      </c>
      <c r="H864" s="82" t="s">
        <v>2165</v>
      </c>
      <c r="I864" s="82" t="s">
        <v>24</v>
      </c>
      <c r="J864" s="82" t="s">
        <v>2171</v>
      </c>
      <c r="K864" s="82" t="s">
        <v>2167</v>
      </c>
      <c r="L864" s="82" t="s">
        <v>1946</v>
      </c>
      <c r="M864" s="82" t="s">
        <v>2090</v>
      </c>
      <c r="N864" s="82" t="s">
        <v>1946</v>
      </c>
      <c r="O864" s="82" t="s">
        <v>2173</v>
      </c>
    </row>
    <row r="865" spans="1:15" ht="15.75" hidden="1" x14ac:dyDescent="0.25">
      <c r="A865" t="str">
        <f t="shared" si="13"/>
        <v>ALR_TIPO_MCB-Allarme tipo contattore di rete</v>
      </c>
      <c r="C865" s="82" t="s">
        <v>742</v>
      </c>
      <c r="D865" s="82" t="s">
        <v>743</v>
      </c>
      <c r="E865" s="82" t="s">
        <v>2163</v>
      </c>
      <c r="F865" s="82" t="s">
        <v>742</v>
      </c>
      <c r="G865" s="82" t="s">
        <v>1946</v>
      </c>
      <c r="H865" s="82" t="s">
        <v>2165</v>
      </c>
      <c r="I865" s="82" t="s">
        <v>24</v>
      </c>
      <c r="J865" s="82" t="s">
        <v>2171</v>
      </c>
      <c r="K865" s="82" t="s">
        <v>2167</v>
      </c>
      <c r="L865" s="82" t="s">
        <v>1946</v>
      </c>
      <c r="M865" s="82" t="s">
        <v>2090</v>
      </c>
      <c r="N865" s="82" t="s">
        <v>1946</v>
      </c>
      <c r="O865" s="82" t="s">
        <v>2173</v>
      </c>
    </row>
    <row r="866" spans="1:15" ht="15.75" hidden="1" x14ac:dyDescent="0.25">
      <c r="A866" t="str">
        <f t="shared" si="13"/>
        <v>ALR_TLC_CONTESTO-Allarme telecamera di contesto</v>
      </c>
      <c r="C866" s="82" t="s">
        <v>1646</v>
      </c>
      <c r="D866" s="82" t="s">
        <v>1647</v>
      </c>
      <c r="E866" s="82" t="s">
        <v>2163</v>
      </c>
      <c r="F866" s="82" t="s">
        <v>1646</v>
      </c>
      <c r="G866" s="82" t="s">
        <v>1946</v>
      </c>
      <c r="H866" s="82" t="s">
        <v>2165</v>
      </c>
      <c r="I866" s="82" t="s">
        <v>24</v>
      </c>
      <c r="J866" s="82" t="s">
        <v>2171</v>
      </c>
      <c r="K866" s="82" t="s">
        <v>2167</v>
      </c>
      <c r="L866" s="82" t="s">
        <v>1946</v>
      </c>
      <c r="M866" s="82" t="s">
        <v>2090</v>
      </c>
      <c r="N866" s="82" t="s">
        <v>1946</v>
      </c>
      <c r="O866" s="82" t="s">
        <v>2173</v>
      </c>
    </row>
    <row r="867" spans="1:15" ht="15.75" hidden="1" x14ac:dyDescent="0.25">
      <c r="A867" t="str">
        <f t="shared" si="13"/>
        <v>ALR_TLC_TERMICA-Allarme telecamera Termica</v>
      </c>
      <c r="C867" s="82" t="s">
        <v>1649</v>
      </c>
      <c r="D867" s="82" t="s">
        <v>1650</v>
      </c>
      <c r="E867" s="82" t="s">
        <v>2163</v>
      </c>
      <c r="F867" s="82" t="s">
        <v>1649</v>
      </c>
      <c r="G867" s="82" t="s">
        <v>1946</v>
      </c>
      <c r="H867" s="82" t="s">
        <v>2165</v>
      </c>
      <c r="I867" s="82" t="s">
        <v>24</v>
      </c>
      <c r="J867" s="82" t="s">
        <v>2171</v>
      </c>
      <c r="K867" s="82" t="s">
        <v>2167</v>
      </c>
      <c r="L867" s="82" t="s">
        <v>1946</v>
      </c>
      <c r="M867" s="82" t="s">
        <v>2090</v>
      </c>
      <c r="N867" s="82" t="s">
        <v>1946</v>
      </c>
      <c r="O867" s="82" t="s">
        <v>2173</v>
      </c>
    </row>
    <row r="868" spans="1:15" ht="15.75" hidden="1" x14ac:dyDescent="0.25">
      <c r="A868" t="str">
        <f t="shared" si="13"/>
        <v>ALR_TRIP_I-Allarme Corrente</v>
      </c>
      <c r="C868" s="82" t="s">
        <v>1652</v>
      </c>
      <c r="D868" s="82" t="s">
        <v>1653</v>
      </c>
      <c r="E868" s="82" t="s">
        <v>2163</v>
      </c>
      <c r="F868" s="82" t="s">
        <v>1652</v>
      </c>
      <c r="G868" s="82" t="s">
        <v>1946</v>
      </c>
      <c r="H868" s="82" t="s">
        <v>2165</v>
      </c>
      <c r="I868" s="82" t="s">
        <v>24</v>
      </c>
      <c r="J868" s="82" t="s">
        <v>2171</v>
      </c>
      <c r="K868" s="82" t="s">
        <v>2167</v>
      </c>
      <c r="L868" s="82" t="s">
        <v>1946</v>
      </c>
      <c r="M868" s="82" t="s">
        <v>2090</v>
      </c>
      <c r="N868" s="82" t="s">
        <v>1946</v>
      </c>
      <c r="O868" s="82" t="s">
        <v>2173</v>
      </c>
    </row>
    <row r="869" spans="1:15" ht="15.75" hidden="1" x14ac:dyDescent="0.25">
      <c r="A869" t="str">
        <f t="shared" si="13"/>
        <v>ALR_TRIP_IE-Allarme Corrente Nominale</v>
      </c>
      <c r="C869" s="82" t="s">
        <v>1654</v>
      </c>
      <c r="D869" s="82" t="s">
        <v>1655</v>
      </c>
      <c r="E869" s="82" t="s">
        <v>2163</v>
      </c>
      <c r="F869" s="82" t="s">
        <v>1654</v>
      </c>
      <c r="G869" s="82" t="s">
        <v>1946</v>
      </c>
      <c r="H869" s="82" t="s">
        <v>2165</v>
      </c>
      <c r="I869" s="82" t="s">
        <v>24</v>
      </c>
      <c r="J869" s="82" t="s">
        <v>2171</v>
      </c>
      <c r="K869" s="82" t="s">
        <v>2167</v>
      </c>
      <c r="L869" s="82" t="s">
        <v>1946</v>
      </c>
      <c r="M869" s="82" t="s">
        <v>2090</v>
      </c>
      <c r="N869" s="82" t="s">
        <v>1946</v>
      </c>
      <c r="O869" s="82" t="s">
        <v>2173</v>
      </c>
    </row>
    <row r="870" spans="1:15" ht="15.75" hidden="1" x14ac:dyDescent="0.25">
      <c r="A870" t="str">
        <f t="shared" si="13"/>
        <v>ALR_TRIP_PROTEZIONE_10_1-Allarme trip Protezione 10 1</v>
      </c>
      <c r="C870" s="82" t="s">
        <v>744</v>
      </c>
      <c r="D870" s="82" t="s">
        <v>745</v>
      </c>
      <c r="E870" s="82" t="s">
        <v>2163</v>
      </c>
      <c r="F870" s="82" t="s">
        <v>744</v>
      </c>
      <c r="G870" s="82" t="s">
        <v>1946</v>
      </c>
      <c r="H870" s="82" t="s">
        <v>2165</v>
      </c>
      <c r="I870" s="82" t="s">
        <v>24</v>
      </c>
      <c r="J870" s="82" t="s">
        <v>2171</v>
      </c>
      <c r="K870" s="82" t="s">
        <v>2167</v>
      </c>
      <c r="L870" s="82" t="s">
        <v>1946</v>
      </c>
      <c r="M870" s="82" t="s">
        <v>2090</v>
      </c>
      <c r="N870" s="82" t="s">
        <v>1946</v>
      </c>
      <c r="O870" s="82" t="s">
        <v>2173</v>
      </c>
    </row>
    <row r="871" spans="1:15" ht="15.75" hidden="1" x14ac:dyDescent="0.25">
      <c r="A871" t="str">
        <f t="shared" si="13"/>
        <v>ALR_TRIP_PROTEZIONE_10_2-Allarme trip Protezione 10 2</v>
      </c>
      <c r="C871" s="82" t="s">
        <v>746</v>
      </c>
      <c r="D871" s="82" t="s">
        <v>747</v>
      </c>
      <c r="E871" s="82" t="s">
        <v>2163</v>
      </c>
      <c r="F871" s="82" t="s">
        <v>746</v>
      </c>
      <c r="G871" s="82" t="s">
        <v>1946</v>
      </c>
      <c r="H871" s="82" t="s">
        <v>2165</v>
      </c>
      <c r="I871" s="82" t="s">
        <v>24</v>
      </c>
      <c r="J871" s="82" t="s">
        <v>2171</v>
      </c>
      <c r="K871" s="82" t="s">
        <v>2167</v>
      </c>
      <c r="L871" s="82" t="s">
        <v>1946</v>
      </c>
      <c r="M871" s="82" t="s">
        <v>2090</v>
      </c>
      <c r="N871" s="82" t="s">
        <v>1946</v>
      </c>
      <c r="O871" s="82" t="s">
        <v>2173</v>
      </c>
    </row>
    <row r="872" spans="1:15" ht="15.75" hidden="1" x14ac:dyDescent="0.25">
      <c r="A872" t="str">
        <f t="shared" si="13"/>
        <v>ALR_TRIP_PROTEZIONE_27-Allarme trip Protezione 27</v>
      </c>
      <c r="C872" s="82" t="s">
        <v>748</v>
      </c>
      <c r="D872" s="82" t="s">
        <v>749</v>
      </c>
      <c r="E872" s="82" t="s">
        <v>2163</v>
      </c>
      <c r="F872" s="82" t="s">
        <v>748</v>
      </c>
      <c r="G872" s="82" t="s">
        <v>1946</v>
      </c>
      <c r="H872" s="82" t="s">
        <v>2165</v>
      </c>
      <c r="I872" s="82" t="s">
        <v>24</v>
      </c>
      <c r="J872" s="82" t="s">
        <v>2171</v>
      </c>
      <c r="K872" s="82" t="s">
        <v>2167</v>
      </c>
      <c r="L872" s="82" t="s">
        <v>1946</v>
      </c>
      <c r="M872" s="82" t="s">
        <v>2090</v>
      </c>
      <c r="N872" s="82" t="s">
        <v>1946</v>
      </c>
      <c r="O872" s="82" t="s">
        <v>2173</v>
      </c>
    </row>
    <row r="873" spans="1:15" ht="15.75" hidden="1" x14ac:dyDescent="0.25">
      <c r="A873" t="str">
        <f t="shared" si="13"/>
        <v>ALR_TRIP_PROTEZIONE_67N_S1-Allarme trip Protezione 67N S1</v>
      </c>
      <c r="C873" s="82" t="s">
        <v>750</v>
      </c>
      <c r="D873" s="82" t="s">
        <v>751</v>
      </c>
      <c r="E873" s="82" t="s">
        <v>2163</v>
      </c>
      <c r="F873" s="82" t="s">
        <v>750</v>
      </c>
      <c r="G873" s="82" t="s">
        <v>1946</v>
      </c>
      <c r="H873" s="82" t="s">
        <v>2165</v>
      </c>
      <c r="I873" s="82" t="s">
        <v>24</v>
      </c>
      <c r="J873" s="82" t="s">
        <v>2171</v>
      </c>
      <c r="K873" s="82" t="s">
        <v>2167</v>
      </c>
      <c r="L873" s="82" t="s">
        <v>1946</v>
      </c>
      <c r="M873" s="82" t="s">
        <v>2090</v>
      </c>
      <c r="N873" s="82" t="s">
        <v>1946</v>
      </c>
      <c r="O873" s="82" t="s">
        <v>2173</v>
      </c>
    </row>
    <row r="874" spans="1:15" ht="15.75" hidden="1" x14ac:dyDescent="0.25">
      <c r="A874" t="str">
        <f t="shared" si="13"/>
        <v>ALR_TRIP_PROTEZIONE_67N_S2-Allarme trip Protezione 67N S2</v>
      </c>
      <c r="C874" s="82" t="s">
        <v>752</v>
      </c>
      <c r="D874" s="82" t="s">
        <v>2625</v>
      </c>
      <c r="E874" s="82" t="s">
        <v>2163</v>
      </c>
      <c r="F874" s="82" t="s">
        <v>752</v>
      </c>
      <c r="G874" s="82" t="s">
        <v>1946</v>
      </c>
      <c r="H874" s="82" t="s">
        <v>2165</v>
      </c>
      <c r="I874" s="82" t="s">
        <v>24</v>
      </c>
      <c r="J874" s="82" t="s">
        <v>2171</v>
      </c>
      <c r="K874" s="82" t="s">
        <v>2167</v>
      </c>
      <c r="L874" s="82" t="s">
        <v>1946</v>
      </c>
      <c r="M874" s="82" t="s">
        <v>2090</v>
      </c>
      <c r="N874" s="82" t="s">
        <v>1946</v>
      </c>
      <c r="O874" s="82" t="s">
        <v>2173</v>
      </c>
    </row>
    <row r="875" spans="1:15" ht="15.75" hidden="1" x14ac:dyDescent="0.25">
      <c r="A875" t="str">
        <f t="shared" si="13"/>
        <v>ALR_TRIP_PROTEZIONE_I1-Allarme trip Protezione I1</v>
      </c>
      <c r="C875" s="82" t="s">
        <v>1979</v>
      </c>
      <c r="D875" s="82" t="s">
        <v>1980</v>
      </c>
      <c r="E875" s="82" t="s">
        <v>2163</v>
      </c>
      <c r="F875" s="82" t="s">
        <v>1979</v>
      </c>
      <c r="G875" s="82" t="s">
        <v>1946</v>
      </c>
      <c r="H875" s="82" t="s">
        <v>2165</v>
      </c>
      <c r="I875" s="82" t="s">
        <v>24</v>
      </c>
      <c r="J875" s="82" t="s">
        <v>2171</v>
      </c>
      <c r="K875" s="82" t="s">
        <v>2167</v>
      </c>
      <c r="L875" s="82" t="s">
        <v>1946</v>
      </c>
      <c r="M875" s="82" t="s">
        <v>2090</v>
      </c>
      <c r="N875" s="82" t="s">
        <v>1946</v>
      </c>
      <c r="O875" s="82" t="s">
        <v>2173</v>
      </c>
    </row>
    <row r="876" spans="1:15" ht="15.75" hidden="1" x14ac:dyDescent="0.25">
      <c r="A876" t="str">
        <f t="shared" si="13"/>
        <v>ALR_TRIP_PROTEZIONE_I2-Allarme trip Protezione I2</v>
      </c>
      <c r="C876" s="82" t="s">
        <v>1982</v>
      </c>
      <c r="D876" s="82" t="s">
        <v>1983</v>
      </c>
      <c r="E876" s="82" t="s">
        <v>2163</v>
      </c>
      <c r="F876" s="82" t="s">
        <v>1982</v>
      </c>
      <c r="G876" s="82" t="s">
        <v>1946</v>
      </c>
      <c r="H876" s="82" t="s">
        <v>2165</v>
      </c>
      <c r="I876" s="82" t="s">
        <v>24</v>
      </c>
      <c r="J876" s="82" t="s">
        <v>2171</v>
      </c>
      <c r="K876" s="82" t="s">
        <v>2167</v>
      </c>
      <c r="L876" s="82" t="s">
        <v>1946</v>
      </c>
      <c r="M876" s="82" t="s">
        <v>2090</v>
      </c>
      <c r="N876" s="82" t="s">
        <v>1946</v>
      </c>
      <c r="O876" s="82" t="s">
        <v>2173</v>
      </c>
    </row>
    <row r="877" spans="1:15" ht="15.75" hidden="1" x14ac:dyDescent="0.25">
      <c r="A877" t="str">
        <f t="shared" si="13"/>
        <v>ALR_TRIP_PROTEZIONE_I3-Allarme trip Protezione I3</v>
      </c>
      <c r="C877" s="82" t="s">
        <v>1984</v>
      </c>
      <c r="D877" s="82" t="s">
        <v>1985</v>
      </c>
      <c r="E877" s="82" t="s">
        <v>2163</v>
      </c>
      <c r="F877" s="82" t="s">
        <v>1984</v>
      </c>
      <c r="G877" s="82" t="s">
        <v>1946</v>
      </c>
      <c r="H877" s="82" t="s">
        <v>2165</v>
      </c>
      <c r="I877" s="82" t="s">
        <v>24</v>
      </c>
      <c r="J877" s="82" t="s">
        <v>2171</v>
      </c>
      <c r="K877" s="82" t="s">
        <v>2167</v>
      </c>
      <c r="L877" s="82" t="s">
        <v>1946</v>
      </c>
      <c r="M877" s="82" t="s">
        <v>2090</v>
      </c>
      <c r="N877" s="82" t="s">
        <v>1946</v>
      </c>
      <c r="O877" s="82" t="s">
        <v>2173</v>
      </c>
    </row>
    <row r="878" spans="1:15" ht="15.75" hidden="1" x14ac:dyDescent="0.25">
      <c r="A878" t="str">
        <f t="shared" si="13"/>
        <v>ALR_UPS_ANOMALIA_BYPASS-Allarme ups anomalia bypass</v>
      </c>
      <c r="C878" s="82" t="s">
        <v>754</v>
      </c>
      <c r="D878" s="82" t="s">
        <v>755</v>
      </c>
      <c r="E878" s="82" t="s">
        <v>2163</v>
      </c>
      <c r="F878" s="82" t="s">
        <v>754</v>
      </c>
      <c r="G878" s="82" t="s">
        <v>1946</v>
      </c>
      <c r="H878" s="82" t="s">
        <v>2165</v>
      </c>
      <c r="I878" s="82" t="s">
        <v>24</v>
      </c>
      <c r="J878" s="82" t="s">
        <v>2171</v>
      </c>
      <c r="K878" s="82" t="s">
        <v>2167</v>
      </c>
      <c r="L878" s="82" t="s">
        <v>1946</v>
      </c>
      <c r="M878" s="82" t="s">
        <v>2090</v>
      </c>
      <c r="N878" s="82" t="s">
        <v>1946</v>
      </c>
      <c r="O878" s="82" t="s">
        <v>2173</v>
      </c>
    </row>
    <row r="879" spans="1:15" ht="15.75" hidden="1" x14ac:dyDescent="0.25">
      <c r="A879" t="str">
        <f t="shared" si="13"/>
        <v>ALR_UPS_ANOMALIA_GRUPPO_STATICO_CONTINUITA-Allarme anomalia UPS</v>
      </c>
      <c r="C879" s="82" t="s">
        <v>756</v>
      </c>
      <c r="D879" s="82" t="s">
        <v>757</v>
      </c>
      <c r="E879" s="82" t="s">
        <v>2163</v>
      </c>
      <c r="F879" s="82" t="s">
        <v>756</v>
      </c>
      <c r="G879" s="82" t="s">
        <v>1946</v>
      </c>
      <c r="H879" s="82" t="s">
        <v>2165</v>
      </c>
      <c r="I879" s="82" t="s">
        <v>24</v>
      </c>
      <c r="J879" s="82" t="s">
        <v>2171</v>
      </c>
      <c r="K879" s="82" t="s">
        <v>2167</v>
      </c>
      <c r="L879" s="82" t="s">
        <v>1946</v>
      </c>
      <c r="M879" s="82" t="s">
        <v>2090</v>
      </c>
      <c r="N879" s="82" t="s">
        <v>1946</v>
      </c>
      <c r="O879" s="82" t="s">
        <v>2173</v>
      </c>
    </row>
    <row r="880" spans="1:15" ht="15.75" hidden="1" x14ac:dyDescent="0.25">
      <c r="A880" t="str">
        <f t="shared" si="13"/>
        <v>ALR_UPS_ATTIVO-Allarme UPS Attivo</v>
      </c>
      <c r="C880" s="82" t="s">
        <v>1966</v>
      </c>
      <c r="D880" s="82" t="s">
        <v>1967</v>
      </c>
      <c r="E880" s="82" t="s">
        <v>2163</v>
      </c>
      <c r="F880" s="82" t="s">
        <v>1966</v>
      </c>
      <c r="G880" s="82" t="s">
        <v>1946</v>
      </c>
      <c r="H880" s="82" t="s">
        <v>2165</v>
      </c>
      <c r="I880" s="82" t="s">
        <v>24</v>
      </c>
      <c r="J880" s="82" t="s">
        <v>2171</v>
      </c>
      <c r="K880" s="82" t="s">
        <v>2167</v>
      </c>
      <c r="L880" s="82" t="s">
        <v>1946</v>
      </c>
      <c r="M880" s="82" t="s">
        <v>2090</v>
      </c>
      <c r="N880" s="82" t="s">
        <v>1946</v>
      </c>
      <c r="O880" s="82" t="s">
        <v>2173</v>
      </c>
    </row>
    <row r="881" spans="1:15" ht="15.75" hidden="1" x14ac:dyDescent="0.25">
      <c r="A881" t="str">
        <f t="shared" si="13"/>
        <v>ALR_UPS_BACKUP-Allarme ups backup</v>
      </c>
      <c r="C881" s="82" t="s">
        <v>758</v>
      </c>
      <c r="D881" s="82" t="s">
        <v>759</v>
      </c>
      <c r="E881" s="82" t="s">
        <v>2163</v>
      </c>
      <c r="F881" s="82" t="s">
        <v>758</v>
      </c>
      <c r="G881" s="82" t="s">
        <v>1946</v>
      </c>
      <c r="H881" s="82" t="s">
        <v>2165</v>
      </c>
      <c r="I881" s="82" t="s">
        <v>24</v>
      </c>
      <c r="J881" s="82" t="s">
        <v>2171</v>
      </c>
      <c r="K881" s="82" t="s">
        <v>2167</v>
      </c>
      <c r="L881" s="82" t="s">
        <v>1946</v>
      </c>
      <c r="M881" s="82" t="s">
        <v>2090</v>
      </c>
      <c r="N881" s="82" t="s">
        <v>1946</v>
      </c>
      <c r="O881" s="82" t="s">
        <v>2173</v>
      </c>
    </row>
    <row r="882" spans="1:15" ht="15.75" hidden="1" x14ac:dyDescent="0.25">
      <c r="A882" t="str">
        <f t="shared" si="13"/>
        <v>ALR_UPS_BATTERIA_GUASTA-Allarme batteria guasta</v>
      </c>
      <c r="C882" s="82" t="s">
        <v>760</v>
      </c>
      <c r="D882" s="82" t="s">
        <v>761</v>
      </c>
      <c r="E882" s="82" t="s">
        <v>2163</v>
      </c>
      <c r="F882" s="82" t="s">
        <v>760</v>
      </c>
      <c r="G882" s="82" t="s">
        <v>1946</v>
      </c>
      <c r="H882" s="82" t="s">
        <v>2165</v>
      </c>
      <c r="I882" s="82" t="s">
        <v>24</v>
      </c>
      <c r="J882" s="82" t="s">
        <v>2171</v>
      </c>
      <c r="K882" s="82" t="s">
        <v>2167</v>
      </c>
      <c r="L882" s="82" t="s">
        <v>1946</v>
      </c>
      <c r="M882" s="82" t="s">
        <v>2090</v>
      </c>
      <c r="N882" s="82" t="s">
        <v>1946</v>
      </c>
      <c r="O882" s="82" t="s">
        <v>2173</v>
      </c>
    </row>
    <row r="883" spans="1:15" ht="15.75" hidden="1" x14ac:dyDescent="0.25">
      <c r="A883" t="str">
        <f t="shared" si="13"/>
        <v>ALR_UPS_BLOCCATO-Allarme ups bloccato</v>
      </c>
      <c r="C883" s="82" t="s">
        <v>1656</v>
      </c>
      <c r="D883" s="82" t="s">
        <v>1657</v>
      </c>
      <c r="E883" s="82" t="s">
        <v>2163</v>
      </c>
      <c r="F883" s="82" t="s">
        <v>1656</v>
      </c>
      <c r="G883" s="82" t="s">
        <v>1946</v>
      </c>
      <c r="H883" s="82" t="s">
        <v>2165</v>
      </c>
      <c r="I883" s="82" t="s">
        <v>24</v>
      </c>
      <c r="J883" s="82" t="s">
        <v>2171</v>
      </c>
      <c r="K883" s="82" t="s">
        <v>2167</v>
      </c>
      <c r="L883" s="82" t="s">
        <v>1946</v>
      </c>
      <c r="M883" s="82" t="s">
        <v>2090</v>
      </c>
      <c r="N883" s="82" t="s">
        <v>1946</v>
      </c>
      <c r="O883" s="82" t="s">
        <v>2173</v>
      </c>
    </row>
    <row r="884" spans="1:15" ht="15.75" hidden="1" x14ac:dyDescent="0.25">
      <c r="A884" t="str">
        <f t="shared" si="13"/>
        <v>ALR_UPS_GENERICO-Allarme generico UPS</v>
      </c>
      <c r="C884" s="82" t="s">
        <v>762</v>
      </c>
      <c r="D884" s="82" t="s">
        <v>763</v>
      </c>
      <c r="E884" s="82" t="s">
        <v>2163</v>
      </c>
      <c r="F884" s="82" t="s">
        <v>762</v>
      </c>
      <c r="G884" s="82" t="s">
        <v>1946</v>
      </c>
      <c r="H884" s="82" t="s">
        <v>2165</v>
      </c>
      <c r="I884" s="82" t="s">
        <v>24</v>
      </c>
      <c r="J884" s="82" t="s">
        <v>2171</v>
      </c>
      <c r="K884" s="82" t="s">
        <v>2167</v>
      </c>
      <c r="L884" s="82" t="s">
        <v>1946</v>
      </c>
      <c r="M884" s="82" t="s">
        <v>2090</v>
      </c>
      <c r="N884" s="82" t="s">
        <v>1946</v>
      </c>
      <c r="O884" s="82" t="s">
        <v>2173</v>
      </c>
    </row>
    <row r="885" spans="1:15" ht="15.75" hidden="1" x14ac:dyDescent="0.25">
      <c r="A885" t="str">
        <f t="shared" si="13"/>
        <v>ALR_UPS_INVERTER_ATTIVO-Allarme inverter Attivo</v>
      </c>
      <c r="C885" s="82" t="s">
        <v>1662</v>
      </c>
      <c r="D885" s="82" t="s">
        <v>1663</v>
      </c>
      <c r="E885" s="82" t="s">
        <v>2163</v>
      </c>
      <c r="F885" s="82" t="s">
        <v>1662</v>
      </c>
      <c r="G885" s="82" t="s">
        <v>1946</v>
      </c>
      <c r="H885" s="82" t="s">
        <v>2165</v>
      </c>
      <c r="I885" s="82" t="s">
        <v>24</v>
      </c>
      <c r="J885" s="82" t="s">
        <v>2171</v>
      </c>
      <c r="K885" s="82" t="s">
        <v>2167</v>
      </c>
      <c r="L885" s="82" t="s">
        <v>1946</v>
      </c>
      <c r="M885" s="82" t="s">
        <v>2090</v>
      </c>
      <c r="N885" s="82" t="s">
        <v>1946</v>
      </c>
      <c r="O885" s="82" t="s">
        <v>2173</v>
      </c>
    </row>
    <row r="886" spans="1:15" ht="15.75" hidden="1" x14ac:dyDescent="0.25">
      <c r="A886" t="str">
        <f t="shared" si="13"/>
        <v>ALR_UPS_INVERTER_GUASTO-Allarme UPS Inverter guasto</v>
      </c>
      <c r="C886" s="82" t="s">
        <v>767</v>
      </c>
      <c r="D886" s="82" t="s">
        <v>768</v>
      </c>
      <c r="E886" s="82" t="s">
        <v>2163</v>
      </c>
      <c r="F886" s="82" t="s">
        <v>767</v>
      </c>
      <c r="G886" s="82" t="s">
        <v>1946</v>
      </c>
      <c r="H886" s="82" t="s">
        <v>2165</v>
      </c>
      <c r="I886" s="82" t="s">
        <v>24</v>
      </c>
      <c r="J886" s="82" t="s">
        <v>2171</v>
      </c>
      <c r="K886" s="82" t="s">
        <v>2167</v>
      </c>
      <c r="L886" s="82" t="s">
        <v>1946</v>
      </c>
      <c r="M886" s="82" t="s">
        <v>2090</v>
      </c>
      <c r="N886" s="82" t="s">
        <v>1946</v>
      </c>
      <c r="O886" s="82" t="s">
        <v>2173</v>
      </c>
    </row>
    <row r="887" spans="1:15" ht="15.75" hidden="1" x14ac:dyDescent="0.25">
      <c r="A887" t="str">
        <f t="shared" si="13"/>
        <v>ALR_UPS_IN_BATTERIA-Allarme UPS in batteria</v>
      </c>
      <c r="C887" s="82" t="s">
        <v>1658</v>
      </c>
      <c r="D887" s="82" t="s">
        <v>1659</v>
      </c>
      <c r="E887" s="82" t="s">
        <v>2163</v>
      </c>
      <c r="F887" s="82" t="s">
        <v>1658</v>
      </c>
      <c r="G887" s="82" t="s">
        <v>1946</v>
      </c>
      <c r="H887" s="82" t="s">
        <v>2165</v>
      </c>
      <c r="I887" s="82" t="s">
        <v>24</v>
      </c>
      <c r="J887" s="82" t="s">
        <v>2171</v>
      </c>
      <c r="K887" s="82" t="s">
        <v>2167</v>
      </c>
      <c r="L887" s="82" t="s">
        <v>1946</v>
      </c>
      <c r="M887" s="82" t="s">
        <v>2090</v>
      </c>
      <c r="N887" s="82" t="s">
        <v>1946</v>
      </c>
      <c r="O887" s="82" t="s">
        <v>2173</v>
      </c>
    </row>
    <row r="888" spans="1:15" ht="15.75" hidden="1" x14ac:dyDescent="0.25">
      <c r="A888" t="str">
        <f t="shared" si="13"/>
        <v>ALR_UPS_IN_BYPASS-Allarme UPS in bypass</v>
      </c>
      <c r="C888" s="82" t="s">
        <v>1660</v>
      </c>
      <c r="D888" s="82" t="s">
        <v>1661</v>
      </c>
      <c r="E888" s="82" t="s">
        <v>2163</v>
      </c>
      <c r="F888" s="82" t="s">
        <v>1660</v>
      </c>
      <c r="G888" s="82" t="s">
        <v>1946</v>
      </c>
      <c r="H888" s="82" t="s">
        <v>2165</v>
      </c>
      <c r="I888" s="82" t="s">
        <v>24</v>
      </c>
      <c r="J888" s="82" t="s">
        <v>2171</v>
      </c>
      <c r="K888" s="82" t="s">
        <v>2167</v>
      </c>
      <c r="L888" s="82" t="s">
        <v>1946</v>
      </c>
      <c r="M888" s="82" t="s">
        <v>2090</v>
      </c>
      <c r="N888" s="82" t="s">
        <v>1946</v>
      </c>
      <c r="O888" s="82" t="s">
        <v>2173</v>
      </c>
    </row>
    <row r="889" spans="1:15" ht="15.75" hidden="1" x14ac:dyDescent="0.25">
      <c r="A889" t="str">
        <f t="shared" si="13"/>
        <v>ALR_UPS_IN_RISERVA-Allarme UPS carico in riserva</v>
      </c>
      <c r="C889" s="82" t="s">
        <v>764</v>
      </c>
      <c r="D889" s="82" t="s">
        <v>765</v>
      </c>
      <c r="E889" s="82" t="s">
        <v>2163</v>
      </c>
      <c r="F889" s="82" t="s">
        <v>764</v>
      </c>
      <c r="G889" s="82" t="s">
        <v>1946</v>
      </c>
      <c r="H889" s="82" t="s">
        <v>2165</v>
      </c>
      <c r="I889" s="82" t="s">
        <v>24</v>
      </c>
      <c r="J889" s="82" t="s">
        <v>2171</v>
      </c>
      <c r="K889" s="82" t="s">
        <v>2167</v>
      </c>
      <c r="L889" s="82" t="s">
        <v>1946</v>
      </c>
      <c r="M889" s="82" t="s">
        <v>2090</v>
      </c>
      <c r="N889" s="82" t="s">
        <v>1946</v>
      </c>
      <c r="O889" s="82" t="s">
        <v>2173</v>
      </c>
    </row>
    <row r="890" spans="1:15" ht="15.75" hidden="1" x14ac:dyDescent="0.25">
      <c r="A890" t="str">
        <f t="shared" si="13"/>
        <v>ALR_UPS_IN_SCARICA-Allarme batteria in scarica</v>
      </c>
      <c r="C890" s="82" t="s">
        <v>766</v>
      </c>
      <c r="D890" s="82" t="s">
        <v>477</v>
      </c>
      <c r="E890" s="82" t="s">
        <v>2163</v>
      </c>
      <c r="F890" s="82" t="s">
        <v>766</v>
      </c>
      <c r="G890" s="82" t="s">
        <v>1946</v>
      </c>
      <c r="H890" s="82" t="s">
        <v>2165</v>
      </c>
      <c r="I890" s="82" t="s">
        <v>24</v>
      </c>
      <c r="J890" s="82" t="s">
        <v>2171</v>
      </c>
      <c r="K890" s="82" t="s">
        <v>2167</v>
      </c>
      <c r="L890" s="82" t="s">
        <v>1946</v>
      </c>
      <c r="M890" s="82" t="s">
        <v>2090</v>
      </c>
      <c r="N890" s="82" t="s">
        <v>1946</v>
      </c>
      <c r="O890" s="82" t="s">
        <v>2173</v>
      </c>
    </row>
    <row r="891" spans="1:15" ht="15.75" hidden="1" x14ac:dyDescent="0.25">
      <c r="A891" t="str">
        <f t="shared" si="13"/>
        <v>ALR_UPS_NON_ALIMENTATO-Allarme ups non alimentato</v>
      </c>
      <c r="C891" s="82" t="s">
        <v>769</v>
      </c>
      <c r="D891" s="82" t="s">
        <v>770</v>
      </c>
      <c r="E891" s="82" t="s">
        <v>2163</v>
      </c>
      <c r="F891" s="82" t="s">
        <v>769</v>
      </c>
      <c r="G891" s="82" t="s">
        <v>1946</v>
      </c>
      <c r="H891" s="82" t="s">
        <v>2165</v>
      </c>
      <c r="I891" s="82" t="s">
        <v>24</v>
      </c>
      <c r="J891" s="82" t="s">
        <v>2171</v>
      </c>
      <c r="K891" s="82" t="s">
        <v>2167</v>
      </c>
      <c r="L891" s="82" t="s">
        <v>1946</v>
      </c>
      <c r="M891" s="82" t="s">
        <v>2090</v>
      </c>
      <c r="N891" s="82" t="s">
        <v>1946</v>
      </c>
      <c r="O891" s="82" t="s">
        <v>2173</v>
      </c>
    </row>
    <row r="892" spans="1:15" ht="15.75" hidden="1" x14ac:dyDescent="0.25">
      <c r="A892" t="str">
        <f t="shared" si="13"/>
        <v>ALR_UPS_SCARICO-Allarme batteria scarica</v>
      </c>
      <c r="C892" s="82" t="s">
        <v>771</v>
      </c>
      <c r="D892" s="82" t="s">
        <v>169</v>
      </c>
      <c r="E892" s="82" t="s">
        <v>2163</v>
      </c>
      <c r="F892" s="82" t="s">
        <v>771</v>
      </c>
      <c r="G892" s="82" t="s">
        <v>1946</v>
      </c>
      <c r="H892" s="82" t="s">
        <v>2165</v>
      </c>
      <c r="I892" s="82" t="s">
        <v>24</v>
      </c>
      <c r="J892" s="82" t="s">
        <v>2171</v>
      </c>
      <c r="K892" s="82" t="s">
        <v>2167</v>
      </c>
      <c r="L892" s="82" t="s">
        <v>1946</v>
      </c>
      <c r="M892" s="82" t="s">
        <v>2090</v>
      </c>
      <c r="N892" s="82" t="s">
        <v>1946</v>
      </c>
      <c r="O892" s="82" t="s">
        <v>2173</v>
      </c>
    </row>
    <row r="893" spans="1:15" ht="15.75" hidden="1" x14ac:dyDescent="0.25">
      <c r="A893" t="str">
        <f t="shared" si="13"/>
        <v>ALR_UPS_SOVRA-CARICO-Allarme UPS Inverter sovra carico</v>
      </c>
      <c r="C893" s="82" t="s">
        <v>772</v>
      </c>
      <c r="D893" s="82" t="s">
        <v>773</v>
      </c>
      <c r="E893" s="82" t="s">
        <v>2163</v>
      </c>
      <c r="F893" s="82" t="s">
        <v>772</v>
      </c>
      <c r="G893" s="82" t="s">
        <v>1946</v>
      </c>
      <c r="H893" s="82" t="s">
        <v>2165</v>
      </c>
      <c r="I893" s="82" t="s">
        <v>24</v>
      </c>
      <c r="J893" s="82" t="s">
        <v>2171</v>
      </c>
      <c r="K893" s="82" t="s">
        <v>2167</v>
      </c>
      <c r="L893" s="82" t="s">
        <v>1946</v>
      </c>
      <c r="M893" s="82" t="s">
        <v>2090</v>
      </c>
      <c r="N893" s="82" t="s">
        <v>1946</v>
      </c>
      <c r="O893" s="82" t="s">
        <v>2173</v>
      </c>
    </row>
    <row r="894" spans="1:15" ht="15.75" hidden="1" x14ac:dyDescent="0.25">
      <c r="A894" t="str">
        <f t="shared" si="13"/>
        <v>ALR_UPS_SOVRA-CARICO_IN_INGRESSO-Allarme UPS Inverter sovra carico in ingresso</v>
      </c>
      <c r="C894" s="82" t="s">
        <v>1664</v>
      </c>
      <c r="D894" s="82" t="s">
        <v>1665</v>
      </c>
      <c r="E894" s="82" t="s">
        <v>2163</v>
      </c>
      <c r="F894" s="82" t="s">
        <v>1664</v>
      </c>
      <c r="G894" s="82" t="s">
        <v>1946</v>
      </c>
      <c r="H894" s="82" t="s">
        <v>2165</v>
      </c>
      <c r="I894" s="82" t="s">
        <v>24</v>
      </c>
      <c r="J894" s="82" t="s">
        <v>2171</v>
      </c>
      <c r="K894" s="82" t="s">
        <v>2167</v>
      </c>
      <c r="L894" s="82" t="s">
        <v>1946</v>
      </c>
      <c r="M894" s="82" t="s">
        <v>2090</v>
      </c>
      <c r="N894" s="82" t="s">
        <v>1946</v>
      </c>
      <c r="O894" s="82" t="s">
        <v>2173</v>
      </c>
    </row>
    <row r="895" spans="1:15" ht="15.75" hidden="1" x14ac:dyDescent="0.25">
      <c r="A895" t="str">
        <f t="shared" si="13"/>
        <v>ALR_UPS_SU_BYPASS-Allarme UPS su bypass</v>
      </c>
      <c r="C895" s="82" t="s">
        <v>774</v>
      </c>
      <c r="D895" s="82" t="s">
        <v>775</v>
      </c>
      <c r="E895" s="82" t="s">
        <v>2163</v>
      </c>
      <c r="F895" s="82" t="s">
        <v>774</v>
      </c>
      <c r="G895" s="82" t="s">
        <v>1946</v>
      </c>
      <c r="H895" s="82" t="s">
        <v>2165</v>
      </c>
      <c r="I895" s="82" t="s">
        <v>24</v>
      </c>
      <c r="J895" s="82" t="s">
        <v>2171</v>
      </c>
      <c r="K895" s="82" t="s">
        <v>2167</v>
      </c>
      <c r="L895" s="82" t="s">
        <v>1946</v>
      </c>
      <c r="M895" s="82" t="s">
        <v>2090</v>
      </c>
      <c r="N895" s="82" t="s">
        <v>1946</v>
      </c>
      <c r="O895" s="82" t="s">
        <v>2173</v>
      </c>
    </row>
    <row r="896" spans="1:15" ht="15.75" hidden="1" x14ac:dyDescent="0.25">
      <c r="A896" t="str">
        <f t="shared" si="13"/>
        <v>ALR_UPS_TEST_IN_CORSO-Allarme ups test in corso</v>
      </c>
      <c r="C896" s="82" t="s">
        <v>2626</v>
      </c>
      <c r="D896" s="82" t="s">
        <v>2627</v>
      </c>
      <c r="E896" s="82" t="s">
        <v>2163</v>
      </c>
      <c r="F896" s="82" t="s">
        <v>2626</v>
      </c>
      <c r="G896" s="82" t="s">
        <v>1946</v>
      </c>
      <c r="H896" s="82" t="s">
        <v>2165</v>
      </c>
      <c r="I896" s="82" t="s">
        <v>24</v>
      </c>
      <c r="J896" s="82" t="s">
        <v>2171</v>
      </c>
      <c r="K896" s="82" t="s">
        <v>2167</v>
      </c>
      <c r="L896" s="82" t="s">
        <v>1946</v>
      </c>
      <c r="M896" s="82" t="s">
        <v>2090</v>
      </c>
      <c r="N896" s="82" t="s">
        <v>1946</v>
      </c>
      <c r="O896" s="82" t="s">
        <v>2173</v>
      </c>
    </row>
    <row r="897" spans="1:15" ht="15.75" hidden="1" x14ac:dyDescent="0.25">
      <c r="A897" t="str">
        <f t="shared" si="13"/>
        <v>ALR_VARIATORE-Chiusura Allarme variatore</v>
      </c>
      <c r="C897" s="82" t="s">
        <v>2628</v>
      </c>
      <c r="D897" s="82" t="s">
        <v>2629</v>
      </c>
      <c r="E897" s="82" t="s">
        <v>2163</v>
      </c>
      <c r="F897" s="82" t="s">
        <v>2628</v>
      </c>
      <c r="G897" s="82" t="s">
        <v>1946</v>
      </c>
      <c r="H897" s="82" t="s">
        <v>2165</v>
      </c>
      <c r="I897" s="82" t="s">
        <v>24</v>
      </c>
      <c r="J897" s="82" t="s">
        <v>2171</v>
      </c>
      <c r="K897" s="82" t="s">
        <v>2167</v>
      </c>
      <c r="L897" s="82" t="s">
        <v>1946</v>
      </c>
      <c r="M897" s="82" t="s">
        <v>2090</v>
      </c>
      <c r="N897" s="82" t="s">
        <v>1946</v>
      </c>
      <c r="O897" s="82" t="s">
        <v>2173</v>
      </c>
    </row>
    <row r="898" spans="1:15" ht="15.75" hidden="1" x14ac:dyDescent="0.25">
      <c r="A898" t="str">
        <f t="shared" si="13"/>
        <v>ALR_VENTILATORE_NON_PRONTO-Allarme Ventilatore non pronto</v>
      </c>
      <c r="C898" s="82" t="s">
        <v>776</v>
      </c>
      <c r="D898" s="82" t="s">
        <v>777</v>
      </c>
      <c r="E898" s="82" t="s">
        <v>2163</v>
      </c>
      <c r="F898" s="82" t="s">
        <v>776</v>
      </c>
      <c r="G898" s="82" t="s">
        <v>1946</v>
      </c>
      <c r="H898" s="82" t="s">
        <v>2165</v>
      </c>
      <c r="I898" s="82" t="s">
        <v>24</v>
      </c>
      <c r="J898" s="82" t="s">
        <v>2171</v>
      </c>
      <c r="K898" s="82" t="s">
        <v>2167</v>
      </c>
      <c r="L898" s="82" t="s">
        <v>1946</v>
      </c>
      <c r="M898" s="82" t="s">
        <v>2090</v>
      </c>
      <c r="N898" s="82" t="s">
        <v>1946</v>
      </c>
      <c r="O898" s="82" t="s">
        <v>2173</v>
      </c>
    </row>
    <row r="899" spans="1:15" ht="15.75" hidden="1" x14ac:dyDescent="0.25">
      <c r="A899" t="str">
        <f t="shared" ref="A899:A962" si="14">CONCATENATE(F899,"-",D899)</f>
        <v>ALR_VENTILATORI_IN_AUMENTO-Allarme ventilatori in aumento</v>
      </c>
      <c r="C899" s="82" t="s">
        <v>1666</v>
      </c>
      <c r="D899" s="82" t="s">
        <v>1667</v>
      </c>
      <c r="E899" s="82" t="s">
        <v>2163</v>
      </c>
      <c r="F899" s="82" t="s">
        <v>1666</v>
      </c>
      <c r="G899" s="82" t="s">
        <v>1946</v>
      </c>
      <c r="H899" s="82" t="s">
        <v>2165</v>
      </c>
      <c r="I899" s="82" t="s">
        <v>24</v>
      </c>
      <c r="J899" s="82" t="s">
        <v>2171</v>
      </c>
      <c r="K899" s="82" t="s">
        <v>2167</v>
      </c>
      <c r="L899" s="82" t="s">
        <v>1946</v>
      </c>
      <c r="M899" s="82" t="s">
        <v>2090</v>
      </c>
      <c r="N899" s="82" t="s">
        <v>1946</v>
      </c>
      <c r="O899" s="82" t="s">
        <v>2173</v>
      </c>
    </row>
    <row r="900" spans="1:15" ht="15.75" hidden="1" x14ac:dyDescent="0.25">
      <c r="A900" t="str">
        <f t="shared" si="14"/>
        <v>ALR_VENTILATORI_IN_DIMINIZIONE-Allarme ventilatori in diminuzione</v>
      </c>
      <c r="C900" s="82" t="s">
        <v>1668</v>
      </c>
      <c r="D900" s="82" t="s">
        <v>1669</v>
      </c>
      <c r="E900" s="82" t="s">
        <v>2163</v>
      </c>
      <c r="F900" s="82" t="s">
        <v>1668</v>
      </c>
      <c r="G900" s="82" t="s">
        <v>1946</v>
      </c>
      <c r="H900" s="82" t="s">
        <v>2165</v>
      </c>
      <c r="I900" s="82" t="s">
        <v>24</v>
      </c>
      <c r="J900" s="82" t="s">
        <v>2171</v>
      </c>
      <c r="K900" s="82" t="s">
        <v>2167</v>
      </c>
      <c r="L900" s="82" t="s">
        <v>1946</v>
      </c>
      <c r="M900" s="82" t="s">
        <v>2090</v>
      </c>
      <c r="N900" s="82" t="s">
        <v>1946</v>
      </c>
      <c r="O900" s="82" t="s">
        <v>2173</v>
      </c>
    </row>
    <row r="901" spans="1:15" ht="15.75" hidden="1" x14ac:dyDescent="0.25">
      <c r="A901" t="str">
        <f t="shared" si="14"/>
        <v>ALR_VENTILATORI_STABILI-Allarme ventilatori stabili</v>
      </c>
      <c r="C901" s="82" t="s">
        <v>1670</v>
      </c>
      <c r="D901" s="82" t="s">
        <v>1671</v>
      </c>
      <c r="E901" s="82" t="s">
        <v>2163</v>
      </c>
      <c r="F901" s="82" t="s">
        <v>1670</v>
      </c>
      <c r="G901" s="82" t="s">
        <v>1946</v>
      </c>
      <c r="H901" s="82" t="s">
        <v>2165</v>
      </c>
      <c r="I901" s="82" t="s">
        <v>24</v>
      </c>
      <c r="J901" s="82" t="s">
        <v>2171</v>
      </c>
      <c r="K901" s="82" t="s">
        <v>2167</v>
      </c>
      <c r="L901" s="82" t="s">
        <v>1946</v>
      </c>
      <c r="M901" s="82" t="s">
        <v>2090</v>
      </c>
      <c r="N901" s="82" t="s">
        <v>1946</v>
      </c>
      <c r="O901" s="82" t="s">
        <v>2173</v>
      </c>
    </row>
    <row r="902" spans="1:15" ht="15.75" hidden="1" x14ac:dyDescent="0.25">
      <c r="A902" t="str">
        <f t="shared" si="14"/>
        <v>ALR_VIBRAZIONE-Allarme vibrazione</v>
      </c>
      <c r="C902" s="82" t="s">
        <v>778</v>
      </c>
      <c r="D902" s="82" t="s">
        <v>779</v>
      </c>
      <c r="E902" s="82" t="s">
        <v>2163</v>
      </c>
      <c r="F902" s="82" t="s">
        <v>778</v>
      </c>
      <c r="G902" s="82" t="s">
        <v>1946</v>
      </c>
      <c r="H902" s="82" t="s">
        <v>2165</v>
      </c>
      <c r="I902" s="82" t="s">
        <v>24</v>
      </c>
      <c r="J902" s="82" t="s">
        <v>2171</v>
      </c>
      <c r="K902" s="82" t="s">
        <v>2167</v>
      </c>
      <c r="L902" s="82" t="s">
        <v>1946</v>
      </c>
      <c r="M902" s="82" t="s">
        <v>2090</v>
      </c>
      <c r="N902" s="82" t="s">
        <v>1946</v>
      </c>
      <c r="O902" s="82" t="s">
        <v>2173</v>
      </c>
    </row>
    <row r="903" spans="1:15" ht="15.75" hidden="1" x14ac:dyDescent="0.25">
      <c r="A903" t="str">
        <f t="shared" si="14"/>
        <v>ALR_VIBRAZIONE_2-Allarme vibrazione</v>
      </c>
      <c r="C903" s="82" t="s">
        <v>780</v>
      </c>
      <c r="D903" s="82" t="s">
        <v>779</v>
      </c>
      <c r="E903" s="82" t="s">
        <v>2163</v>
      </c>
      <c r="F903" s="82" t="s">
        <v>780</v>
      </c>
      <c r="G903" s="82" t="s">
        <v>1946</v>
      </c>
      <c r="H903" s="82" t="s">
        <v>2165</v>
      </c>
      <c r="I903" s="82" t="s">
        <v>24</v>
      </c>
      <c r="J903" s="82" t="s">
        <v>2171</v>
      </c>
      <c r="K903" s="82" t="s">
        <v>2167</v>
      </c>
      <c r="L903" s="82" t="s">
        <v>1946</v>
      </c>
      <c r="M903" s="82" t="s">
        <v>2090</v>
      </c>
      <c r="N903" s="82" t="s">
        <v>1946</v>
      </c>
      <c r="O903" s="82" t="s">
        <v>2173</v>
      </c>
    </row>
    <row r="904" spans="1:15" ht="15.75" hidden="1" x14ac:dyDescent="0.25">
      <c r="A904" t="str">
        <f t="shared" si="14"/>
        <v>ALR_VIBRAZIONE_3_FAULT-Allarme vibrazione</v>
      </c>
      <c r="C904" s="82" t="s">
        <v>2630</v>
      </c>
      <c r="D904" s="82" t="s">
        <v>779</v>
      </c>
      <c r="E904" s="82" t="s">
        <v>2163</v>
      </c>
      <c r="F904" s="82" t="s">
        <v>2630</v>
      </c>
      <c r="G904" s="82" t="s">
        <v>1946</v>
      </c>
      <c r="H904" s="82" t="s">
        <v>2165</v>
      </c>
      <c r="I904" s="82" t="s">
        <v>24</v>
      </c>
      <c r="J904" s="82" t="s">
        <v>2171</v>
      </c>
      <c r="K904" s="82" t="s">
        <v>2167</v>
      </c>
      <c r="L904" s="82" t="s">
        <v>1946</v>
      </c>
      <c r="M904" s="82" t="s">
        <v>2090</v>
      </c>
      <c r="N904" s="82" t="s">
        <v>1946</v>
      </c>
      <c r="O904" s="82" t="s">
        <v>2173</v>
      </c>
    </row>
    <row r="905" spans="1:15" ht="15.75" hidden="1" x14ac:dyDescent="0.25">
      <c r="A905" t="str">
        <f t="shared" si="14"/>
        <v>ALR_VIBRAZIONE_CUSCINETTO-Allarme vibrazione cuscinetto</v>
      </c>
      <c r="C905" s="82" t="s">
        <v>1676</v>
      </c>
      <c r="D905" s="82" t="s">
        <v>1677</v>
      </c>
      <c r="E905" s="82" t="s">
        <v>2163</v>
      </c>
      <c r="F905" s="82" t="s">
        <v>1676</v>
      </c>
      <c r="G905" s="82" t="s">
        <v>1946</v>
      </c>
      <c r="H905" s="82" t="s">
        <v>2165</v>
      </c>
      <c r="I905" s="82" t="s">
        <v>24</v>
      </c>
      <c r="J905" s="82" t="s">
        <v>2171</v>
      </c>
      <c r="K905" s="82" t="s">
        <v>2167</v>
      </c>
      <c r="L905" s="82" t="s">
        <v>1946</v>
      </c>
      <c r="M905" s="82" t="s">
        <v>2176</v>
      </c>
      <c r="N905" s="82" t="s">
        <v>2188</v>
      </c>
      <c r="O905" s="82" t="s">
        <v>2173</v>
      </c>
    </row>
    <row r="906" spans="1:15" ht="15.75" hidden="1" x14ac:dyDescent="0.25">
      <c r="A906" t="str">
        <f t="shared" si="14"/>
        <v>ALR_VIBRAZIONE_CUSCINETTO_2-Allarme vibrazione cuscinetto 2</v>
      </c>
      <c r="C906" s="82" t="s">
        <v>781</v>
      </c>
      <c r="D906" s="82" t="s">
        <v>782</v>
      </c>
      <c r="E906" s="82" t="s">
        <v>2163</v>
      </c>
      <c r="F906" s="82" t="s">
        <v>781</v>
      </c>
      <c r="G906" s="82" t="s">
        <v>1946</v>
      </c>
      <c r="H906" s="82" t="s">
        <v>2165</v>
      </c>
      <c r="I906" s="82" t="s">
        <v>24</v>
      </c>
      <c r="J906" s="82" t="s">
        <v>2171</v>
      </c>
      <c r="K906" s="82" t="s">
        <v>2167</v>
      </c>
      <c r="L906" s="82" t="s">
        <v>1946</v>
      </c>
      <c r="M906" s="82" t="s">
        <v>2090</v>
      </c>
      <c r="N906" s="82" t="s">
        <v>1946</v>
      </c>
      <c r="O906" s="82" t="s">
        <v>2173</v>
      </c>
    </row>
    <row r="907" spans="1:15" ht="15.75" hidden="1" x14ac:dyDescent="0.25">
      <c r="A907" t="str">
        <f t="shared" si="14"/>
        <v>ALR_VIBRAZIONE_SCHEDA-Chiusura Allarme vibrazione scheda</v>
      </c>
      <c r="C907" s="82" t="s">
        <v>2631</v>
      </c>
      <c r="D907" s="82" t="s">
        <v>2632</v>
      </c>
      <c r="E907" s="82" t="s">
        <v>2163</v>
      </c>
      <c r="F907" s="82" t="s">
        <v>2631</v>
      </c>
      <c r="G907" s="82" t="s">
        <v>1946</v>
      </c>
      <c r="H907" s="82" t="s">
        <v>2165</v>
      </c>
      <c r="I907" s="82" t="s">
        <v>24</v>
      </c>
      <c r="J907" s="82" t="s">
        <v>2171</v>
      </c>
      <c r="K907" s="82" t="s">
        <v>2167</v>
      </c>
      <c r="L907" s="82" t="s">
        <v>1946</v>
      </c>
      <c r="M907" s="82" t="s">
        <v>2090</v>
      </c>
      <c r="N907" s="82" t="s">
        <v>1946</v>
      </c>
      <c r="O907" s="82" t="s">
        <v>2173</v>
      </c>
    </row>
    <row r="908" spans="1:15" ht="15.75" hidden="1" x14ac:dyDescent="0.25">
      <c r="A908" t="str">
        <f t="shared" si="14"/>
        <v>ALR_VIBRA_BASAMENTO-Allarme vibrazioni basamento</v>
      </c>
      <c r="C908" s="82" t="s">
        <v>1672</v>
      </c>
      <c r="D908" s="82" t="s">
        <v>1673</v>
      </c>
      <c r="E908" s="82" t="s">
        <v>2163</v>
      </c>
      <c r="F908" s="82" t="s">
        <v>1672</v>
      </c>
      <c r="G908" s="82" t="s">
        <v>1946</v>
      </c>
      <c r="H908" s="82" t="s">
        <v>2165</v>
      </c>
      <c r="I908" s="82" t="s">
        <v>24</v>
      </c>
      <c r="J908" s="82" t="s">
        <v>2171</v>
      </c>
      <c r="K908" s="82" t="s">
        <v>2167</v>
      </c>
      <c r="L908" s="82" t="s">
        <v>1946</v>
      </c>
      <c r="M908" s="82" t="s">
        <v>2176</v>
      </c>
      <c r="N908" s="82" t="s">
        <v>2188</v>
      </c>
      <c r="O908" s="82" t="s">
        <v>2173</v>
      </c>
    </row>
    <row r="909" spans="1:15" ht="15.75" hidden="1" x14ac:dyDescent="0.25">
      <c r="A909" t="str">
        <f t="shared" si="14"/>
        <v>ALR_VIBRA_CARCASSA-Allarme vibrazioni carcassa</v>
      </c>
      <c r="C909" s="82" t="s">
        <v>1674</v>
      </c>
      <c r="D909" s="82" t="s">
        <v>1675</v>
      </c>
      <c r="E909" s="82" t="s">
        <v>2163</v>
      </c>
      <c r="F909" s="82" t="s">
        <v>1674</v>
      </c>
      <c r="G909" s="82" t="s">
        <v>1946</v>
      </c>
      <c r="H909" s="82" t="s">
        <v>2165</v>
      </c>
      <c r="I909" s="82" t="s">
        <v>24</v>
      </c>
      <c r="J909" s="82" t="s">
        <v>2171</v>
      </c>
      <c r="K909" s="82" t="s">
        <v>2167</v>
      </c>
      <c r="L909" s="82" t="s">
        <v>1946</v>
      </c>
      <c r="M909" s="82" t="s">
        <v>2176</v>
      </c>
      <c r="N909" s="82" t="s">
        <v>2188</v>
      </c>
      <c r="O909" s="82" t="s">
        <v>2173</v>
      </c>
    </row>
    <row r="910" spans="1:15" ht="15.75" hidden="1" x14ac:dyDescent="0.25">
      <c r="A910" t="str">
        <f t="shared" si="14"/>
        <v xml:space="preserve">ALR_VIDEO_FUMO-Allarme Video Fumo </v>
      </c>
      <c r="C910" s="82" t="s">
        <v>2633</v>
      </c>
      <c r="D910" s="82" t="s">
        <v>2634</v>
      </c>
      <c r="E910" s="82" t="s">
        <v>2163</v>
      </c>
      <c r="F910" s="82" t="s">
        <v>2633</v>
      </c>
      <c r="G910" s="82" t="s">
        <v>1946</v>
      </c>
      <c r="H910" s="82" t="s">
        <v>2165</v>
      </c>
      <c r="I910" s="82" t="s">
        <v>24</v>
      </c>
      <c r="J910" s="82" t="s">
        <v>2171</v>
      </c>
      <c r="K910" s="82" t="s">
        <v>2173</v>
      </c>
      <c r="L910" s="82" t="s">
        <v>1946</v>
      </c>
      <c r="M910" s="82" t="s">
        <v>2090</v>
      </c>
      <c r="N910" s="82" t="s">
        <v>1946</v>
      </c>
      <c r="O910" s="82" t="s">
        <v>2173</v>
      </c>
    </row>
    <row r="911" spans="1:15" ht="15.75" hidden="1" x14ac:dyDescent="0.25">
      <c r="A911" t="str">
        <f t="shared" si="14"/>
        <v>ALT_TERMICO_POMPA-Allarme termico pompa</v>
      </c>
      <c r="C911" s="82" t="s">
        <v>783</v>
      </c>
      <c r="D911" s="82" t="s">
        <v>784</v>
      </c>
      <c r="E911" s="82" t="s">
        <v>2163</v>
      </c>
      <c r="F911" s="82" t="s">
        <v>783</v>
      </c>
      <c r="G911" s="82" t="s">
        <v>1946</v>
      </c>
      <c r="H911" s="82" t="s">
        <v>2165</v>
      </c>
      <c r="I911" s="82" t="s">
        <v>24</v>
      </c>
      <c r="J911" s="82" t="s">
        <v>2171</v>
      </c>
      <c r="K911" s="82" t="s">
        <v>2167</v>
      </c>
      <c r="L911" s="82" t="s">
        <v>1946</v>
      </c>
      <c r="M911" s="82" t="s">
        <v>2090</v>
      </c>
      <c r="N911" s="82" t="s">
        <v>1946</v>
      </c>
      <c r="O911" s="82" t="s">
        <v>2173</v>
      </c>
    </row>
    <row r="912" spans="1:15" ht="15.75" hidden="1" x14ac:dyDescent="0.25">
      <c r="A912" t="str">
        <f t="shared" si="14"/>
        <v>ANOMALIA_DISPOSITIVO-Allarme dispositivo in errore</v>
      </c>
      <c r="C912" s="82" t="s">
        <v>788</v>
      </c>
      <c r="D912" s="82" t="s">
        <v>789</v>
      </c>
      <c r="E912" s="82" t="s">
        <v>2163</v>
      </c>
      <c r="F912" s="82" t="s">
        <v>788</v>
      </c>
      <c r="G912" s="82" t="s">
        <v>1946</v>
      </c>
      <c r="H912" s="82" t="s">
        <v>2165</v>
      </c>
      <c r="I912" s="82" t="s">
        <v>24</v>
      </c>
      <c r="J912" s="82" t="s">
        <v>2171</v>
      </c>
      <c r="K912" s="82" t="s">
        <v>2167</v>
      </c>
      <c r="L912" s="82" t="s">
        <v>1946</v>
      </c>
      <c r="M912" s="82" t="s">
        <v>2090</v>
      </c>
      <c r="N912" s="82" t="s">
        <v>1946</v>
      </c>
      <c r="O912" s="82" t="s">
        <v>2173</v>
      </c>
    </row>
    <row r="913" spans="1:15" ht="15.75" hidden="1" x14ac:dyDescent="0.25">
      <c r="A913" t="str">
        <f t="shared" si="14"/>
        <v>ANOMALIA_DISPOSITIVO_CE1-Allarme dispositivo in errore CE1</v>
      </c>
      <c r="C913" s="82" t="s">
        <v>1682</v>
      </c>
      <c r="D913" s="82" t="s">
        <v>1683</v>
      </c>
      <c r="E913" s="82" t="s">
        <v>2163</v>
      </c>
      <c r="F913" s="82" t="s">
        <v>1682</v>
      </c>
      <c r="G913" s="82" t="s">
        <v>1946</v>
      </c>
      <c r="H913" s="82" t="s">
        <v>2165</v>
      </c>
      <c r="I913" s="82" t="s">
        <v>24</v>
      </c>
      <c r="J913" s="82" t="s">
        <v>2171</v>
      </c>
      <c r="K913" s="82" t="s">
        <v>2167</v>
      </c>
      <c r="L913" s="82" t="s">
        <v>1946</v>
      </c>
      <c r="M913" s="82" t="s">
        <v>2090</v>
      </c>
      <c r="N913" s="82" t="s">
        <v>1946</v>
      </c>
      <c r="O913" s="82" t="s">
        <v>2173</v>
      </c>
    </row>
    <row r="914" spans="1:15" ht="15.75" hidden="1" x14ac:dyDescent="0.25">
      <c r="A914" t="str">
        <f t="shared" si="14"/>
        <v>ANOMALIA_DISPOSITIVO_CE2-Allarme dispositivo in errore CE2</v>
      </c>
      <c r="C914" s="82" t="s">
        <v>1684</v>
      </c>
      <c r="D914" s="82" t="s">
        <v>1685</v>
      </c>
      <c r="E914" s="82" t="s">
        <v>2163</v>
      </c>
      <c r="F914" s="82" t="s">
        <v>1684</v>
      </c>
      <c r="G914" s="82" t="s">
        <v>1946</v>
      </c>
      <c r="H914" s="82" t="s">
        <v>2165</v>
      </c>
      <c r="I914" s="82" t="s">
        <v>24</v>
      </c>
      <c r="J914" s="82" t="s">
        <v>2171</v>
      </c>
      <c r="K914" s="82" t="s">
        <v>2167</v>
      </c>
      <c r="L914" s="82" t="s">
        <v>1946</v>
      </c>
      <c r="M914" s="82" t="s">
        <v>2090</v>
      </c>
      <c r="N914" s="82" t="s">
        <v>1946</v>
      </c>
      <c r="O914" s="82" t="s">
        <v>2173</v>
      </c>
    </row>
    <row r="915" spans="1:15" ht="15.75" hidden="1" x14ac:dyDescent="0.25">
      <c r="A915" t="str">
        <f t="shared" si="14"/>
        <v>ANOMALIA_ILLUMINAZIONE_DIR_NORD-Allarme anomalia illuminazione dir. nord</v>
      </c>
      <c r="C915" s="82" t="s">
        <v>1686</v>
      </c>
      <c r="D915" s="82" t="s">
        <v>1687</v>
      </c>
      <c r="E915" s="82" t="s">
        <v>2163</v>
      </c>
      <c r="F915" s="82" t="s">
        <v>1686</v>
      </c>
      <c r="G915" s="82" t="s">
        <v>1946</v>
      </c>
      <c r="H915" s="82" t="s">
        <v>2165</v>
      </c>
      <c r="I915" s="82" t="s">
        <v>24</v>
      </c>
      <c r="J915" s="82" t="s">
        <v>2171</v>
      </c>
      <c r="K915" s="82" t="s">
        <v>2167</v>
      </c>
      <c r="L915" s="82" t="s">
        <v>1946</v>
      </c>
      <c r="M915" s="82" t="s">
        <v>2090</v>
      </c>
      <c r="N915" s="82" t="s">
        <v>1946</v>
      </c>
      <c r="O915" s="82" t="s">
        <v>2173</v>
      </c>
    </row>
    <row r="916" spans="1:15" ht="15.75" hidden="1" x14ac:dyDescent="0.25">
      <c r="A916" t="str">
        <f t="shared" si="14"/>
        <v>ANOMALIA_ILLUMINAZIONE_DIR_NORD_1-Allarme anomalia illuminazione dir. nord bypass 1</v>
      </c>
      <c r="C916" s="82" t="s">
        <v>1689</v>
      </c>
      <c r="D916" s="82" t="s">
        <v>1690</v>
      </c>
      <c r="E916" s="82" t="s">
        <v>2163</v>
      </c>
      <c r="F916" s="82" t="s">
        <v>1689</v>
      </c>
      <c r="G916" s="82" t="s">
        <v>1946</v>
      </c>
      <c r="H916" s="82" t="s">
        <v>2165</v>
      </c>
      <c r="I916" s="82" t="s">
        <v>24</v>
      </c>
      <c r="J916" s="82" t="s">
        <v>2171</v>
      </c>
      <c r="K916" s="82" t="s">
        <v>2167</v>
      </c>
      <c r="L916" s="82" t="s">
        <v>1946</v>
      </c>
      <c r="M916" s="82" t="s">
        <v>2090</v>
      </c>
      <c r="N916" s="82" t="s">
        <v>1946</v>
      </c>
      <c r="O916" s="82" t="s">
        <v>2173</v>
      </c>
    </row>
    <row r="917" spans="1:15" ht="15.75" hidden="1" x14ac:dyDescent="0.25">
      <c r="A917" t="str">
        <f t="shared" si="14"/>
        <v>ANOMALIA_ILLUMINAZIONE_DIR_NORD_2-Allarme anomalia illuminazione dir. nord bypass 2</v>
      </c>
      <c r="C917" s="82" t="s">
        <v>1691</v>
      </c>
      <c r="D917" s="82" t="s">
        <v>1692</v>
      </c>
      <c r="E917" s="82" t="s">
        <v>2163</v>
      </c>
      <c r="F917" s="82" t="s">
        <v>1691</v>
      </c>
      <c r="G917" s="82" t="s">
        <v>1946</v>
      </c>
      <c r="H917" s="82" t="s">
        <v>2165</v>
      </c>
      <c r="I917" s="82" t="s">
        <v>24</v>
      </c>
      <c r="J917" s="82" t="s">
        <v>2171</v>
      </c>
      <c r="K917" s="82" t="s">
        <v>2167</v>
      </c>
      <c r="L917" s="82" t="s">
        <v>1946</v>
      </c>
      <c r="M917" s="82" t="s">
        <v>2090</v>
      </c>
      <c r="N917" s="82" t="s">
        <v>1946</v>
      </c>
      <c r="O917" s="82" t="s">
        <v>2173</v>
      </c>
    </row>
    <row r="918" spans="1:15" ht="15.75" hidden="1" x14ac:dyDescent="0.25">
      <c r="A918" t="str">
        <f t="shared" si="14"/>
        <v>ANOMALIA_ILLUMINAZIONE_DIR_NORD_3-Allarme anomalia illuminazione dir. nord bypass 3</v>
      </c>
      <c r="C918" s="82" t="s">
        <v>1693</v>
      </c>
      <c r="D918" s="82" t="s">
        <v>1694</v>
      </c>
      <c r="E918" s="82" t="s">
        <v>2163</v>
      </c>
      <c r="F918" s="82" t="s">
        <v>1693</v>
      </c>
      <c r="G918" s="82" t="s">
        <v>1946</v>
      </c>
      <c r="H918" s="82" t="s">
        <v>2165</v>
      </c>
      <c r="I918" s="82" t="s">
        <v>24</v>
      </c>
      <c r="J918" s="82" t="s">
        <v>2171</v>
      </c>
      <c r="K918" s="82" t="s">
        <v>2167</v>
      </c>
      <c r="L918" s="82" t="s">
        <v>1946</v>
      </c>
      <c r="M918" s="82" t="s">
        <v>2090</v>
      </c>
      <c r="N918" s="82" t="s">
        <v>1946</v>
      </c>
      <c r="O918" s="82" t="s">
        <v>2173</v>
      </c>
    </row>
    <row r="919" spans="1:15" ht="15.75" hidden="1" x14ac:dyDescent="0.25">
      <c r="A919" t="str">
        <f t="shared" si="14"/>
        <v>ANOMALIA_ILLUMINAZIONE_DIR_SUD-Allarme anomalia illuminazione dir. sud</v>
      </c>
      <c r="C919" s="82" t="s">
        <v>1695</v>
      </c>
      <c r="D919" s="82" t="s">
        <v>1696</v>
      </c>
      <c r="E919" s="82" t="s">
        <v>2163</v>
      </c>
      <c r="F919" s="82" t="s">
        <v>1695</v>
      </c>
      <c r="G919" s="82" t="s">
        <v>1946</v>
      </c>
      <c r="H919" s="82" t="s">
        <v>2165</v>
      </c>
      <c r="I919" s="82" t="s">
        <v>24</v>
      </c>
      <c r="J919" s="82" t="s">
        <v>2171</v>
      </c>
      <c r="K919" s="82" t="s">
        <v>2167</v>
      </c>
      <c r="L919" s="82" t="s">
        <v>1946</v>
      </c>
      <c r="M919" s="82" t="s">
        <v>2090</v>
      </c>
      <c r="N919" s="82" t="s">
        <v>1946</v>
      </c>
      <c r="O919" s="82" t="s">
        <v>2173</v>
      </c>
    </row>
    <row r="920" spans="1:15" ht="15.75" hidden="1" x14ac:dyDescent="0.25">
      <c r="A920" t="str">
        <f t="shared" si="14"/>
        <v>ANOMALIA_ILLUMINAZIONE_DIR_SUD_1-Allarme anomalia illuminazione dir. sud bypass 1</v>
      </c>
      <c r="C920" s="82" t="s">
        <v>1697</v>
      </c>
      <c r="D920" s="82" t="s">
        <v>1698</v>
      </c>
      <c r="E920" s="82" t="s">
        <v>2163</v>
      </c>
      <c r="F920" s="82" t="s">
        <v>1697</v>
      </c>
      <c r="G920" s="82" t="s">
        <v>1946</v>
      </c>
      <c r="H920" s="82" t="s">
        <v>2165</v>
      </c>
      <c r="I920" s="82" t="s">
        <v>24</v>
      </c>
      <c r="J920" s="82" t="s">
        <v>2171</v>
      </c>
      <c r="K920" s="82" t="s">
        <v>2167</v>
      </c>
      <c r="L920" s="82" t="s">
        <v>1946</v>
      </c>
      <c r="M920" s="82" t="s">
        <v>2090</v>
      </c>
      <c r="N920" s="82" t="s">
        <v>1946</v>
      </c>
      <c r="O920" s="82" t="s">
        <v>2173</v>
      </c>
    </row>
    <row r="921" spans="1:15" ht="15.75" hidden="1" x14ac:dyDescent="0.25">
      <c r="A921" t="str">
        <f t="shared" si="14"/>
        <v>ANOMALIA_ILLUMINAZIONE_DIR_SUD_2-Allarme anomalia illuminazione dir. sud bypass 2</v>
      </c>
      <c r="C921" s="82" t="s">
        <v>1699</v>
      </c>
      <c r="D921" s="82" t="s">
        <v>1700</v>
      </c>
      <c r="E921" s="82" t="s">
        <v>2163</v>
      </c>
      <c r="F921" s="82" t="s">
        <v>1699</v>
      </c>
      <c r="G921" s="82" t="s">
        <v>1946</v>
      </c>
      <c r="H921" s="82" t="s">
        <v>2165</v>
      </c>
      <c r="I921" s="82" t="s">
        <v>24</v>
      </c>
      <c r="J921" s="82" t="s">
        <v>2171</v>
      </c>
      <c r="K921" s="82" t="s">
        <v>2167</v>
      </c>
      <c r="L921" s="82" t="s">
        <v>1946</v>
      </c>
      <c r="M921" s="82" t="s">
        <v>2090</v>
      </c>
      <c r="N921" s="82" t="s">
        <v>1946</v>
      </c>
      <c r="O921" s="82" t="s">
        <v>2173</v>
      </c>
    </row>
    <row r="922" spans="1:15" ht="15.75" hidden="1" x14ac:dyDescent="0.25">
      <c r="A922" t="str">
        <f t="shared" si="14"/>
        <v>ANOMALIA_ILLUMINAZIONE_DIR_SUD_3-Allarme anomalia illuminazione dir. sud bypass 3</v>
      </c>
      <c r="C922" s="82" t="s">
        <v>1701</v>
      </c>
      <c r="D922" s="82" t="s">
        <v>1702</v>
      </c>
      <c r="E922" s="82" t="s">
        <v>2163</v>
      </c>
      <c r="F922" s="82" t="s">
        <v>1701</v>
      </c>
      <c r="G922" s="82" t="s">
        <v>1946</v>
      </c>
      <c r="H922" s="82" t="s">
        <v>2165</v>
      </c>
      <c r="I922" s="82" t="s">
        <v>24</v>
      </c>
      <c r="J922" s="82" t="s">
        <v>2171</v>
      </c>
      <c r="K922" s="82" t="s">
        <v>2167</v>
      </c>
      <c r="L922" s="82" t="s">
        <v>1946</v>
      </c>
      <c r="M922" s="82" t="s">
        <v>2090</v>
      </c>
      <c r="N922" s="82" t="s">
        <v>1946</v>
      </c>
      <c r="O922" s="82" t="s">
        <v>2173</v>
      </c>
    </row>
    <row r="923" spans="1:15" ht="15.75" hidden="1" x14ac:dyDescent="0.25">
      <c r="A923" t="str">
        <f t="shared" si="14"/>
        <v>ANOMALIA_PLC-Anomalia plc</v>
      </c>
      <c r="C923" s="82" t="s">
        <v>1703</v>
      </c>
      <c r="D923" s="82" t="s">
        <v>1704</v>
      </c>
      <c r="E923" s="82" t="s">
        <v>2163</v>
      </c>
      <c r="F923" s="82" t="s">
        <v>1703</v>
      </c>
      <c r="G923" s="82" t="s">
        <v>1946</v>
      </c>
      <c r="H923" s="82" t="s">
        <v>2165</v>
      </c>
      <c r="I923" s="82" t="s">
        <v>33</v>
      </c>
      <c r="J923" s="82" t="s">
        <v>2174</v>
      </c>
      <c r="K923" s="82" t="s">
        <v>2173</v>
      </c>
      <c r="L923" s="82" t="s">
        <v>1946</v>
      </c>
      <c r="M923" s="82" t="s">
        <v>2176</v>
      </c>
      <c r="N923" s="82" t="s">
        <v>2188</v>
      </c>
      <c r="O923" s="82" t="s">
        <v>2173</v>
      </c>
    </row>
    <row r="924" spans="1:15" ht="15.75" hidden="1" x14ac:dyDescent="0.25">
      <c r="A924" t="str">
        <f t="shared" si="14"/>
        <v>ANOMALIA_PLC_GALLERIA-Anomalia plc di galleria</v>
      </c>
      <c r="C924" s="82" t="s">
        <v>2635</v>
      </c>
      <c r="D924" s="82" t="s">
        <v>2636</v>
      </c>
      <c r="E924" s="82" t="s">
        <v>2163</v>
      </c>
      <c r="F924" s="82" t="s">
        <v>2635</v>
      </c>
      <c r="G924" s="82" t="s">
        <v>1946</v>
      </c>
      <c r="H924" s="82" t="s">
        <v>2165</v>
      </c>
      <c r="I924" s="82" t="s">
        <v>33</v>
      </c>
      <c r="J924" s="82" t="s">
        <v>2174</v>
      </c>
      <c r="K924" s="82" t="s">
        <v>2173</v>
      </c>
      <c r="L924" s="82" t="s">
        <v>1946</v>
      </c>
      <c r="M924" s="82" t="s">
        <v>2090</v>
      </c>
      <c r="N924" s="82" t="s">
        <v>1946</v>
      </c>
      <c r="O924" s="82" t="s">
        <v>2173</v>
      </c>
    </row>
    <row r="925" spans="1:15" ht="15.75" hidden="1" x14ac:dyDescent="0.25">
      <c r="A925" t="str">
        <f t="shared" si="14"/>
        <v>ANOMALIA_UPS_QUADRO_ALIMENTAZIONE-Allarme anomalia ups quadro alimentazione</v>
      </c>
      <c r="C925" s="82" t="s">
        <v>790</v>
      </c>
      <c r="D925" s="82" t="s">
        <v>791</v>
      </c>
      <c r="E925" s="82" t="s">
        <v>2163</v>
      </c>
      <c r="F925" s="82" t="s">
        <v>790</v>
      </c>
      <c r="G925" s="82" t="s">
        <v>1946</v>
      </c>
      <c r="H925" s="82" t="s">
        <v>2165</v>
      </c>
      <c r="I925" s="82" t="s">
        <v>24</v>
      </c>
      <c r="J925" s="82" t="s">
        <v>2171</v>
      </c>
      <c r="K925" s="82" t="s">
        <v>2167</v>
      </c>
      <c r="L925" s="82" t="s">
        <v>1946</v>
      </c>
      <c r="M925" s="82" t="s">
        <v>2090</v>
      </c>
      <c r="N925" s="82" t="s">
        <v>1946</v>
      </c>
      <c r="O925" s="82" t="s">
        <v>2173</v>
      </c>
    </row>
    <row r="926" spans="1:15" ht="15.75" hidden="1" x14ac:dyDescent="0.25">
      <c r="A926" t="str">
        <f t="shared" si="14"/>
        <v>AN_GUASTO-Allarme guasto sensore AN</v>
      </c>
      <c r="C926" s="82" t="s">
        <v>785</v>
      </c>
      <c r="D926" s="82" t="s">
        <v>786</v>
      </c>
      <c r="E926" s="82" t="s">
        <v>2163</v>
      </c>
      <c r="F926" s="82" t="s">
        <v>785</v>
      </c>
      <c r="G926" s="82" t="s">
        <v>1946</v>
      </c>
      <c r="H926" s="82" t="s">
        <v>2165</v>
      </c>
      <c r="I926" s="82" t="s">
        <v>24</v>
      </c>
      <c r="J926" s="82" t="s">
        <v>2171</v>
      </c>
      <c r="K926" s="82" t="s">
        <v>2167</v>
      </c>
      <c r="L926" s="82" t="s">
        <v>1946</v>
      </c>
      <c r="M926" s="82" t="s">
        <v>2090</v>
      </c>
      <c r="N926" s="82" t="s">
        <v>1946</v>
      </c>
      <c r="O926" s="82" t="s">
        <v>2173</v>
      </c>
    </row>
    <row r="927" spans="1:15" ht="15.75" hidden="1" x14ac:dyDescent="0.25">
      <c r="A927" t="str">
        <f t="shared" si="14"/>
        <v>APERTA-Allarme porta aperta</v>
      </c>
      <c r="C927" s="82" t="s">
        <v>792</v>
      </c>
      <c r="D927" s="82" t="s">
        <v>793</v>
      </c>
      <c r="E927" s="82" t="s">
        <v>2163</v>
      </c>
      <c r="F927" s="82" t="s">
        <v>792</v>
      </c>
      <c r="G927" s="82" t="s">
        <v>1946</v>
      </c>
      <c r="H927" s="82" t="s">
        <v>2165</v>
      </c>
      <c r="I927" s="82" t="s">
        <v>157</v>
      </c>
      <c r="J927" s="82" t="s">
        <v>2181</v>
      </c>
      <c r="K927" s="82" t="s">
        <v>2167</v>
      </c>
      <c r="L927" s="82" t="s">
        <v>2179</v>
      </c>
      <c r="M927" s="82" t="s">
        <v>2176</v>
      </c>
      <c r="N927" s="82" t="s">
        <v>2180</v>
      </c>
      <c r="O927" s="82" t="s">
        <v>2173</v>
      </c>
    </row>
    <row r="928" spans="1:15" ht="15.75" hidden="1" x14ac:dyDescent="0.25">
      <c r="A928" t="str">
        <f t="shared" si="14"/>
        <v>AUX_FAULT_FAULT_IN-ANOMALIA DISP. AUDIO</v>
      </c>
      <c r="C928" s="82" t="s">
        <v>2637</v>
      </c>
      <c r="D928" s="82" t="s">
        <v>2638</v>
      </c>
      <c r="E928" s="82" t="s">
        <v>2163</v>
      </c>
      <c r="F928" s="82" t="s">
        <v>2639</v>
      </c>
      <c r="G928" s="82" t="s">
        <v>1946</v>
      </c>
      <c r="H928" s="82" t="s">
        <v>2165</v>
      </c>
      <c r="I928" s="82" t="s">
        <v>33</v>
      </c>
      <c r="J928" s="82" t="s">
        <v>2174</v>
      </c>
      <c r="K928" s="82" t="s">
        <v>2173</v>
      </c>
      <c r="L928" s="82" t="s">
        <v>1946</v>
      </c>
      <c r="M928" s="82" t="s">
        <v>2090</v>
      </c>
      <c r="N928" s="82" t="s">
        <v>1946</v>
      </c>
      <c r="O928" s="82" t="s">
        <v>2167</v>
      </c>
    </row>
    <row r="929" spans="1:15" ht="15.75" hidden="1" x14ac:dyDescent="0.25">
      <c r="A929" t="str">
        <f t="shared" si="14"/>
        <v>AVARIA-Allarme avaria</v>
      </c>
      <c r="C929" s="82" t="s">
        <v>795</v>
      </c>
      <c r="D929" s="82" t="s">
        <v>796</v>
      </c>
      <c r="E929" s="82" t="s">
        <v>2163</v>
      </c>
      <c r="F929" s="82" t="s">
        <v>795</v>
      </c>
      <c r="G929" s="82" t="s">
        <v>1946</v>
      </c>
      <c r="H929" s="82" t="s">
        <v>2165</v>
      </c>
      <c r="I929" s="82" t="s">
        <v>24</v>
      </c>
      <c r="J929" s="82" t="s">
        <v>2171</v>
      </c>
      <c r="K929" s="82" t="s">
        <v>2167</v>
      </c>
      <c r="L929" s="82" t="s">
        <v>1946</v>
      </c>
      <c r="M929" s="82" t="s">
        <v>2090</v>
      </c>
      <c r="N929" s="82" t="s">
        <v>1946</v>
      </c>
      <c r="O929" s="82" t="s">
        <v>2173</v>
      </c>
    </row>
    <row r="930" spans="1:15" ht="15.75" hidden="1" x14ac:dyDescent="0.25">
      <c r="A930" t="str">
        <f t="shared" si="14"/>
        <v>AVARIA_NOT_CONNECTED-SIP NON CONNESSO</v>
      </c>
      <c r="C930" s="82" t="s">
        <v>2640</v>
      </c>
      <c r="D930" s="82" t="s">
        <v>2641</v>
      </c>
      <c r="E930" s="82" t="s">
        <v>2163</v>
      </c>
      <c r="F930" s="82" t="s">
        <v>2642</v>
      </c>
      <c r="G930" s="82" t="s">
        <v>1946</v>
      </c>
      <c r="H930" s="82" t="s">
        <v>2165</v>
      </c>
      <c r="I930" s="82" t="s">
        <v>33</v>
      </c>
      <c r="J930" s="82" t="s">
        <v>2174</v>
      </c>
      <c r="K930" s="82" t="s">
        <v>2173</v>
      </c>
      <c r="L930" s="82" t="s">
        <v>1946</v>
      </c>
      <c r="M930" s="82" t="s">
        <v>2090</v>
      </c>
      <c r="N930" s="82" t="s">
        <v>1946</v>
      </c>
      <c r="O930" s="82" t="s">
        <v>2167</v>
      </c>
    </row>
    <row r="931" spans="1:15" ht="15.75" hidden="1" x14ac:dyDescent="0.25">
      <c r="A931" t="str">
        <f t="shared" si="14"/>
        <v>AVARIA_NOT_CONNECTED_EXCEPTION-TEL. OPERATORE NON CONNESSO</v>
      </c>
      <c r="C931" s="82" t="s">
        <v>2643</v>
      </c>
      <c r="D931" s="82" t="s">
        <v>2644</v>
      </c>
      <c r="E931" s="82" t="s">
        <v>2163</v>
      </c>
      <c r="F931" s="82" t="s">
        <v>2645</v>
      </c>
      <c r="G931" s="82" t="s">
        <v>1946</v>
      </c>
      <c r="H931" s="82" t="s">
        <v>2165</v>
      </c>
      <c r="I931" s="82" t="s">
        <v>33</v>
      </c>
      <c r="J931" s="82" t="s">
        <v>2174</v>
      </c>
      <c r="K931" s="82" t="s">
        <v>2173</v>
      </c>
      <c r="L931" s="82" t="s">
        <v>1946</v>
      </c>
      <c r="M931" s="82" t="s">
        <v>2090</v>
      </c>
      <c r="N931" s="82" t="s">
        <v>1946</v>
      </c>
      <c r="O931" s="82" t="s">
        <v>2173</v>
      </c>
    </row>
    <row r="932" spans="1:15" ht="15.75" hidden="1" x14ac:dyDescent="0.25">
      <c r="A932" t="str">
        <f t="shared" si="14"/>
        <v>AVARIA_NOT_REGISTERED-TEL. OPERATORE NON REGISTRATO</v>
      </c>
      <c r="C932" s="82" t="s">
        <v>2646</v>
      </c>
      <c r="D932" s="82" t="s">
        <v>2647</v>
      </c>
      <c r="E932" s="82" t="s">
        <v>2163</v>
      </c>
      <c r="F932" s="82" t="s">
        <v>2648</v>
      </c>
      <c r="G932" s="82" t="s">
        <v>1946</v>
      </c>
      <c r="H932" s="82" t="s">
        <v>2165</v>
      </c>
      <c r="I932" s="82" t="s">
        <v>33</v>
      </c>
      <c r="J932" s="82" t="s">
        <v>2174</v>
      </c>
      <c r="K932" s="82" t="s">
        <v>2173</v>
      </c>
      <c r="L932" s="82" t="s">
        <v>1946</v>
      </c>
      <c r="M932" s="82" t="s">
        <v>2090</v>
      </c>
      <c r="N932" s="82" t="s">
        <v>1946</v>
      </c>
      <c r="O932" s="82" t="s">
        <v>2167</v>
      </c>
    </row>
    <row r="933" spans="1:15" ht="15.75" hidden="1" x14ac:dyDescent="0.25">
      <c r="A933" t="str">
        <f t="shared" si="14"/>
        <v>AVARIA_NOT_REGISTERED_EXCEPTION-SIP NON REGISTRATO</v>
      </c>
      <c r="C933" s="82" t="s">
        <v>2649</v>
      </c>
      <c r="D933" s="82" t="s">
        <v>2650</v>
      </c>
      <c r="E933" s="82" t="s">
        <v>2163</v>
      </c>
      <c r="F933" s="82" t="s">
        <v>2651</v>
      </c>
      <c r="G933" s="82" t="s">
        <v>1946</v>
      </c>
      <c r="H933" s="82" t="s">
        <v>2165</v>
      </c>
      <c r="I933" s="82" t="s">
        <v>33</v>
      </c>
      <c r="J933" s="82" t="s">
        <v>2174</v>
      </c>
      <c r="K933" s="82" t="s">
        <v>2173</v>
      </c>
      <c r="L933" s="82" t="s">
        <v>1946</v>
      </c>
      <c r="M933" s="82" t="s">
        <v>2090</v>
      </c>
      <c r="N933" s="82" t="s">
        <v>1946</v>
      </c>
      <c r="O933" s="82" t="s">
        <v>2173</v>
      </c>
    </row>
    <row r="934" spans="1:15" ht="15.75" hidden="1" x14ac:dyDescent="0.25">
      <c r="A934" t="str">
        <f t="shared" si="14"/>
        <v>AVVISO_ASCIUGATURA_IONIZZATORE-Avviso asciugatura ionizzatore</v>
      </c>
      <c r="C934" s="82" t="s">
        <v>2652</v>
      </c>
      <c r="D934" s="82" t="s">
        <v>2653</v>
      </c>
      <c r="E934" s="82" t="s">
        <v>2163</v>
      </c>
      <c r="F934" s="82" t="s">
        <v>2652</v>
      </c>
      <c r="G934" s="82" t="s">
        <v>1946</v>
      </c>
      <c r="H934" s="82" t="s">
        <v>2165</v>
      </c>
      <c r="I934" s="82" t="s">
        <v>24</v>
      </c>
      <c r="J934" s="82" t="s">
        <v>2171</v>
      </c>
      <c r="K934" s="82" t="s">
        <v>2167</v>
      </c>
      <c r="L934" s="82" t="s">
        <v>1946</v>
      </c>
      <c r="M934" s="82" t="s">
        <v>2090</v>
      </c>
      <c r="N934" s="82" t="s">
        <v>1946</v>
      </c>
      <c r="O934" s="82" t="s">
        <v>2173</v>
      </c>
    </row>
    <row r="935" spans="1:15" ht="15.75" hidden="1" x14ac:dyDescent="0.25">
      <c r="A935" t="str">
        <f t="shared" si="14"/>
        <v>AVVISO_FINE_PULIZIA_COLLETTORE-Avviso fine pulizia collettore</v>
      </c>
      <c r="C935" s="82" t="s">
        <v>2654</v>
      </c>
      <c r="D935" s="82" t="s">
        <v>2655</v>
      </c>
      <c r="E935" s="82" t="s">
        <v>2163</v>
      </c>
      <c r="F935" s="82" t="s">
        <v>2654</v>
      </c>
      <c r="G935" s="82" t="s">
        <v>1946</v>
      </c>
      <c r="H935" s="82" t="s">
        <v>2165</v>
      </c>
      <c r="I935" s="82" t="s">
        <v>24</v>
      </c>
      <c r="J935" s="82" t="s">
        <v>2171</v>
      </c>
      <c r="K935" s="82" t="s">
        <v>2167</v>
      </c>
      <c r="L935" s="82" t="s">
        <v>1946</v>
      </c>
      <c r="M935" s="82" t="s">
        <v>2090</v>
      </c>
      <c r="N935" s="82" t="s">
        <v>1946</v>
      </c>
      <c r="O935" s="82" t="s">
        <v>2173</v>
      </c>
    </row>
    <row r="936" spans="1:15" ht="15.75" hidden="1" x14ac:dyDescent="0.25">
      <c r="A936" t="str">
        <f t="shared" si="14"/>
        <v>AVVISO_FINE_PULIZIA_IONIZZATORE-Avviso fine pulizia ionizzatore</v>
      </c>
      <c r="C936" s="82" t="s">
        <v>2656</v>
      </c>
      <c r="D936" s="82" t="s">
        <v>2657</v>
      </c>
      <c r="E936" s="82" t="s">
        <v>2163</v>
      </c>
      <c r="F936" s="82" t="s">
        <v>2656</v>
      </c>
      <c r="G936" s="82" t="s">
        <v>1946</v>
      </c>
      <c r="H936" s="82" t="s">
        <v>2165</v>
      </c>
      <c r="I936" s="82" t="s">
        <v>24</v>
      </c>
      <c r="J936" s="82" t="s">
        <v>2171</v>
      </c>
      <c r="K936" s="82" t="s">
        <v>2167</v>
      </c>
      <c r="L936" s="82" t="s">
        <v>1946</v>
      </c>
      <c r="M936" s="82" t="s">
        <v>2090</v>
      </c>
      <c r="N936" s="82" t="s">
        <v>1946</v>
      </c>
      <c r="O936" s="82" t="s">
        <v>2173</v>
      </c>
    </row>
    <row r="937" spans="1:15" ht="15.75" hidden="1" x14ac:dyDescent="0.25">
      <c r="A937" t="str">
        <f t="shared" si="14"/>
        <v>AVVISO_RICHIESTA_PULIZIA_COLLETTORE-Avviso richiesta pulizia collettore</v>
      </c>
      <c r="C937" s="82" t="s">
        <v>2658</v>
      </c>
      <c r="D937" s="82" t="s">
        <v>2659</v>
      </c>
      <c r="E937" s="82" t="s">
        <v>2163</v>
      </c>
      <c r="F937" s="82" t="s">
        <v>2658</v>
      </c>
      <c r="G937" s="82" t="s">
        <v>1946</v>
      </c>
      <c r="H937" s="82" t="s">
        <v>2165</v>
      </c>
      <c r="I937" s="82" t="s">
        <v>24</v>
      </c>
      <c r="J937" s="82" t="s">
        <v>2171</v>
      </c>
      <c r="K937" s="82" t="s">
        <v>2167</v>
      </c>
      <c r="L937" s="82" t="s">
        <v>1946</v>
      </c>
      <c r="M937" s="82" t="s">
        <v>2090</v>
      </c>
      <c r="N937" s="82" t="s">
        <v>1946</v>
      </c>
      <c r="O937" s="82" t="s">
        <v>2173</v>
      </c>
    </row>
    <row r="938" spans="1:15" ht="15.75" hidden="1" x14ac:dyDescent="0.25">
      <c r="A938" t="str">
        <f t="shared" si="14"/>
        <v>AVVISO_RICHIESTA_PULIZIA_IONIZZATORE-Avviso richiesta pulizia ionizzatore</v>
      </c>
      <c r="C938" s="82" t="s">
        <v>2660</v>
      </c>
      <c r="D938" s="82" t="s">
        <v>2661</v>
      </c>
      <c r="E938" s="82" t="s">
        <v>2163</v>
      </c>
      <c r="F938" s="82" t="s">
        <v>2660</v>
      </c>
      <c r="G938" s="82" t="s">
        <v>1946</v>
      </c>
      <c r="H938" s="82" t="s">
        <v>2165</v>
      </c>
      <c r="I938" s="82" t="s">
        <v>24</v>
      </c>
      <c r="J938" s="82" t="s">
        <v>2171</v>
      </c>
      <c r="K938" s="82" t="s">
        <v>2167</v>
      </c>
      <c r="L938" s="82" t="s">
        <v>1946</v>
      </c>
      <c r="M938" s="82" t="s">
        <v>2090</v>
      </c>
      <c r="N938" s="82" t="s">
        <v>1946</v>
      </c>
      <c r="O938" s="82" t="s">
        <v>2173</v>
      </c>
    </row>
    <row r="939" spans="1:15" ht="15.75" hidden="1" x14ac:dyDescent="0.25">
      <c r="A939" t="str">
        <f t="shared" si="14"/>
        <v>AVVISO_SOSTITUIRE_FILTRO-Allarme sostituzione filtro</v>
      </c>
      <c r="C939" s="82" t="s">
        <v>2662</v>
      </c>
      <c r="D939" s="82" t="s">
        <v>2663</v>
      </c>
      <c r="E939" s="82" t="s">
        <v>2163</v>
      </c>
      <c r="F939" s="82" t="s">
        <v>2662</v>
      </c>
      <c r="G939" s="82" t="s">
        <v>1946</v>
      </c>
      <c r="H939" s="82" t="s">
        <v>2165</v>
      </c>
      <c r="I939" s="82" t="s">
        <v>24</v>
      </c>
      <c r="J939" s="82" t="s">
        <v>2171</v>
      </c>
      <c r="K939" s="82" t="s">
        <v>2167</v>
      </c>
      <c r="L939" s="82" t="s">
        <v>1946</v>
      </c>
      <c r="M939" s="82" t="s">
        <v>2090</v>
      </c>
      <c r="N939" s="82" t="s">
        <v>1946</v>
      </c>
      <c r="O939" s="82" t="s">
        <v>2173</v>
      </c>
    </row>
    <row r="940" spans="1:15" ht="15.75" hidden="1" x14ac:dyDescent="0.25">
      <c r="A940" t="str">
        <f t="shared" si="14"/>
        <v>CALLUP-CHIAMATA IN LINEA</v>
      </c>
      <c r="C940" s="82" t="s">
        <v>2664</v>
      </c>
      <c r="D940" s="82" t="s">
        <v>2665</v>
      </c>
      <c r="E940" s="82" t="s">
        <v>2163</v>
      </c>
      <c r="F940" s="82" t="s">
        <v>2666</v>
      </c>
      <c r="G940" s="82" t="s">
        <v>1946</v>
      </c>
      <c r="H940" s="82" t="s">
        <v>2165</v>
      </c>
      <c r="I940" s="82" t="s">
        <v>33</v>
      </c>
      <c r="J940" s="82" t="s">
        <v>2174</v>
      </c>
      <c r="K940" s="82" t="s">
        <v>2173</v>
      </c>
      <c r="L940" s="82" t="s">
        <v>1946</v>
      </c>
      <c r="M940" s="82" t="s">
        <v>2090</v>
      </c>
      <c r="N940" s="82" t="s">
        <v>1946</v>
      </c>
      <c r="O940" s="82" t="s">
        <v>2167</v>
      </c>
    </row>
    <row r="941" spans="1:15" ht="15.75" hidden="1" x14ac:dyDescent="0.25">
      <c r="A941" t="str">
        <f t="shared" si="14"/>
        <v>CAMERA_FAULT-Allarme camera KO</v>
      </c>
      <c r="C941" s="82" t="s">
        <v>798</v>
      </c>
      <c r="D941" s="82" t="s">
        <v>799</v>
      </c>
      <c r="E941" s="82" t="s">
        <v>2163</v>
      </c>
      <c r="F941" s="82" t="s">
        <v>798</v>
      </c>
      <c r="G941" s="82" t="s">
        <v>1946</v>
      </c>
      <c r="H941" s="82" t="s">
        <v>2165</v>
      </c>
      <c r="I941" s="82" t="s">
        <v>24</v>
      </c>
      <c r="J941" s="82" t="s">
        <v>2171</v>
      </c>
      <c r="K941" s="82" t="s">
        <v>2167</v>
      </c>
      <c r="L941" s="82" t="s">
        <v>1946</v>
      </c>
      <c r="M941" s="82" t="s">
        <v>2090</v>
      </c>
      <c r="N941" s="82" t="s">
        <v>1946</v>
      </c>
      <c r="O941" s="82" t="s">
        <v>2173</v>
      </c>
    </row>
    <row r="942" spans="1:15" ht="15.75" hidden="1" x14ac:dyDescent="0.25">
      <c r="A942" t="str">
        <f t="shared" si="14"/>
        <v>CAMERA_FAULT_DIR_NORD-Allarme camera KO dir. nord</v>
      </c>
      <c r="C942" s="82" t="s">
        <v>1705</v>
      </c>
      <c r="D942" s="82" t="s">
        <v>1706</v>
      </c>
      <c r="E942" s="82" t="s">
        <v>2163</v>
      </c>
      <c r="F942" s="82" t="s">
        <v>1705</v>
      </c>
      <c r="G942" s="82" t="s">
        <v>1946</v>
      </c>
      <c r="H942" s="82" t="s">
        <v>2165</v>
      </c>
      <c r="I942" s="82" t="s">
        <v>24</v>
      </c>
      <c r="J942" s="82" t="s">
        <v>2171</v>
      </c>
      <c r="K942" s="82" t="s">
        <v>2167</v>
      </c>
      <c r="L942" s="82" t="s">
        <v>1946</v>
      </c>
      <c r="M942" s="82" t="s">
        <v>2090</v>
      </c>
      <c r="N942" s="82" t="s">
        <v>1946</v>
      </c>
      <c r="O942" s="82" t="s">
        <v>2173</v>
      </c>
    </row>
    <row r="943" spans="1:15" ht="15.75" hidden="1" x14ac:dyDescent="0.25">
      <c r="A943" t="str">
        <f t="shared" si="14"/>
        <v>CAMERA_FAULT_DIR_SUD-Allarme camera KO dir. sud</v>
      </c>
      <c r="C943" s="82" t="s">
        <v>1707</v>
      </c>
      <c r="D943" s="82" t="s">
        <v>1708</v>
      </c>
      <c r="E943" s="82" t="s">
        <v>2163</v>
      </c>
      <c r="F943" s="82" t="s">
        <v>1707</v>
      </c>
      <c r="G943" s="82" t="s">
        <v>1946</v>
      </c>
      <c r="H943" s="82" t="s">
        <v>2165</v>
      </c>
      <c r="I943" s="82" t="s">
        <v>24</v>
      </c>
      <c r="J943" s="82" t="s">
        <v>2171</v>
      </c>
      <c r="K943" s="82" t="s">
        <v>2167</v>
      </c>
      <c r="L943" s="82" t="s">
        <v>1946</v>
      </c>
      <c r="M943" s="82" t="s">
        <v>2090</v>
      </c>
      <c r="N943" s="82" t="s">
        <v>1946</v>
      </c>
      <c r="O943" s="82" t="s">
        <v>2173</v>
      </c>
    </row>
    <row r="944" spans="1:15" ht="15.75" hidden="1" x14ac:dyDescent="0.25">
      <c r="A944" t="str">
        <f t="shared" si="14"/>
        <v>CENTRALINA_FAULT-Allarme centralina termometrica trasformatore</v>
      </c>
      <c r="C944" s="82" t="s">
        <v>800</v>
      </c>
      <c r="D944" s="82" t="s">
        <v>801</v>
      </c>
      <c r="E944" s="82" t="s">
        <v>2163</v>
      </c>
      <c r="F944" s="82" t="s">
        <v>800</v>
      </c>
      <c r="G944" s="82" t="s">
        <v>1946</v>
      </c>
      <c r="H944" s="82" t="s">
        <v>2165</v>
      </c>
      <c r="I944" s="82" t="s">
        <v>24</v>
      </c>
      <c r="J944" s="82" t="s">
        <v>2171</v>
      </c>
      <c r="K944" s="82" t="s">
        <v>2167</v>
      </c>
      <c r="L944" s="82" t="s">
        <v>1946</v>
      </c>
      <c r="M944" s="82" t="s">
        <v>2090</v>
      </c>
      <c r="N944" s="82" t="s">
        <v>1946</v>
      </c>
      <c r="O944" s="82" t="s">
        <v>2173</v>
      </c>
    </row>
    <row r="945" spans="1:15" ht="15.75" hidden="1" x14ac:dyDescent="0.25">
      <c r="A945" t="str">
        <f t="shared" si="14"/>
        <v>CENTRALINA_FAULT_CANNA_NORD-Guasto centralina rilevazione incendio canna nord</v>
      </c>
      <c r="C945" s="82" t="s">
        <v>802</v>
      </c>
      <c r="D945" s="82" t="s">
        <v>803</v>
      </c>
      <c r="E945" s="82" t="s">
        <v>2163</v>
      </c>
      <c r="F945" s="82" t="s">
        <v>802</v>
      </c>
      <c r="G945" s="82" t="s">
        <v>1946</v>
      </c>
      <c r="H945" s="82" t="s">
        <v>2165</v>
      </c>
      <c r="I945" s="82" t="s">
        <v>33</v>
      </c>
      <c r="J945" s="82" t="s">
        <v>2174</v>
      </c>
      <c r="K945" s="82" t="s">
        <v>2173</v>
      </c>
      <c r="L945" s="82" t="s">
        <v>1946</v>
      </c>
      <c r="M945" s="82" t="s">
        <v>2176</v>
      </c>
      <c r="N945" s="82" t="s">
        <v>2188</v>
      </c>
      <c r="O945" s="82" t="s">
        <v>2173</v>
      </c>
    </row>
    <row r="946" spans="1:15" ht="15.75" hidden="1" x14ac:dyDescent="0.25">
      <c r="A946" t="str">
        <f t="shared" si="14"/>
        <v>CENTRALINA_FAULT_CANNA_SUD-Guasto centralina rilevazione incendio canna sud</v>
      </c>
      <c r="C946" s="82" t="s">
        <v>804</v>
      </c>
      <c r="D946" s="82" t="s">
        <v>805</v>
      </c>
      <c r="E946" s="82" t="s">
        <v>2163</v>
      </c>
      <c r="F946" s="82" t="s">
        <v>804</v>
      </c>
      <c r="G946" s="82" t="s">
        <v>1946</v>
      </c>
      <c r="H946" s="82" t="s">
        <v>2165</v>
      </c>
      <c r="I946" s="82" t="s">
        <v>33</v>
      </c>
      <c r="J946" s="82" t="s">
        <v>2174</v>
      </c>
      <c r="K946" s="82" t="s">
        <v>2173</v>
      </c>
      <c r="L946" s="82" t="s">
        <v>1946</v>
      </c>
      <c r="M946" s="82" t="s">
        <v>2176</v>
      </c>
      <c r="N946" s="82" t="s">
        <v>2188</v>
      </c>
      <c r="O946" s="82" t="s">
        <v>2173</v>
      </c>
    </row>
    <row r="947" spans="1:15" ht="15.75" hidden="1" x14ac:dyDescent="0.25">
      <c r="A947" t="str">
        <f t="shared" si="14"/>
        <v>CENTRALINA_TRIP-Centralina trip</v>
      </c>
      <c r="C947" s="82" t="s">
        <v>1882</v>
      </c>
      <c r="D947" s="82" t="s">
        <v>1881</v>
      </c>
      <c r="E947" s="82" t="s">
        <v>2163</v>
      </c>
      <c r="F947" s="82" t="s">
        <v>1882</v>
      </c>
      <c r="G947" s="82" t="s">
        <v>1946</v>
      </c>
      <c r="H947" s="82" t="s">
        <v>2165</v>
      </c>
      <c r="I947" s="82" t="s">
        <v>24</v>
      </c>
      <c r="J947" s="82" t="s">
        <v>2171</v>
      </c>
      <c r="K947" s="82" t="s">
        <v>2167</v>
      </c>
      <c r="L947" s="82" t="s">
        <v>1946</v>
      </c>
      <c r="M947" s="82" t="s">
        <v>2090</v>
      </c>
      <c r="N947" s="82" t="s">
        <v>1946</v>
      </c>
      <c r="O947" s="82" t="s">
        <v>2173</v>
      </c>
    </row>
    <row r="948" spans="1:15" ht="15.75" hidden="1" x14ac:dyDescent="0.25">
      <c r="A948" t="str">
        <f t="shared" si="14"/>
        <v>CENTRALINA_TRIP_GRUPPO-Centralina trip Gruppo</v>
      </c>
      <c r="C948" s="82" t="s">
        <v>1883</v>
      </c>
      <c r="D948" s="82" t="s">
        <v>1884</v>
      </c>
      <c r="E948" s="82" t="s">
        <v>2163</v>
      </c>
      <c r="F948" s="82" t="s">
        <v>1883</v>
      </c>
      <c r="G948" s="82" t="s">
        <v>2182</v>
      </c>
      <c r="H948" s="82" t="s">
        <v>2165</v>
      </c>
      <c r="I948" s="82" t="s">
        <v>24</v>
      </c>
      <c r="J948" s="82" t="s">
        <v>2171</v>
      </c>
      <c r="K948" s="82" t="s">
        <v>2167</v>
      </c>
      <c r="L948" s="82" t="s">
        <v>2182</v>
      </c>
      <c r="M948" s="82" t="s">
        <v>2183</v>
      </c>
      <c r="N948" s="82" t="s">
        <v>1946</v>
      </c>
      <c r="O948" s="82" t="s">
        <v>2167</v>
      </c>
    </row>
    <row r="949" spans="1:15" ht="15.75" hidden="1" x14ac:dyDescent="0.25">
      <c r="A949" t="str">
        <f t="shared" si="14"/>
        <v>CENTRALINA_TRIP_I-Centralina trip</v>
      </c>
      <c r="C949" s="82" t="s">
        <v>1880</v>
      </c>
      <c r="D949" s="82" t="s">
        <v>1881</v>
      </c>
      <c r="E949" s="82" t="s">
        <v>2163</v>
      </c>
      <c r="F949" s="82" t="s">
        <v>1880</v>
      </c>
      <c r="G949" s="82" t="s">
        <v>2182</v>
      </c>
      <c r="H949" s="82" t="s">
        <v>2165</v>
      </c>
      <c r="I949" s="82" t="s">
        <v>24</v>
      </c>
      <c r="J949" s="82" t="s">
        <v>2182</v>
      </c>
      <c r="K949" s="82" t="s">
        <v>2167</v>
      </c>
      <c r="L949" s="82" t="s">
        <v>2182</v>
      </c>
      <c r="M949" s="82" t="s">
        <v>2183</v>
      </c>
      <c r="N949" s="82" t="s">
        <v>1946</v>
      </c>
      <c r="O949" s="82" t="s">
        <v>2173</v>
      </c>
    </row>
    <row r="950" spans="1:15" ht="15.75" hidden="1" x14ac:dyDescent="0.25">
      <c r="A950" t="str">
        <f t="shared" si="14"/>
        <v>CHIUSA-Allarme chiusa</v>
      </c>
      <c r="C950" s="82" t="s">
        <v>2667</v>
      </c>
      <c r="D950" s="82" t="s">
        <v>2668</v>
      </c>
      <c r="E950" s="82" t="s">
        <v>2163</v>
      </c>
      <c r="F950" s="82" t="s">
        <v>2667</v>
      </c>
      <c r="G950" s="82" t="s">
        <v>1946</v>
      </c>
      <c r="H950" s="82" t="s">
        <v>2165</v>
      </c>
      <c r="I950" s="82" t="s">
        <v>24</v>
      </c>
      <c r="J950" s="82" t="s">
        <v>2171</v>
      </c>
      <c r="K950" s="82" t="s">
        <v>2167</v>
      </c>
      <c r="L950" s="82" t="s">
        <v>1946</v>
      </c>
      <c r="M950" s="82" t="s">
        <v>2090</v>
      </c>
      <c r="N950" s="82" t="s">
        <v>1946</v>
      </c>
      <c r="O950" s="82" t="s">
        <v>2173</v>
      </c>
    </row>
    <row r="951" spans="1:15" ht="15.75" hidden="1" x14ac:dyDescent="0.25">
      <c r="A951" t="str">
        <f t="shared" si="14"/>
        <v>CODA-Allarme coda in galleria</v>
      </c>
      <c r="C951" s="82" t="s">
        <v>808</v>
      </c>
      <c r="D951" s="82" t="s">
        <v>809</v>
      </c>
      <c r="E951" s="82" t="s">
        <v>2163</v>
      </c>
      <c r="F951" s="82" t="s">
        <v>808</v>
      </c>
      <c r="G951" s="82" t="s">
        <v>822</v>
      </c>
      <c r="H951" s="82" t="s">
        <v>2165</v>
      </c>
      <c r="I951" s="82" t="s">
        <v>24</v>
      </c>
      <c r="J951" s="82" t="s">
        <v>2171</v>
      </c>
      <c r="K951" s="82" t="s">
        <v>2167</v>
      </c>
      <c r="L951" s="82" t="s">
        <v>2175</v>
      </c>
      <c r="M951" s="82" t="s">
        <v>2176</v>
      </c>
      <c r="N951" s="82" t="s">
        <v>2177</v>
      </c>
      <c r="O951" s="82" t="s">
        <v>2173</v>
      </c>
    </row>
    <row r="952" spans="1:15" ht="15.75" hidden="1" x14ac:dyDescent="0.25">
      <c r="A952" t="str">
        <f t="shared" si="14"/>
        <v>CODA_CORSIA_1-Allarme coda in corsia di emergenza</v>
      </c>
      <c r="C952" s="82" t="s">
        <v>1709</v>
      </c>
      <c r="D952" s="82" t="s">
        <v>1710</v>
      </c>
      <c r="E952" s="82" t="s">
        <v>2163</v>
      </c>
      <c r="F952" s="82" t="s">
        <v>1709</v>
      </c>
      <c r="G952" s="82" t="s">
        <v>822</v>
      </c>
      <c r="H952" s="82" t="s">
        <v>2165</v>
      </c>
      <c r="I952" s="82" t="s">
        <v>24</v>
      </c>
      <c r="J952" s="82" t="s">
        <v>2171</v>
      </c>
      <c r="K952" s="82" t="s">
        <v>2167</v>
      </c>
      <c r="L952" s="82" t="s">
        <v>2175</v>
      </c>
      <c r="M952" s="82" t="s">
        <v>2176</v>
      </c>
      <c r="N952" s="82" t="s">
        <v>2177</v>
      </c>
      <c r="O952" s="82" t="s">
        <v>2173</v>
      </c>
    </row>
    <row r="953" spans="1:15" ht="15.75" hidden="1" x14ac:dyDescent="0.25">
      <c r="A953" t="str">
        <f t="shared" si="14"/>
        <v>CODA_CORSIA_2-Allarme coda in corsia di marcia</v>
      </c>
      <c r="C953" s="82" t="s">
        <v>810</v>
      </c>
      <c r="D953" s="82" t="s">
        <v>811</v>
      </c>
      <c r="E953" s="82" t="s">
        <v>2163</v>
      </c>
      <c r="F953" s="82" t="s">
        <v>810</v>
      </c>
      <c r="G953" s="82" t="s">
        <v>1946</v>
      </c>
      <c r="H953" s="82" t="s">
        <v>2165</v>
      </c>
      <c r="I953" s="82" t="s">
        <v>24</v>
      </c>
      <c r="J953" s="82" t="s">
        <v>2171</v>
      </c>
      <c r="K953" s="82" t="s">
        <v>2167</v>
      </c>
      <c r="L953" s="82" t="s">
        <v>2175</v>
      </c>
      <c r="M953" s="82" t="s">
        <v>2176</v>
      </c>
      <c r="N953" s="82" t="s">
        <v>2177</v>
      </c>
      <c r="O953" s="82" t="s">
        <v>2173</v>
      </c>
    </row>
    <row r="954" spans="1:15" ht="15.75" hidden="1" x14ac:dyDescent="0.25">
      <c r="A954" t="str">
        <f t="shared" si="14"/>
        <v>CODA_CORSIA_3-Allarme coda in corsia di sorpasso</v>
      </c>
      <c r="C954" s="82" t="s">
        <v>812</v>
      </c>
      <c r="D954" s="82" t="s">
        <v>813</v>
      </c>
      <c r="E954" s="82" t="s">
        <v>2163</v>
      </c>
      <c r="F954" s="82" t="s">
        <v>812</v>
      </c>
      <c r="G954" s="82" t="s">
        <v>1946</v>
      </c>
      <c r="H954" s="82" t="s">
        <v>2165</v>
      </c>
      <c r="I954" s="82" t="s">
        <v>24</v>
      </c>
      <c r="J954" s="82" t="s">
        <v>2171</v>
      </c>
      <c r="K954" s="82" t="s">
        <v>2167</v>
      </c>
      <c r="L954" s="82" t="s">
        <v>2175</v>
      </c>
      <c r="M954" s="82" t="s">
        <v>2176</v>
      </c>
      <c r="N954" s="82" t="s">
        <v>2177</v>
      </c>
      <c r="O954" s="82" t="s">
        <v>2173</v>
      </c>
    </row>
    <row r="955" spans="1:15" ht="15.75" hidden="1" x14ac:dyDescent="0.25">
      <c r="A955" t="str">
        <f t="shared" si="14"/>
        <v>CODA_CORSIA_LENTA-Allarme coda in corsia lenta</v>
      </c>
      <c r="C955" s="82" t="s">
        <v>1711</v>
      </c>
      <c r="D955" s="82" t="s">
        <v>1712</v>
      </c>
      <c r="E955" s="82" t="s">
        <v>2163</v>
      </c>
      <c r="F955" s="82" t="s">
        <v>1711</v>
      </c>
      <c r="G955" s="82" t="s">
        <v>1946</v>
      </c>
      <c r="H955" s="82" t="s">
        <v>2165</v>
      </c>
      <c r="I955" s="82" t="s">
        <v>24</v>
      </c>
      <c r="J955" s="82" t="s">
        <v>2171</v>
      </c>
      <c r="K955" s="82" t="s">
        <v>2167</v>
      </c>
      <c r="L955" s="82" t="s">
        <v>2175</v>
      </c>
      <c r="M955" s="82" t="s">
        <v>2176</v>
      </c>
      <c r="N955" s="82" t="s">
        <v>2177</v>
      </c>
      <c r="O955" s="82" t="s">
        <v>2173</v>
      </c>
    </row>
    <row r="956" spans="1:15" ht="15.75" hidden="1" x14ac:dyDescent="0.25">
      <c r="A956" t="str">
        <f t="shared" si="14"/>
        <v>CODA_CORSIA_MARCIA_NORD-Allarme coda in corsia di marcia dir. nord</v>
      </c>
      <c r="C956" s="82" t="s">
        <v>1713</v>
      </c>
      <c r="D956" s="82" t="s">
        <v>1714</v>
      </c>
      <c r="E956" s="82" t="s">
        <v>2163</v>
      </c>
      <c r="F956" s="82" t="s">
        <v>1713</v>
      </c>
      <c r="G956" s="82" t="s">
        <v>1946</v>
      </c>
      <c r="H956" s="82" t="s">
        <v>2165</v>
      </c>
      <c r="I956" s="82" t="s">
        <v>24</v>
      </c>
      <c r="J956" s="82" t="s">
        <v>2171</v>
      </c>
      <c r="K956" s="82" t="s">
        <v>2167</v>
      </c>
      <c r="L956" s="82" t="s">
        <v>2175</v>
      </c>
      <c r="M956" s="82" t="s">
        <v>2176</v>
      </c>
      <c r="N956" s="82" t="s">
        <v>2177</v>
      </c>
      <c r="O956" s="82" t="s">
        <v>2173</v>
      </c>
    </row>
    <row r="957" spans="1:15" ht="15.75" hidden="1" x14ac:dyDescent="0.25">
      <c r="A957" t="str">
        <f t="shared" si="14"/>
        <v>CODA_CORSIA_MARCIA_SUD-Allarme coda in corsia di marcia dir. sud</v>
      </c>
      <c r="C957" s="82" t="s">
        <v>1715</v>
      </c>
      <c r="D957" s="82" t="s">
        <v>1716</v>
      </c>
      <c r="E957" s="82" t="s">
        <v>2163</v>
      </c>
      <c r="F957" s="82" t="s">
        <v>1715</v>
      </c>
      <c r="G957" s="82" t="s">
        <v>1946</v>
      </c>
      <c r="H957" s="82" t="s">
        <v>2165</v>
      </c>
      <c r="I957" s="82" t="s">
        <v>24</v>
      </c>
      <c r="J957" s="82" t="s">
        <v>2171</v>
      </c>
      <c r="K957" s="82" t="s">
        <v>2167</v>
      </c>
      <c r="L957" s="82" t="s">
        <v>2175</v>
      </c>
      <c r="M957" s="82" t="s">
        <v>2176</v>
      </c>
      <c r="N957" s="82" t="s">
        <v>2177</v>
      </c>
      <c r="O957" s="82" t="s">
        <v>2173</v>
      </c>
    </row>
    <row r="958" spans="1:15" ht="15.75" hidden="1" x14ac:dyDescent="0.25">
      <c r="A958" t="str">
        <f t="shared" si="14"/>
        <v>CODA_CORSIA_SORPASSO_NORD-Allarme coda in corsia di sorpasso dir. nord</v>
      </c>
      <c r="C958" s="82" t="s">
        <v>1717</v>
      </c>
      <c r="D958" s="82" t="s">
        <v>1718</v>
      </c>
      <c r="E958" s="82" t="s">
        <v>2163</v>
      </c>
      <c r="F958" s="82" t="s">
        <v>1717</v>
      </c>
      <c r="G958" s="82" t="s">
        <v>1946</v>
      </c>
      <c r="H958" s="82" t="s">
        <v>2165</v>
      </c>
      <c r="I958" s="82" t="s">
        <v>24</v>
      </c>
      <c r="J958" s="82" t="s">
        <v>2171</v>
      </c>
      <c r="K958" s="82" t="s">
        <v>2167</v>
      </c>
      <c r="L958" s="82" t="s">
        <v>2175</v>
      </c>
      <c r="M958" s="82" t="s">
        <v>2176</v>
      </c>
      <c r="N958" s="82" t="s">
        <v>2177</v>
      </c>
      <c r="O958" s="82" t="s">
        <v>2173</v>
      </c>
    </row>
    <row r="959" spans="1:15" ht="15.75" hidden="1" x14ac:dyDescent="0.25">
      <c r="A959" t="str">
        <f t="shared" si="14"/>
        <v>CODA_CORSIA_SORPASSO_SUD-Allarme coda in corsia di sorpasso dir. sud</v>
      </c>
      <c r="C959" s="82" t="s">
        <v>1719</v>
      </c>
      <c r="D959" s="82" t="s">
        <v>1720</v>
      </c>
      <c r="E959" s="82" t="s">
        <v>2163</v>
      </c>
      <c r="F959" s="82" t="s">
        <v>1719</v>
      </c>
      <c r="G959" s="82" t="s">
        <v>1946</v>
      </c>
      <c r="H959" s="82" t="s">
        <v>2165</v>
      </c>
      <c r="I959" s="82" t="s">
        <v>24</v>
      </c>
      <c r="J959" s="82" t="s">
        <v>2171</v>
      </c>
      <c r="K959" s="82" t="s">
        <v>2167</v>
      </c>
      <c r="L959" s="82" t="s">
        <v>2175</v>
      </c>
      <c r="M959" s="82" t="s">
        <v>2176</v>
      </c>
      <c r="N959" s="82" t="s">
        <v>2177</v>
      </c>
      <c r="O959" s="82" t="s">
        <v>2173</v>
      </c>
    </row>
    <row r="960" spans="1:15" ht="15.75" hidden="1" x14ac:dyDescent="0.25">
      <c r="A960" t="str">
        <f t="shared" si="14"/>
        <v>CODA_DIR_NORD-Allarme coda direzione Nord</v>
      </c>
      <c r="C960" s="82" t="s">
        <v>814</v>
      </c>
      <c r="D960" s="82" t="s">
        <v>815</v>
      </c>
      <c r="E960" s="82" t="s">
        <v>2163</v>
      </c>
      <c r="F960" s="82" t="s">
        <v>814</v>
      </c>
      <c r="G960" s="82" t="s">
        <v>1946</v>
      </c>
      <c r="H960" s="82" t="s">
        <v>2165</v>
      </c>
      <c r="I960" s="82" t="s">
        <v>24</v>
      </c>
      <c r="J960" s="82" t="s">
        <v>2171</v>
      </c>
      <c r="K960" s="82" t="s">
        <v>2167</v>
      </c>
      <c r="L960" s="82" t="s">
        <v>2175</v>
      </c>
      <c r="M960" s="82" t="s">
        <v>2176</v>
      </c>
      <c r="N960" s="82" t="s">
        <v>2177</v>
      </c>
      <c r="O960" s="82" t="s">
        <v>2173</v>
      </c>
    </row>
    <row r="961" spans="1:15" ht="15.75" hidden="1" x14ac:dyDescent="0.25">
      <c r="A961" t="str">
        <f t="shared" si="14"/>
        <v>CODA_DIR_SUD-Allarme coda direzione Sud</v>
      </c>
      <c r="C961" s="82" t="s">
        <v>816</v>
      </c>
      <c r="D961" s="82" t="s">
        <v>817</v>
      </c>
      <c r="E961" s="82" t="s">
        <v>2163</v>
      </c>
      <c r="F961" s="82" t="s">
        <v>816</v>
      </c>
      <c r="G961" s="82" t="s">
        <v>1946</v>
      </c>
      <c r="H961" s="82" t="s">
        <v>2165</v>
      </c>
      <c r="I961" s="82" t="s">
        <v>24</v>
      </c>
      <c r="J961" s="82" t="s">
        <v>2171</v>
      </c>
      <c r="K961" s="82" t="s">
        <v>2167</v>
      </c>
      <c r="L961" s="82" t="s">
        <v>2175</v>
      </c>
      <c r="M961" s="82" t="s">
        <v>2176</v>
      </c>
      <c r="N961" s="82" t="s">
        <v>2177</v>
      </c>
      <c r="O961" s="82" t="s">
        <v>2173</v>
      </c>
    </row>
    <row r="962" spans="1:15" ht="15.75" hidden="1" x14ac:dyDescent="0.25">
      <c r="A962" t="str">
        <f t="shared" si="14"/>
        <v>CONGESTION-Coda da tempi di percorrenza</v>
      </c>
      <c r="C962" s="82" t="s">
        <v>1948</v>
      </c>
      <c r="D962" s="82" t="s">
        <v>1948</v>
      </c>
      <c r="E962" s="82" t="s">
        <v>2163</v>
      </c>
      <c r="F962" s="82" t="s">
        <v>1947</v>
      </c>
      <c r="G962" s="82" t="s">
        <v>807</v>
      </c>
      <c r="H962" s="82" t="s">
        <v>2165</v>
      </c>
      <c r="I962" s="82" t="s">
        <v>24</v>
      </c>
      <c r="J962" s="82" t="s">
        <v>2171</v>
      </c>
      <c r="K962" s="82" t="s">
        <v>2167</v>
      </c>
      <c r="L962" s="82" t="s">
        <v>1946</v>
      </c>
      <c r="M962" s="82" t="s">
        <v>2669</v>
      </c>
      <c r="N962" s="82" t="s">
        <v>2177</v>
      </c>
      <c r="O962" s="82" t="s">
        <v>2173</v>
      </c>
    </row>
    <row r="963" spans="1:15" ht="15.75" hidden="1" x14ac:dyDescent="0.25">
      <c r="A963" t="str">
        <f t="shared" ref="A963:A1026" si="15">CONCATENATE(F963,"-",D963)</f>
        <v>CONSENSO_KO-Allarme consenso ko</v>
      </c>
      <c r="C963" s="82" t="s">
        <v>2670</v>
      </c>
      <c r="D963" s="82" t="s">
        <v>2671</v>
      </c>
      <c r="E963" s="82" t="s">
        <v>2163</v>
      </c>
      <c r="F963" s="82" t="s">
        <v>2670</v>
      </c>
      <c r="G963" s="82" t="s">
        <v>1946</v>
      </c>
      <c r="H963" s="82" t="s">
        <v>2165</v>
      </c>
      <c r="I963" s="82" t="s">
        <v>24</v>
      </c>
      <c r="J963" s="82" t="s">
        <v>2171</v>
      </c>
      <c r="K963" s="82" t="s">
        <v>2167</v>
      </c>
      <c r="L963" s="82" t="s">
        <v>1946</v>
      </c>
      <c r="M963" s="82" t="s">
        <v>2090</v>
      </c>
      <c r="N963" s="82" t="s">
        <v>1946</v>
      </c>
      <c r="O963" s="82" t="s">
        <v>2173</v>
      </c>
    </row>
    <row r="964" spans="1:15" ht="15.75" hidden="1" x14ac:dyDescent="0.25">
      <c r="A964" t="str">
        <f t="shared" si="15"/>
        <v>CONT-SEN-Allarme contromano</v>
      </c>
      <c r="C964" s="82" t="s">
        <v>2672</v>
      </c>
      <c r="D964" s="82" t="s">
        <v>2673</v>
      </c>
      <c r="E964" s="82" t="s">
        <v>2163</v>
      </c>
      <c r="F964" s="82" t="s">
        <v>2674</v>
      </c>
      <c r="G964" s="82" t="s">
        <v>1946</v>
      </c>
      <c r="H964" s="82" t="s">
        <v>2165</v>
      </c>
      <c r="I964" s="82" t="s">
        <v>24</v>
      </c>
      <c r="J964" s="82" t="s">
        <v>2171</v>
      </c>
      <c r="K964" s="82" t="s">
        <v>2167</v>
      </c>
      <c r="L964" s="82" t="s">
        <v>1946</v>
      </c>
      <c r="M964" s="82" t="s">
        <v>2090</v>
      </c>
      <c r="N964" s="82" t="s">
        <v>1946</v>
      </c>
      <c r="O964" s="82" t="s">
        <v>2173</v>
      </c>
    </row>
    <row r="965" spans="1:15" ht="15.75" hidden="1" x14ac:dyDescent="0.25">
      <c r="A965" t="str">
        <f t="shared" si="15"/>
        <v>CONT_LINEA-Allarme cont linea</v>
      </c>
      <c r="C965" s="82" t="s">
        <v>2675</v>
      </c>
      <c r="D965" s="82" t="s">
        <v>2676</v>
      </c>
      <c r="E965" s="82" t="s">
        <v>2163</v>
      </c>
      <c r="F965" s="82" t="s">
        <v>2675</v>
      </c>
      <c r="G965" s="82" t="s">
        <v>1946</v>
      </c>
      <c r="H965" s="82" t="s">
        <v>2165</v>
      </c>
      <c r="I965" s="82" t="s">
        <v>24</v>
      </c>
      <c r="J965" s="82" t="s">
        <v>2171</v>
      </c>
      <c r="K965" s="82" t="s">
        <v>2167</v>
      </c>
      <c r="L965" s="82" t="s">
        <v>1946</v>
      </c>
      <c r="M965" s="82" t="s">
        <v>2090</v>
      </c>
      <c r="N965" s="82" t="s">
        <v>1946</v>
      </c>
      <c r="O965" s="82" t="s">
        <v>2173</v>
      </c>
    </row>
    <row r="966" spans="1:15" ht="15.75" hidden="1" x14ac:dyDescent="0.25">
      <c r="A966" t="str">
        <f t="shared" si="15"/>
        <v>CO_GUASTO-Allarme guasto sensore CO</v>
      </c>
      <c r="C966" s="82" t="s">
        <v>806</v>
      </c>
      <c r="D966" s="82" t="s">
        <v>514</v>
      </c>
      <c r="E966" s="82" t="s">
        <v>2163</v>
      </c>
      <c r="F966" s="82" t="s">
        <v>806</v>
      </c>
      <c r="G966" s="82" t="s">
        <v>1946</v>
      </c>
      <c r="H966" s="82" t="s">
        <v>2165</v>
      </c>
      <c r="I966" s="82" t="s">
        <v>24</v>
      </c>
      <c r="J966" s="82" t="s">
        <v>2171</v>
      </c>
      <c r="K966" s="82" t="s">
        <v>2167</v>
      </c>
      <c r="L966" s="82" t="s">
        <v>1946</v>
      </c>
      <c r="M966" s="82" t="s">
        <v>2090</v>
      </c>
      <c r="N966" s="82" t="s">
        <v>1946</v>
      </c>
      <c r="O966" s="82" t="s">
        <v>2173</v>
      </c>
    </row>
    <row r="967" spans="1:15" ht="15.75" hidden="1" x14ac:dyDescent="0.25">
      <c r="A967" t="str">
        <f t="shared" si="15"/>
        <v>CRC_KO_CRC_KO_-MEMORIE ANALOGICHE TEL.</v>
      </c>
      <c r="C967" s="82" t="s">
        <v>2677</v>
      </c>
      <c r="D967" s="82" t="s">
        <v>2678</v>
      </c>
      <c r="E967" s="82" t="s">
        <v>2163</v>
      </c>
      <c r="F967" s="82" t="s">
        <v>2679</v>
      </c>
      <c r="G967" s="82" t="s">
        <v>1946</v>
      </c>
      <c r="H967" s="82" t="s">
        <v>2165</v>
      </c>
      <c r="I967" s="82" t="s">
        <v>33</v>
      </c>
      <c r="J967" s="82" t="s">
        <v>2174</v>
      </c>
      <c r="K967" s="82" t="s">
        <v>2173</v>
      </c>
      <c r="L967" s="82" t="s">
        <v>1946</v>
      </c>
      <c r="M967" s="82" t="s">
        <v>2090</v>
      </c>
      <c r="N967" s="82" t="s">
        <v>1946</v>
      </c>
      <c r="O967" s="82" t="s">
        <v>2167</v>
      </c>
    </row>
    <row r="968" spans="1:15" ht="15.75" hidden="1" x14ac:dyDescent="0.25">
      <c r="A968" t="str">
        <f t="shared" si="15"/>
        <v>CRC_KO_CRC_KO__EXCEPTION-MEMORIE ANALOGICHE TEL.</v>
      </c>
      <c r="C968" s="82" t="s">
        <v>2680</v>
      </c>
      <c r="D968" s="82" t="s">
        <v>2678</v>
      </c>
      <c r="E968" s="82" t="s">
        <v>2163</v>
      </c>
      <c r="F968" s="82" t="s">
        <v>2681</v>
      </c>
      <c r="G968" s="82" t="s">
        <v>1946</v>
      </c>
      <c r="H968" s="82" t="s">
        <v>2165</v>
      </c>
      <c r="I968" s="82" t="s">
        <v>33</v>
      </c>
      <c r="J968" s="82" t="s">
        <v>2174</v>
      </c>
      <c r="K968" s="82" t="s">
        <v>2173</v>
      </c>
      <c r="L968" s="82" t="s">
        <v>1946</v>
      </c>
      <c r="M968" s="82" t="s">
        <v>2090</v>
      </c>
      <c r="N968" s="82" t="s">
        <v>1946</v>
      </c>
      <c r="O968" s="82" t="s">
        <v>2173</v>
      </c>
    </row>
    <row r="969" spans="1:15" ht="15.75" hidden="1" x14ac:dyDescent="0.25">
      <c r="A969" t="str">
        <f t="shared" si="15"/>
        <v>CRC_KO_CRC_WAR-MEMORIE ANALOGICHE TEL.</v>
      </c>
      <c r="C969" s="82" t="s">
        <v>2682</v>
      </c>
      <c r="D969" s="82" t="s">
        <v>2678</v>
      </c>
      <c r="E969" s="82" t="s">
        <v>2163</v>
      </c>
      <c r="F969" s="82" t="s">
        <v>2683</v>
      </c>
      <c r="G969" s="82" t="s">
        <v>1946</v>
      </c>
      <c r="H969" s="82" t="s">
        <v>2165</v>
      </c>
      <c r="I969" s="82" t="s">
        <v>33</v>
      </c>
      <c r="J969" s="82" t="s">
        <v>2174</v>
      </c>
      <c r="K969" s="82" t="s">
        <v>2173</v>
      </c>
      <c r="L969" s="82" t="s">
        <v>1946</v>
      </c>
      <c r="M969" s="82" t="s">
        <v>2090</v>
      </c>
      <c r="N969" s="82" t="s">
        <v>1946</v>
      </c>
      <c r="O969" s="82" t="s">
        <v>2167</v>
      </c>
    </row>
    <row r="970" spans="1:15" ht="15.75" hidden="1" x14ac:dyDescent="0.25">
      <c r="A970" t="str">
        <f t="shared" si="15"/>
        <v>CRC_KO_CRC_WAR_EXCEPTION-MEMORIE ANALOGICHE TEL.</v>
      </c>
      <c r="C970" s="82" t="s">
        <v>2684</v>
      </c>
      <c r="D970" s="82" t="s">
        <v>2678</v>
      </c>
      <c r="E970" s="82" t="s">
        <v>2163</v>
      </c>
      <c r="F970" s="82" t="s">
        <v>2685</v>
      </c>
      <c r="G970" s="82" t="s">
        <v>1946</v>
      </c>
      <c r="H970" s="82" t="s">
        <v>2165</v>
      </c>
      <c r="I970" s="82" t="s">
        <v>33</v>
      </c>
      <c r="J970" s="82" t="s">
        <v>2174</v>
      </c>
      <c r="K970" s="82" t="s">
        <v>2173</v>
      </c>
      <c r="L970" s="82" t="s">
        <v>1946</v>
      </c>
      <c r="M970" s="82" t="s">
        <v>2090</v>
      </c>
      <c r="N970" s="82" t="s">
        <v>1946</v>
      </c>
      <c r="O970" s="82" t="s">
        <v>2173</v>
      </c>
    </row>
    <row r="971" spans="1:15" ht="15.75" hidden="1" x14ac:dyDescent="0.25">
      <c r="A971" t="str">
        <f t="shared" si="15"/>
        <v>CUMULATIVO_CAMERA-Allarme cumulativo camera</v>
      </c>
      <c r="C971" s="82" t="s">
        <v>818</v>
      </c>
      <c r="D971" s="82" t="s">
        <v>819</v>
      </c>
      <c r="E971" s="82" t="s">
        <v>2163</v>
      </c>
      <c r="F971" s="82" t="s">
        <v>818</v>
      </c>
      <c r="G971" s="82" t="s">
        <v>1946</v>
      </c>
      <c r="H971" s="82" t="s">
        <v>2165</v>
      </c>
      <c r="I971" s="82" t="s">
        <v>24</v>
      </c>
      <c r="J971" s="82" t="s">
        <v>2171</v>
      </c>
      <c r="K971" s="82" t="s">
        <v>2167</v>
      </c>
      <c r="L971" s="82" t="s">
        <v>1946</v>
      </c>
      <c r="M971" s="82" t="s">
        <v>2090</v>
      </c>
      <c r="N971" s="82" t="s">
        <v>1946</v>
      </c>
      <c r="O971" s="82" t="s">
        <v>2173</v>
      </c>
    </row>
    <row r="972" spans="1:15" ht="15.75" hidden="1" x14ac:dyDescent="0.25">
      <c r="A972" t="str">
        <f t="shared" si="15"/>
        <v>DIAGNOSTIC_NOTIFICATION-Notifica diagnostica dispositivo</v>
      </c>
      <c r="C972" s="82" t="s">
        <v>2686</v>
      </c>
      <c r="D972" s="82" t="s">
        <v>2687</v>
      </c>
      <c r="E972" s="82" t="s">
        <v>2163</v>
      </c>
      <c r="F972" s="82" t="s">
        <v>2688</v>
      </c>
      <c r="G972" s="82" t="s">
        <v>1946</v>
      </c>
      <c r="H972" s="82" t="s">
        <v>2165</v>
      </c>
      <c r="I972" s="82" t="s">
        <v>24</v>
      </c>
      <c r="J972" s="82" t="s">
        <v>2171</v>
      </c>
      <c r="K972" s="82" t="s">
        <v>2167</v>
      </c>
      <c r="L972" s="82" t="s">
        <v>1946</v>
      </c>
      <c r="M972" s="82" t="s">
        <v>2090</v>
      </c>
      <c r="N972" s="82" t="s">
        <v>1946</v>
      </c>
      <c r="O972" s="82" t="s">
        <v>2167</v>
      </c>
    </row>
    <row r="973" spans="1:15" ht="15.75" hidden="1" x14ac:dyDescent="0.25">
      <c r="A973" t="str">
        <f t="shared" si="15"/>
        <v>DOWN-CHIAMATA TERMINATA</v>
      </c>
      <c r="C973" s="82" t="s">
        <v>2689</v>
      </c>
      <c r="D973" s="82" t="s">
        <v>2690</v>
      </c>
      <c r="E973" s="82" t="s">
        <v>2163</v>
      </c>
      <c r="F973" s="82" t="s">
        <v>2691</v>
      </c>
      <c r="G973" s="82" t="s">
        <v>1946</v>
      </c>
      <c r="H973" s="82" t="s">
        <v>2165</v>
      </c>
      <c r="I973" s="82" t="s">
        <v>33</v>
      </c>
      <c r="J973" s="82" t="s">
        <v>2174</v>
      </c>
      <c r="K973" s="82" t="s">
        <v>2173</v>
      </c>
      <c r="L973" s="82" t="s">
        <v>1946</v>
      </c>
      <c r="M973" s="82" t="s">
        <v>2090</v>
      </c>
      <c r="N973" s="82" t="s">
        <v>1946</v>
      </c>
      <c r="O973" s="82" t="s">
        <v>2167</v>
      </c>
    </row>
    <row r="974" spans="1:15" ht="15.75" hidden="1" x14ac:dyDescent="0.25">
      <c r="A974" t="str">
        <f t="shared" si="15"/>
        <v>EMERGENCY_FIREGAS-ALLARME DISP. EMERGENZA</v>
      </c>
      <c r="C974" s="82" t="s">
        <v>2692</v>
      </c>
      <c r="D974" s="82" t="s">
        <v>2693</v>
      </c>
      <c r="E974" s="82" t="s">
        <v>2163</v>
      </c>
      <c r="F974" s="82" t="s">
        <v>2694</v>
      </c>
      <c r="G974" s="82" t="s">
        <v>1946</v>
      </c>
      <c r="H974" s="82" t="s">
        <v>2165</v>
      </c>
      <c r="I974" s="82" t="s">
        <v>33</v>
      </c>
      <c r="J974" s="82" t="s">
        <v>2174</v>
      </c>
      <c r="K974" s="82" t="s">
        <v>2173</v>
      </c>
      <c r="L974" s="82" t="s">
        <v>1946</v>
      </c>
      <c r="M974" s="82" t="s">
        <v>2090</v>
      </c>
      <c r="N974" s="82" t="s">
        <v>1946</v>
      </c>
      <c r="O974" s="82" t="s">
        <v>2167</v>
      </c>
    </row>
    <row r="975" spans="1:15" ht="15.75" hidden="1" x14ac:dyDescent="0.25">
      <c r="A975" t="str">
        <f t="shared" si="15"/>
        <v>EVENTI-EVENTI</v>
      </c>
      <c r="C975" s="82" t="s">
        <v>2695</v>
      </c>
      <c r="D975" s="82" t="s">
        <v>2695</v>
      </c>
      <c r="E975" s="82" t="s">
        <v>2696</v>
      </c>
      <c r="F975" s="82" t="s">
        <v>2695</v>
      </c>
      <c r="G975" s="82" t="s">
        <v>1946</v>
      </c>
      <c r="H975" s="82" t="s">
        <v>2165</v>
      </c>
      <c r="I975" s="82" t="s">
        <v>33</v>
      </c>
      <c r="J975" s="82" t="s">
        <v>2182</v>
      </c>
      <c r="K975" s="82" t="s">
        <v>2167</v>
      </c>
      <c r="L975" s="82" t="s">
        <v>1946</v>
      </c>
      <c r="M975" s="82" t="s">
        <v>2252</v>
      </c>
      <c r="N975" s="82" t="s">
        <v>1946</v>
      </c>
      <c r="O975" s="82" t="s">
        <v>2173</v>
      </c>
    </row>
    <row r="976" spans="1:15" ht="15.75" hidden="1" x14ac:dyDescent="0.25">
      <c r="A976" t="str">
        <f t="shared" si="15"/>
        <v>EXT_KO_ARMADIO-ARMADIO APERTO</v>
      </c>
      <c r="C976" s="82" t="s">
        <v>2697</v>
      </c>
      <c r="D976" s="82" t="s">
        <v>2698</v>
      </c>
      <c r="E976" s="82" t="s">
        <v>2163</v>
      </c>
      <c r="F976" s="82" t="s">
        <v>2699</v>
      </c>
      <c r="G976" s="82" t="s">
        <v>1946</v>
      </c>
      <c r="H976" s="82" t="s">
        <v>2165</v>
      </c>
      <c r="I976" s="82" t="s">
        <v>33</v>
      </c>
      <c r="J976" s="82" t="s">
        <v>2174</v>
      </c>
      <c r="K976" s="82" t="s">
        <v>2173</v>
      </c>
      <c r="L976" s="82" t="s">
        <v>1946</v>
      </c>
      <c r="M976" s="82" t="s">
        <v>2090</v>
      </c>
      <c r="N976" s="82" t="s">
        <v>1946</v>
      </c>
      <c r="O976" s="82" t="s">
        <v>2167</v>
      </c>
    </row>
    <row r="977" spans="1:15" ht="15.75" hidden="1" x14ac:dyDescent="0.25">
      <c r="A977" t="str">
        <f t="shared" si="15"/>
        <v>FAULT_LETT_FREQUENZA-Allarme lettura frequenza non riuscita</v>
      </c>
      <c r="C977" s="82" t="s">
        <v>2700</v>
      </c>
      <c r="D977" s="82" t="s">
        <v>2701</v>
      </c>
      <c r="E977" s="82" t="s">
        <v>2163</v>
      </c>
      <c r="F977" s="82" t="s">
        <v>2700</v>
      </c>
      <c r="G977" s="82" t="s">
        <v>1946</v>
      </c>
      <c r="H977" s="82" t="s">
        <v>2165</v>
      </c>
      <c r="I977" s="82" t="s">
        <v>24</v>
      </c>
      <c r="J977" s="82" t="s">
        <v>2171</v>
      </c>
      <c r="K977" s="82" t="s">
        <v>2167</v>
      </c>
      <c r="L977" s="82" t="s">
        <v>1946</v>
      </c>
      <c r="M977" s="82" t="s">
        <v>2090</v>
      </c>
      <c r="N977" s="82" t="s">
        <v>1946</v>
      </c>
      <c r="O977" s="82" t="s">
        <v>2173</v>
      </c>
    </row>
    <row r="978" spans="1:15" ht="15.75" hidden="1" x14ac:dyDescent="0.25">
      <c r="A978" t="str">
        <f t="shared" si="15"/>
        <v>FAULT_LETT_PORTATA-Allarme lettura portata non riuscita</v>
      </c>
      <c r="C978" s="82" t="s">
        <v>820</v>
      </c>
      <c r="D978" s="82" t="s">
        <v>821</v>
      </c>
      <c r="E978" s="82" t="s">
        <v>2163</v>
      </c>
      <c r="F978" s="82" t="s">
        <v>820</v>
      </c>
      <c r="G978" s="82" t="s">
        <v>1946</v>
      </c>
      <c r="H978" s="82" t="s">
        <v>2165</v>
      </c>
      <c r="I978" s="82" t="s">
        <v>24</v>
      </c>
      <c r="J978" s="82" t="s">
        <v>2171</v>
      </c>
      <c r="K978" s="82" t="s">
        <v>2167</v>
      </c>
      <c r="L978" s="82" t="s">
        <v>1946</v>
      </c>
      <c r="M978" s="82" t="s">
        <v>2090</v>
      </c>
      <c r="N978" s="82" t="s">
        <v>1946</v>
      </c>
      <c r="O978" s="82" t="s">
        <v>2173</v>
      </c>
    </row>
    <row r="979" spans="1:15" ht="15.75" hidden="1" x14ac:dyDescent="0.25">
      <c r="A979" t="str">
        <f t="shared" si="15"/>
        <v>FAULT__GUASTO_-TELEFONO GUASTO</v>
      </c>
      <c r="C979" s="82" t="s">
        <v>2702</v>
      </c>
      <c r="D979" s="82" t="s">
        <v>2703</v>
      </c>
      <c r="E979" s="82" t="s">
        <v>2163</v>
      </c>
      <c r="F979" s="82" t="s">
        <v>2704</v>
      </c>
      <c r="G979" s="82" t="s">
        <v>1946</v>
      </c>
      <c r="H979" s="82" t="s">
        <v>2165</v>
      </c>
      <c r="I979" s="82" t="s">
        <v>33</v>
      </c>
      <c r="J979" s="82" t="s">
        <v>2174</v>
      </c>
      <c r="K979" s="82" t="s">
        <v>2173</v>
      </c>
      <c r="L979" s="82" t="s">
        <v>1946</v>
      </c>
      <c r="M979" s="82" t="s">
        <v>2090</v>
      </c>
      <c r="N979" s="82" t="s">
        <v>1946</v>
      </c>
      <c r="O979" s="82" t="s">
        <v>2167</v>
      </c>
    </row>
    <row r="980" spans="1:15" ht="15.75" hidden="1" x14ac:dyDescent="0.25">
      <c r="A980" t="str">
        <f t="shared" si="15"/>
        <v>FAULT__GUASTO_AUTO-TEL. GUASTO-AUTODIAGNOSTICA</v>
      </c>
      <c r="C980" s="82" t="s">
        <v>2705</v>
      </c>
      <c r="D980" s="82" t="s">
        <v>2706</v>
      </c>
      <c r="E980" s="82" t="s">
        <v>2163</v>
      </c>
      <c r="F980" s="82" t="s">
        <v>2707</v>
      </c>
      <c r="G980" s="82" t="s">
        <v>1946</v>
      </c>
      <c r="H980" s="82" t="s">
        <v>2165</v>
      </c>
      <c r="I980" s="82" t="s">
        <v>33</v>
      </c>
      <c r="J980" s="82" t="s">
        <v>2174</v>
      </c>
      <c r="K980" s="82" t="s">
        <v>2173</v>
      </c>
      <c r="L980" s="82" t="s">
        <v>1946</v>
      </c>
      <c r="M980" s="82" t="s">
        <v>2090</v>
      </c>
      <c r="N980" s="82" t="s">
        <v>1946</v>
      </c>
      <c r="O980" s="82" t="s">
        <v>2167</v>
      </c>
    </row>
    <row r="981" spans="1:15" ht="15.75" hidden="1" x14ac:dyDescent="0.25">
      <c r="A981" t="str">
        <f t="shared" si="15"/>
        <v>FAULT__GUASTO_AUTO_EXCEPTION-TEL. GUASTO-AUTODIAGNOSTICA</v>
      </c>
      <c r="C981" s="82" t="s">
        <v>2708</v>
      </c>
      <c r="D981" s="82" t="s">
        <v>2706</v>
      </c>
      <c r="E981" s="82" t="s">
        <v>2163</v>
      </c>
      <c r="F981" s="82" t="s">
        <v>2709</v>
      </c>
      <c r="G981" s="82" t="s">
        <v>1946</v>
      </c>
      <c r="H981" s="82" t="s">
        <v>2165</v>
      </c>
      <c r="I981" s="82" t="s">
        <v>33</v>
      </c>
      <c r="J981" s="82" t="s">
        <v>2174</v>
      </c>
      <c r="K981" s="82" t="s">
        <v>2173</v>
      </c>
      <c r="L981" s="82" t="s">
        <v>1946</v>
      </c>
      <c r="M981" s="82" t="s">
        <v>2090</v>
      </c>
      <c r="N981" s="82" t="s">
        <v>1946</v>
      </c>
      <c r="O981" s="82" t="s">
        <v>2173</v>
      </c>
    </row>
    <row r="982" spans="1:15" ht="15.75" hidden="1" x14ac:dyDescent="0.25">
      <c r="A982" t="str">
        <f t="shared" si="15"/>
        <v>FAULT__GUASTO__EXCEPTION-TELEFONO GUASTO</v>
      </c>
      <c r="C982" s="82" t="s">
        <v>2710</v>
      </c>
      <c r="D982" s="82" t="s">
        <v>2703</v>
      </c>
      <c r="E982" s="82" t="s">
        <v>2163</v>
      </c>
      <c r="F982" s="82" t="s">
        <v>2711</v>
      </c>
      <c r="G982" s="82" t="s">
        <v>1946</v>
      </c>
      <c r="H982" s="82" t="s">
        <v>2165</v>
      </c>
      <c r="I982" s="82" t="s">
        <v>33</v>
      </c>
      <c r="J982" s="82" t="s">
        <v>2174</v>
      </c>
      <c r="K982" s="82" t="s">
        <v>2173</v>
      </c>
      <c r="L982" s="82" t="s">
        <v>1946</v>
      </c>
      <c r="M982" s="82" t="s">
        <v>2090</v>
      </c>
      <c r="N982" s="82" t="s">
        <v>1946</v>
      </c>
      <c r="O982" s="82" t="s">
        <v>2173</v>
      </c>
    </row>
    <row r="983" spans="1:15" ht="15.75" hidden="1" x14ac:dyDescent="0.25">
      <c r="A983" t="str">
        <f t="shared" si="15"/>
        <v>FAULT__IRRAGGI-TELEFONO FUORI RETE</v>
      </c>
      <c r="C983" s="82" t="s">
        <v>2712</v>
      </c>
      <c r="D983" s="82" t="s">
        <v>2713</v>
      </c>
      <c r="E983" s="82" t="s">
        <v>2163</v>
      </c>
      <c r="F983" s="82" t="s">
        <v>2714</v>
      </c>
      <c r="G983" s="82" t="s">
        <v>1946</v>
      </c>
      <c r="H983" s="82" t="s">
        <v>2165</v>
      </c>
      <c r="I983" s="82" t="s">
        <v>33</v>
      </c>
      <c r="J983" s="82" t="s">
        <v>2174</v>
      </c>
      <c r="K983" s="82" t="s">
        <v>2173</v>
      </c>
      <c r="L983" s="82" t="s">
        <v>1946</v>
      </c>
      <c r="M983" s="82" t="s">
        <v>2090</v>
      </c>
      <c r="N983" s="82" t="s">
        <v>1946</v>
      </c>
      <c r="O983" s="82" t="s">
        <v>2167</v>
      </c>
    </row>
    <row r="984" spans="1:15" ht="15.75" hidden="1" x14ac:dyDescent="0.25">
      <c r="A984" t="str">
        <f t="shared" si="15"/>
        <v>FAULT__IRRAGGI_EXCEPTION-TELEFONO FUORI RETE</v>
      </c>
      <c r="C984" s="82" t="s">
        <v>2715</v>
      </c>
      <c r="D984" s="82" t="s">
        <v>2713</v>
      </c>
      <c r="E984" s="82" t="s">
        <v>2163</v>
      </c>
      <c r="F984" s="82" t="s">
        <v>2716</v>
      </c>
      <c r="G984" s="82" t="s">
        <v>1946</v>
      </c>
      <c r="H984" s="82" t="s">
        <v>2165</v>
      </c>
      <c r="I984" s="82" t="s">
        <v>33</v>
      </c>
      <c r="J984" s="82" t="s">
        <v>2174</v>
      </c>
      <c r="K984" s="82" t="s">
        <v>2173</v>
      </c>
      <c r="L984" s="82" t="s">
        <v>1946</v>
      </c>
      <c r="M984" s="82" t="s">
        <v>2090</v>
      </c>
      <c r="N984" s="82" t="s">
        <v>1946</v>
      </c>
      <c r="O984" s="82" t="s">
        <v>2173</v>
      </c>
    </row>
    <row r="985" spans="1:15" ht="15.75" hidden="1" x14ac:dyDescent="0.25">
      <c r="A985" t="str">
        <f t="shared" si="15"/>
        <v>FINE_CORSA_PORTA-Porta aperta</v>
      </c>
      <c r="C985" s="82" t="s">
        <v>2717</v>
      </c>
      <c r="D985" s="82" t="s">
        <v>2718</v>
      </c>
      <c r="E985" s="82" t="s">
        <v>2163</v>
      </c>
      <c r="F985" s="82" t="s">
        <v>2717</v>
      </c>
      <c r="G985" s="82" t="s">
        <v>1946</v>
      </c>
      <c r="H985" s="82" t="s">
        <v>2165</v>
      </c>
      <c r="I985" s="82" t="s">
        <v>24</v>
      </c>
      <c r="J985" s="82" t="s">
        <v>2171</v>
      </c>
      <c r="K985" s="82" t="s">
        <v>2167</v>
      </c>
      <c r="L985" s="82" t="s">
        <v>1946</v>
      </c>
      <c r="M985" s="82" t="s">
        <v>2090</v>
      </c>
      <c r="N985" s="82" t="s">
        <v>1946</v>
      </c>
      <c r="O985" s="82" t="s">
        <v>2173</v>
      </c>
    </row>
    <row r="986" spans="1:15" ht="15.75" hidden="1" x14ac:dyDescent="0.25">
      <c r="A986" t="str">
        <f t="shared" si="15"/>
        <v>FINE_MATERIALE_FILTRO-Allarme fine materiale filtro</v>
      </c>
      <c r="C986" s="82" t="s">
        <v>2719</v>
      </c>
      <c r="D986" s="82" t="s">
        <v>2720</v>
      </c>
      <c r="E986" s="82" t="s">
        <v>2163</v>
      </c>
      <c r="F986" s="82" t="s">
        <v>2719</v>
      </c>
      <c r="G986" s="82" t="s">
        <v>1946</v>
      </c>
      <c r="H986" s="82" t="s">
        <v>2165</v>
      </c>
      <c r="I986" s="82" t="s">
        <v>24</v>
      </c>
      <c r="J986" s="82" t="s">
        <v>2171</v>
      </c>
      <c r="K986" s="82" t="s">
        <v>2167</v>
      </c>
      <c r="L986" s="82" t="s">
        <v>1946</v>
      </c>
      <c r="M986" s="82" t="s">
        <v>2090</v>
      </c>
      <c r="N986" s="82" t="s">
        <v>1946</v>
      </c>
      <c r="O986" s="82" t="s">
        <v>2173</v>
      </c>
    </row>
    <row r="987" spans="1:15" ht="15.75" hidden="1" x14ac:dyDescent="0.25">
      <c r="A987" t="str">
        <f t="shared" si="15"/>
        <v>FORTE_RALLENTAMENTO-Allarme forte rallentamento</v>
      </c>
      <c r="C987" s="82" t="s">
        <v>823</v>
      </c>
      <c r="D987" s="82" t="s">
        <v>824</v>
      </c>
      <c r="E987" s="82" t="s">
        <v>2163</v>
      </c>
      <c r="F987" s="82" t="s">
        <v>823</v>
      </c>
      <c r="G987" s="82" t="s">
        <v>1946</v>
      </c>
      <c r="H987" s="82" t="s">
        <v>2165</v>
      </c>
      <c r="I987" s="82" t="s">
        <v>24</v>
      </c>
      <c r="J987" s="82" t="s">
        <v>2171</v>
      </c>
      <c r="K987" s="82" t="s">
        <v>2167</v>
      </c>
      <c r="L987" s="82" t="s">
        <v>2179</v>
      </c>
      <c r="M987" s="82" t="s">
        <v>2176</v>
      </c>
      <c r="N987" s="82" t="s">
        <v>2177</v>
      </c>
      <c r="O987" s="82" t="s">
        <v>2173</v>
      </c>
    </row>
    <row r="988" spans="1:15" ht="15.75" hidden="1" x14ac:dyDescent="0.25">
      <c r="A988" t="str">
        <f t="shared" si="15"/>
        <v>FORTE_RALLENTAMENTO_CORSIA_1-Allarme forte rallentamento corsia di emergenza</v>
      </c>
      <c r="C988" s="82" t="s">
        <v>826</v>
      </c>
      <c r="D988" s="82" t="s">
        <v>827</v>
      </c>
      <c r="E988" s="82" t="s">
        <v>2163</v>
      </c>
      <c r="F988" s="82" t="s">
        <v>826</v>
      </c>
      <c r="G988" s="82" t="s">
        <v>1946</v>
      </c>
      <c r="H988" s="82" t="s">
        <v>2165</v>
      </c>
      <c r="I988" s="82" t="s">
        <v>24</v>
      </c>
      <c r="J988" s="82" t="s">
        <v>2171</v>
      </c>
      <c r="K988" s="82" t="s">
        <v>2167</v>
      </c>
      <c r="L988" s="82" t="s">
        <v>2179</v>
      </c>
      <c r="M988" s="82" t="s">
        <v>2176</v>
      </c>
      <c r="N988" s="82" t="s">
        <v>2177</v>
      </c>
      <c r="O988" s="82" t="s">
        <v>2173</v>
      </c>
    </row>
    <row r="989" spans="1:15" ht="15.75" hidden="1" x14ac:dyDescent="0.25">
      <c r="A989" t="str">
        <f t="shared" si="15"/>
        <v>FORTE_RALLENTAMENTO_CORSIA_2-Allarme forte rallentamento corsia di marcia</v>
      </c>
      <c r="C989" s="82" t="s">
        <v>828</v>
      </c>
      <c r="D989" s="82" t="s">
        <v>829</v>
      </c>
      <c r="E989" s="82" t="s">
        <v>2163</v>
      </c>
      <c r="F989" s="82" t="s">
        <v>828</v>
      </c>
      <c r="G989" s="82" t="s">
        <v>1946</v>
      </c>
      <c r="H989" s="82" t="s">
        <v>2165</v>
      </c>
      <c r="I989" s="82" t="s">
        <v>24</v>
      </c>
      <c r="J989" s="82" t="s">
        <v>2171</v>
      </c>
      <c r="K989" s="82" t="s">
        <v>2167</v>
      </c>
      <c r="L989" s="82" t="s">
        <v>2179</v>
      </c>
      <c r="M989" s="82" t="s">
        <v>2176</v>
      </c>
      <c r="N989" s="82" t="s">
        <v>2177</v>
      </c>
      <c r="O989" s="82" t="s">
        <v>2173</v>
      </c>
    </row>
    <row r="990" spans="1:15" ht="15.75" hidden="1" x14ac:dyDescent="0.25">
      <c r="A990" t="str">
        <f t="shared" si="15"/>
        <v>FORTE_RALLENTAMENTO_CORSIA_3-Allarme forte rallentamento corsia veloce</v>
      </c>
      <c r="C990" s="82" t="s">
        <v>830</v>
      </c>
      <c r="D990" s="82" t="s">
        <v>831</v>
      </c>
      <c r="E990" s="82" t="s">
        <v>2163</v>
      </c>
      <c r="F990" s="82" t="s">
        <v>830</v>
      </c>
      <c r="G990" s="82" t="s">
        <v>1946</v>
      </c>
      <c r="H990" s="82" t="s">
        <v>2165</v>
      </c>
      <c r="I990" s="82" t="s">
        <v>24</v>
      </c>
      <c r="J990" s="82" t="s">
        <v>2171</v>
      </c>
      <c r="K990" s="82" t="s">
        <v>2167</v>
      </c>
      <c r="L990" s="82" t="s">
        <v>2179</v>
      </c>
      <c r="M990" s="82" t="s">
        <v>2176</v>
      </c>
      <c r="N990" s="82" t="s">
        <v>2177</v>
      </c>
      <c r="O990" s="82" t="s">
        <v>2173</v>
      </c>
    </row>
    <row r="991" spans="1:15" ht="15.75" hidden="1" x14ac:dyDescent="0.25">
      <c r="A991" t="str">
        <f t="shared" si="15"/>
        <v>FORTE_RALLENTAMENTO_CORSIA_LENTA-Allarme forte rallentamento corsia lenta</v>
      </c>
      <c r="C991" s="82" t="s">
        <v>1721</v>
      </c>
      <c r="D991" s="82" t="s">
        <v>1722</v>
      </c>
      <c r="E991" s="82" t="s">
        <v>2163</v>
      </c>
      <c r="F991" s="82" t="s">
        <v>1721</v>
      </c>
      <c r="G991" s="82" t="s">
        <v>1946</v>
      </c>
      <c r="H991" s="82" t="s">
        <v>2165</v>
      </c>
      <c r="I991" s="82" t="s">
        <v>24</v>
      </c>
      <c r="J991" s="82" t="s">
        <v>2171</v>
      </c>
      <c r="K991" s="82" t="s">
        <v>2167</v>
      </c>
      <c r="L991" s="82" t="s">
        <v>2179</v>
      </c>
      <c r="M991" s="82" t="s">
        <v>2176</v>
      </c>
      <c r="N991" s="82" t="s">
        <v>2177</v>
      </c>
      <c r="O991" s="82" t="s">
        <v>2173</v>
      </c>
    </row>
    <row r="992" spans="1:15" ht="15.75" hidden="1" x14ac:dyDescent="0.25">
      <c r="A992" t="str">
        <f t="shared" si="15"/>
        <v>FORTE_RALLENTAMENTO_CORSIA_MARCIA_NORD-Allarme forte rallentamento corsia di marcia nord</v>
      </c>
      <c r="C992" s="82" t="s">
        <v>1723</v>
      </c>
      <c r="D992" s="82" t="s">
        <v>1724</v>
      </c>
      <c r="E992" s="82" t="s">
        <v>2163</v>
      </c>
      <c r="F992" s="82" t="s">
        <v>1723</v>
      </c>
      <c r="G992" s="82" t="s">
        <v>1946</v>
      </c>
      <c r="H992" s="82" t="s">
        <v>2165</v>
      </c>
      <c r="I992" s="82" t="s">
        <v>24</v>
      </c>
      <c r="J992" s="82" t="s">
        <v>2171</v>
      </c>
      <c r="K992" s="82" t="s">
        <v>2167</v>
      </c>
      <c r="L992" s="82" t="s">
        <v>2179</v>
      </c>
      <c r="M992" s="82" t="s">
        <v>2176</v>
      </c>
      <c r="N992" s="82" t="s">
        <v>2177</v>
      </c>
      <c r="O992" s="82" t="s">
        <v>2173</v>
      </c>
    </row>
    <row r="993" spans="1:15" ht="15.75" hidden="1" x14ac:dyDescent="0.25">
      <c r="A993" t="str">
        <f t="shared" si="15"/>
        <v>FORTE_RALLENTAMENTO_CORSIA_MARCIA_SUD-Allarme forte rallentamento corsia di marcia sud</v>
      </c>
      <c r="C993" s="82" t="s">
        <v>1725</v>
      </c>
      <c r="D993" s="82" t="s">
        <v>1726</v>
      </c>
      <c r="E993" s="82" t="s">
        <v>2163</v>
      </c>
      <c r="F993" s="82" t="s">
        <v>1725</v>
      </c>
      <c r="G993" s="82" t="s">
        <v>1946</v>
      </c>
      <c r="H993" s="82" t="s">
        <v>2165</v>
      </c>
      <c r="I993" s="82" t="s">
        <v>24</v>
      </c>
      <c r="J993" s="82" t="s">
        <v>2171</v>
      </c>
      <c r="K993" s="82" t="s">
        <v>2167</v>
      </c>
      <c r="L993" s="82" t="s">
        <v>2179</v>
      </c>
      <c r="M993" s="82" t="s">
        <v>2176</v>
      </c>
      <c r="N993" s="82" t="s">
        <v>2177</v>
      </c>
      <c r="O993" s="82" t="s">
        <v>2173</v>
      </c>
    </row>
    <row r="994" spans="1:15" ht="15.75" hidden="1" x14ac:dyDescent="0.25">
      <c r="A994" t="str">
        <f t="shared" si="15"/>
        <v>FORTE_RALLENTAMENTO_DIR_NORD-Allarme forte rallentamento direzione Nord</v>
      </c>
      <c r="C994" s="82" t="s">
        <v>832</v>
      </c>
      <c r="D994" s="82" t="s">
        <v>833</v>
      </c>
      <c r="E994" s="82" t="s">
        <v>2163</v>
      </c>
      <c r="F994" s="82" t="s">
        <v>832</v>
      </c>
      <c r="G994" s="82" t="s">
        <v>1946</v>
      </c>
      <c r="H994" s="82" t="s">
        <v>2165</v>
      </c>
      <c r="I994" s="82" t="s">
        <v>24</v>
      </c>
      <c r="J994" s="82" t="s">
        <v>2171</v>
      </c>
      <c r="K994" s="82" t="s">
        <v>2167</v>
      </c>
      <c r="L994" s="82" t="s">
        <v>2179</v>
      </c>
      <c r="M994" s="82" t="s">
        <v>2176</v>
      </c>
      <c r="N994" s="82" t="s">
        <v>2177</v>
      </c>
      <c r="O994" s="82" t="s">
        <v>2173</v>
      </c>
    </row>
    <row r="995" spans="1:15" ht="15.75" hidden="1" x14ac:dyDescent="0.25">
      <c r="A995" t="str">
        <f t="shared" si="15"/>
        <v>FORTE_RALLENTAMENTO_DIR_SUD-Allarme forte rallentamento direzione Sud</v>
      </c>
      <c r="C995" s="82" t="s">
        <v>834</v>
      </c>
      <c r="D995" s="82" t="s">
        <v>835</v>
      </c>
      <c r="E995" s="82" t="s">
        <v>2163</v>
      </c>
      <c r="F995" s="82" t="s">
        <v>834</v>
      </c>
      <c r="G995" s="82" t="s">
        <v>1946</v>
      </c>
      <c r="H995" s="82" t="s">
        <v>2165</v>
      </c>
      <c r="I995" s="82" t="s">
        <v>24</v>
      </c>
      <c r="J995" s="82" t="s">
        <v>2171</v>
      </c>
      <c r="K995" s="82" t="s">
        <v>2167</v>
      </c>
      <c r="L995" s="82" t="s">
        <v>2179</v>
      </c>
      <c r="M995" s="82" t="s">
        <v>2176</v>
      </c>
      <c r="N995" s="82" t="s">
        <v>2177</v>
      </c>
      <c r="O995" s="82" t="s">
        <v>2173</v>
      </c>
    </row>
    <row r="996" spans="1:15" ht="15.75" hidden="1" x14ac:dyDescent="0.25">
      <c r="A996" t="str">
        <f t="shared" si="15"/>
        <v>FUMO-Allarme fumo</v>
      </c>
      <c r="C996" s="82" t="s">
        <v>837</v>
      </c>
      <c r="D996" s="82" t="s">
        <v>838</v>
      </c>
      <c r="E996" s="82" t="s">
        <v>2163</v>
      </c>
      <c r="F996" s="82" t="s">
        <v>837</v>
      </c>
      <c r="G996" s="82" t="s">
        <v>1946</v>
      </c>
      <c r="H996" s="82" t="s">
        <v>2165</v>
      </c>
      <c r="I996" s="82" t="s">
        <v>45</v>
      </c>
      <c r="J996" s="82" t="s">
        <v>2178</v>
      </c>
      <c r="K996" s="82" t="s">
        <v>2173</v>
      </c>
      <c r="L996" s="82" t="s">
        <v>2175</v>
      </c>
      <c r="M996" s="82" t="s">
        <v>2176</v>
      </c>
      <c r="N996" s="82" t="s">
        <v>2180</v>
      </c>
      <c r="O996" s="82" t="s">
        <v>2173</v>
      </c>
    </row>
    <row r="997" spans="1:15" ht="15.75" hidden="1" x14ac:dyDescent="0.25">
      <c r="A997" t="str">
        <f t="shared" si="15"/>
        <v>FUMO_CORSIA_1-Allarme fumo corsia di emergenza</v>
      </c>
      <c r="C997" s="82" t="s">
        <v>839</v>
      </c>
      <c r="D997" s="82" t="s">
        <v>840</v>
      </c>
      <c r="E997" s="82" t="s">
        <v>2163</v>
      </c>
      <c r="F997" s="82" t="s">
        <v>839</v>
      </c>
      <c r="G997" s="82" t="s">
        <v>1946</v>
      </c>
      <c r="H997" s="82" t="s">
        <v>2165</v>
      </c>
      <c r="I997" s="82" t="s">
        <v>45</v>
      </c>
      <c r="J997" s="82" t="s">
        <v>2178</v>
      </c>
      <c r="K997" s="82" t="s">
        <v>2173</v>
      </c>
      <c r="L997" s="82" t="s">
        <v>2175</v>
      </c>
      <c r="M997" s="82" t="s">
        <v>2176</v>
      </c>
      <c r="N997" s="82" t="s">
        <v>2180</v>
      </c>
      <c r="O997" s="82" t="s">
        <v>2173</v>
      </c>
    </row>
    <row r="998" spans="1:15" ht="15.75" hidden="1" x14ac:dyDescent="0.25">
      <c r="A998" t="str">
        <f t="shared" si="15"/>
        <v>FUMO_CORSIA_2-Allarme fumo corsia di marcia</v>
      </c>
      <c r="C998" s="82" t="s">
        <v>841</v>
      </c>
      <c r="D998" s="82" t="s">
        <v>842</v>
      </c>
      <c r="E998" s="82" t="s">
        <v>2163</v>
      </c>
      <c r="F998" s="82" t="s">
        <v>841</v>
      </c>
      <c r="G998" s="82" t="s">
        <v>1946</v>
      </c>
      <c r="H998" s="82" t="s">
        <v>2165</v>
      </c>
      <c r="I998" s="82" t="s">
        <v>45</v>
      </c>
      <c r="J998" s="82" t="s">
        <v>2178</v>
      </c>
      <c r="K998" s="82" t="s">
        <v>2173</v>
      </c>
      <c r="L998" s="82" t="s">
        <v>2175</v>
      </c>
      <c r="M998" s="82" t="s">
        <v>2176</v>
      </c>
      <c r="N998" s="82" t="s">
        <v>2180</v>
      </c>
      <c r="O998" s="82" t="s">
        <v>2173</v>
      </c>
    </row>
    <row r="999" spans="1:15" ht="15.75" hidden="1" x14ac:dyDescent="0.25">
      <c r="A999" t="str">
        <f t="shared" si="15"/>
        <v>FUMO_CORSIA_3-Allarme fumo corsia veloce</v>
      </c>
      <c r="C999" s="82" t="s">
        <v>843</v>
      </c>
      <c r="D999" s="82" t="s">
        <v>844</v>
      </c>
      <c r="E999" s="82" t="s">
        <v>2163</v>
      </c>
      <c r="F999" s="82" t="s">
        <v>843</v>
      </c>
      <c r="G999" s="82" t="s">
        <v>1946</v>
      </c>
      <c r="H999" s="82" t="s">
        <v>2165</v>
      </c>
      <c r="I999" s="82" t="s">
        <v>45</v>
      </c>
      <c r="J999" s="82" t="s">
        <v>2178</v>
      </c>
      <c r="K999" s="82" t="s">
        <v>2173</v>
      </c>
      <c r="L999" s="82" t="s">
        <v>2175</v>
      </c>
      <c r="M999" s="82" t="s">
        <v>2176</v>
      </c>
      <c r="N999" s="82" t="s">
        <v>2180</v>
      </c>
      <c r="O999" s="82" t="s">
        <v>2173</v>
      </c>
    </row>
    <row r="1000" spans="1:15" ht="15.75" hidden="1" x14ac:dyDescent="0.25">
      <c r="A1000" t="str">
        <f t="shared" si="15"/>
        <v>FUMO_CORSIA_LENTA-Allarme fumo corsia lenta</v>
      </c>
      <c r="C1000" s="82" t="s">
        <v>1727</v>
      </c>
      <c r="D1000" s="82" t="s">
        <v>1728</v>
      </c>
      <c r="E1000" s="82" t="s">
        <v>2163</v>
      </c>
      <c r="F1000" s="82" t="s">
        <v>1727</v>
      </c>
      <c r="G1000" s="82" t="s">
        <v>1946</v>
      </c>
      <c r="H1000" s="82" t="s">
        <v>2165</v>
      </c>
      <c r="I1000" s="82" t="s">
        <v>45</v>
      </c>
      <c r="J1000" s="82" t="s">
        <v>2178</v>
      </c>
      <c r="K1000" s="82" t="s">
        <v>2173</v>
      </c>
      <c r="L1000" s="82" t="s">
        <v>2175</v>
      </c>
      <c r="M1000" s="82" t="s">
        <v>2176</v>
      </c>
      <c r="N1000" s="82" t="s">
        <v>2180</v>
      </c>
      <c r="O1000" s="82" t="s">
        <v>2173</v>
      </c>
    </row>
    <row r="1001" spans="1:15" ht="15.75" hidden="1" x14ac:dyDescent="0.25">
      <c r="A1001" t="str">
        <f t="shared" si="15"/>
        <v>FUMO_DIR_NORD-Allarme fumo dir. nord</v>
      </c>
      <c r="C1001" s="82" t="s">
        <v>1729</v>
      </c>
      <c r="D1001" s="82" t="s">
        <v>1730</v>
      </c>
      <c r="E1001" s="82" t="s">
        <v>2163</v>
      </c>
      <c r="F1001" s="82" t="s">
        <v>1729</v>
      </c>
      <c r="G1001" s="82" t="s">
        <v>1946</v>
      </c>
      <c r="H1001" s="82" t="s">
        <v>2165</v>
      </c>
      <c r="I1001" s="82" t="s">
        <v>45</v>
      </c>
      <c r="J1001" s="82" t="s">
        <v>2178</v>
      </c>
      <c r="K1001" s="82" t="s">
        <v>2173</v>
      </c>
      <c r="L1001" s="82" t="s">
        <v>2175</v>
      </c>
      <c r="M1001" s="82" t="s">
        <v>2176</v>
      </c>
      <c r="N1001" s="82" t="s">
        <v>2180</v>
      </c>
      <c r="O1001" s="82" t="s">
        <v>2173</v>
      </c>
    </row>
    <row r="1002" spans="1:15" ht="15.75" hidden="1" x14ac:dyDescent="0.25">
      <c r="A1002" t="str">
        <f t="shared" si="15"/>
        <v>FUMO_DIR_SUD-Allarme fumo dir. sud</v>
      </c>
      <c r="C1002" s="82" t="s">
        <v>1731</v>
      </c>
      <c r="D1002" s="82" t="s">
        <v>1732</v>
      </c>
      <c r="E1002" s="82" t="s">
        <v>2163</v>
      </c>
      <c r="F1002" s="82" t="s">
        <v>1731</v>
      </c>
      <c r="G1002" s="82" t="s">
        <v>1946</v>
      </c>
      <c r="H1002" s="82" t="s">
        <v>2165</v>
      </c>
      <c r="I1002" s="82" t="s">
        <v>45</v>
      </c>
      <c r="J1002" s="82" t="s">
        <v>2178</v>
      </c>
      <c r="K1002" s="82" t="s">
        <v>2173</v>
      </c>
      <c r="L1002" s="82" t="s">
        <v>2175</v>
      </c>
      <c r="M1002" s="82" t="s">
        <v>2176</v>
      </c>
      <c r="N1002" s="82" t="s">
        <v>2180</v>
      </c>
      <c r="O1002" s="82" t="s">
        <v>2173</v>
      </c>
    </row>
    <row r="1003" spans="1:15" ht="15.75" hidden="1" x14ac:dyDescent="0.25">
      <c r="A1003" t="str">
        <f t="shared" si="15"/>
        <v>FUNGO_DI_EMERGENZA-Allarme fungo di emergenza</v>
      </c>
      <c r="C1003" s="82" t="s">
        <v>2721</v>
      </c>
      <c r="D1003" s="82" t="s">
        <v>2722</v>
      </c>
      <c r="E1003" s="82" t="s">
        <v>2163</v>
      </c>
      <c r="F1003" s="82" t="s">
        <v>2721</v>
      </c>
      <c r="G1003" s="82" t="s">
        <v>1946</v>
      </c>
      <c r="H1003" s="82" t="s">
        <v>2165</v>
      </c>
      <c r="I1003" s="82" t="s">
        <v>24</v>
      </c>
      <c r="J1003" s="82" t="s">
        <v>2171</v>
      </c>
      <c r="K1003" s="82" t="s">
        <v>2167</v>
      </c>
      <c r="L1003" s="82" t="s">
        <v>1946</v>
      </c>
      <c r="M1003" s="82" t="s">
        <v>2090</v>
      </c>
      <c r="N1003" s="82" t="s">
        <v>1946</v>
      </c>
      <c r="O1003" s="82" t="s">
        <v>2173</v>
      </c>
    </row>
    <row r="1004" spans="1:15" ht="15.75" hidden="1" x14ac:dyDescent="0.25">
      <c r="A1004" t="str">
        <f t="shared" si="15"/>
        <v>FUSIBILE-Allarme fusibile</v>
      </c>
      <c r="C1004" s="82" t="s">
        <v>845</v>
      </c>
      <c r="D1004" s="82" t="s">
        <v>846</v>
      </c>
      <c r="E1004" s="82" t="s">
        <v>2163</v>
      </c>
      <c r="F1004" s="82" t="s">
        <v>845</v>
      </c>
      <c r="G1004" s="82" t="s">
        <v>1946</v>
      </c>
      <c r="H1004" s="82" t="s">
        <v>2165</v>
      </c>
      <c r="I1004" s="82" t="s">
        <v>24</v>
      </c>
      <c r="J1004" s="82" t="s">
        <v>2171</v>
      </c>
      <c r="K1004" s="82" t="s">
        <v>2167</v>
      </c>
      <c r="L1004" s="82" t="s">
        <v>1946</v>
      </c>
      <c r="M1004" s="82" t="s">
        <v>2090</v>
      </c>
      <c r="N1004" s="82" t="s">
        <v>1946</v>
      </c>
      <c r="O1004" s="82" t="s">
        <v>2173</v>
      </c>
    </row>
    <row r="1005" spans="1:15" ht="15.75" hidden="1" x14ac:dyDescent="0.25">
      <c r="A1005" t="str">
        <f t="shared" si="15"/>
        <v>FUSIBILE_1-Allarme fusibile</v>
      </c>
      <c r="C1005" s="82" t="s">
        <v>2723</v>
      </c>
      <c r="D1005" s="82" t="s">
        <v>846</v>
      </c>
      <c r="E1005" s="82" t="s">
        <v>2163</v>
      </c>
      <c r="F1005" s="82" t="s">
        <v>2723</v>
      </c>
      <c r="G1005" s="82" t="s">
        <v>2182</v>
      </c>
      <c r="H1005" s="82" t="s">
        <v>2165</v>
      </c>
      <c r="I1005" s="82" t="s">
        <v>24</v>
      </c>
      <c r="J1005" s="82" t="s">
        <v>2171</v>
      </c>
      <c r="K1005" s="82" t="s">
        <v>2173</v>
      </c>
      <c r="L1005" s="82" t="s">
        <v>1946</v>
      </c>
      <c r="M1005" s="82" t="s">
        <v>2183</v>
      </c>
      <c r="N1005" s="82" t="s">
        <v>1946</v>
      </c>
      <c r="O1005" s="82" t="s">
        <v>2173</v>
      </c>
    </row>
    <row r="1006" spans="1:15" ht="15.75" hidden="1" x14ac:dyDescent="0.25">
      <c r="A1006" t="str">
        <f t="shared" si="15"/>
        <v>FUSIBILE_2-Allarme fusibile</v>
      </c>
      <c r="C1006" s="82" t="s">
        <v>2724</v>
      </c>
      <c r="D1006" s="82" t="s">
        <v>846</v>
      </c>
      <c r="E1006" s="82" t="s">
        <v>2163</v>
      </c>
      <c r="F1006" s="82" t="s">
        <v>2724</v>
      </c>
      <c r="G1006" s="82" t="s">
        <v>2182</v>
      </c>
      <c r="H1006" s="82" t="s">
        <v>2165</v>
      </c>
      <c r="I1006" s="82" t="s">
        <v>24</v>
      </c>
      <c r="J1006" s="82" t="s">
        <v>2171</v>
      </c>
      <c r="K1006" s="82" t="s">
        <v>2167</v>
      </c>
      <c r="L1006" s="82" t="s">
        <v>1946</v>
      </c>
      <c r="M1006" s="82" t="s">
        <v>2183</v>
      </c>
      <c r="N1006" s="82" t="s">
        <v>1946</v>
      </c>
      <c r="O1006" s="82" t="s">
        <v>2173</v>
      </c>
    </row>
    <row r="1007" spans="1:15" ht="15.75" hidden="1" x14ac:dyDescent="0.25">
      <c r="A1007" t="str">
        <f t="shared" si="15"/>
        <v>GUASTO_ELETTRICO-Allarme guasto elettrico</v>
      </c>
      <c r="C1007" s="82" t="s">
        <v>2725</v>
      </c>
      <c r="D1007" s="82" t="s">
        <v>2726</v>
      </c>
      <c r="E1007" s="82" t="s">
        <v>2163</v>
      </c>
      <c r="F1007" s="82" t="s">
        <v>2725</v>
      </c>
      <c r="G1007" s="82" t="s">
        <v>1946</v>
      </c>
      <c r="H1007" s="82" t="s">
        <v>2165</v>
      </c>
      <c r="I1007" s="82" t="s">
        <v>24</v>
      </c>
      <c r="J1007" s="82" t="s">
        <v>2171</v>
      </c>
      <c r="K1007" s="82" t="s">
        <v>2167</v>
      </c>
      <c r="L1007" s="82" t="s">
        <v>1946</v>
      </c>
      <c r="M1007" s="82" t="s">
        <v>2090</v>
      </c>
      <c r="N1007" s="82" t="s">
        <v>1946</v>
      </c>
      <c r="O1007" s="82" t="s">
        <v>2173</v>
      </c>
    </row>
    <row r="1008" spans="1:15" ht="15.75" hidden="1" x14ac:dyDescent="0.25">
      <c r="A1008" t="str">
        <f t="shared" si="15"/>
        <v>HYDROMETRIC_STATION_ALARM_HIGH-Stazione in Allarme High</v>
      </c>
      <c r="C1008" s="82" t="s">
        <v>848</v>
      </c>
      <c r="D1008" s="82" t="s">
        <v>849</v>
      </c>
      <c r="E1008" s="82" t="s">
        <v>2163</v>
      </c>
      <c r="F1008" s="82" t="s">
        <v>848</v>
      </c>
      <c r="G1008" s="82" t="s">
        <v>1946</v>
      </c>
      <c r="H1008" s="82" t="s">
        <v>2165</v>
      </c>
      <c r="I1008" s="82" t="s">
        <v>33</v>
      </c>
      <c r="J1008" s="82" t="s">
        <v>2174</v>
      </c>
      <c r="K1008" s="82" t="s">
        <v>2173</v>
      </c>
      <c r="L1008" s="82" t="s">
        <v>1946</v>
      </c>
      <c r="M1008" s="82" t="s">
        <v>2176</v>
      </c>
      <c r="N1008" s="82" t="s">
        <v>2180</v>
      </c>
      <c r="O1008" s="82" t="s">
        <v>2173</v>
      </c>
    </row>
    <row r="1009" spans="1:15" ht="15.75" hidden="1" x14ac:dyDescent="0.25">
      <c r="A1009" t="str">
        <f t="shared" si="15"/>
        <v>HYDROMETRIC_STATION_ALARM_LOW-Stazione in Allarme Low</v>
      </c>
      <c r="C1009" s="82" t="s">
        <v>851</v>
      </c>
      <c r="D1009" s="82" t="s">
        <v>852</v>
      </c>
      <c r="E1009" s="82" t="s">
        <v>2163</v>
      </c>
      <c r="F1009" s="82" t="s">
        <v>851</v>
      </c>
      <c r="G1009" s="82" t="s">
        <v>1946</v>
      </c>
      <c r="H1009" s="82" t="s">
        <v>2165</v>
      </c>
      <c r="I1009" s="82" t="s">
        <v>24</v>
      </c>
      <c r="J1009" s="82" t="s">
        <v>2171</v>
      </c>
      <c r="K1009" s="82" t="s">
        <v>2167</v>
      </c>
      <c r="L1009" s="82" t="s">
        <v>1946</v>
      </c>
      <c r="M1009" s="82" t="s">
        <v>2090</v>
      </c>
      <c r="N1009" s="82" t="s">
        <v>1946</v>
      </c>
      <c r="O1009" s="82" t="s">
        <v>2173</v>
      </c>
    </row>
    <row r="1010" spans="1:15" ht="15.75" hidden="1" x14ac:dyDescent="0.25">
      <c r="A1010" t="str">
        <f t="shared" si="15"/>
        <v>HYDROMETRIC_STATION_ALARM_MEDIUM-Stazione in Allarme Medium</v>
      </c>
      <c r="C1010" s="82" t="s">
        <v>853</v>
      </c>
      <c r="D1010" s="82" t="s">
        <v>854</v>
      </c>
      <c r="E1010" s="82" t="s">
        <v>2163</v>
      </c>
      <c r="F1010" s="82" t="s">
        <v>853</v>
      </c>
      <c r="G1010" s="82" t="s">
        <v>1946</v>
      </c>
      <c r="H1010" s="82" t="s">
        <v>2165</v>
      </c>
      <c r="I1010" s="82" t="s">
        <v>157</v>
      </c>
      <c r="J1010" s="82" t="s">
        <v>2181</v>
      </c>
      <c r="K1010" s="82" t="s">
        <v>2167</v>
      </c>
      <c r="L1010" s="82" t="s">
        <v>1946</v>
      </c>
      <c r="M1010" s="82" t="s">
        <v>2176</v>
      </c>
      <c r="N1010" s="82" t="s">
        <v>2180</v>
      </c>
      <c r="O1010" s="82" t="s">
        <v>2173</v>
      </c>
    </row>
    <row r="1011" spans="1:15" ht="15.75" hidden="1" x14ac:dyDescent="0.25">
      <c r="A1011" t="str">
        <f t="shared" si="15"/>
        <v>INCENDIO_CORSIA_1-Allarme incendio corsia di emergenza</v>
      </c>
      <c r="C1011" s="82" t="s">
        <v>1733</v>
      </c>
      <c r="D1011" s="82" t="s">
        <v>1734</v>
      </c>
      <c r="E1011" s="82" t="s">
        <v>2163</v>
      </c>
      <c r="F1011" s="82" t="s">
        <v>1733</v>
      </c>
      <c r="G1011" s="82" t="s">
        <v>1946</v>
      </c>
      <c r="H1011" s="82" t="s">
        <v>2165</v>
      </c>
      <c r="I1011" s="82" t="s">
        <v>45</v>
      </c>
      <c r="J1011" s="82" t="s">
        <v>2178</v>
      </c>
      <c r="K1011" s="82" t="s">
        <v>2173</v>
      </c>
      <c r="L1011" s="82" t="s">
        <v>2175</v>
      </c>
      <c r="M1011" s="82" t="s">
        <v>2176</v>
      </c>
      <c r="N1011" s="82" t="s">
        <v>2180</v>
      </c>
      <c r="O1011" s="82" t="s">
        <v>2173</v>
      </c>
    </row>
    <row r="1012" spans="1:15" ht="15.75" hidden="1" x14ac:dyDescent="0.25">
      <c r="A1012" t="str">
        <f t="shared" si="15"/>
        <v>INCENDIO_CORSIA_2-Allarme incendio corsia di marcia</v>
      </c>
      <c r="C1012" s="82" t="s">
        <v>1735</v>
      </c>
      <c r="D1012" s="82" t="s">
        <v>1736</v>
      </c>
      <c r="E1012" s="82" t="s">
        <v>2163</v>
      </c>
      <c r="F1012" s="82" t="s">
        <v>1735</v>
      </c>
      <c r="G1012" s="82" t="s">
        <v>1946</v>
      </c>
      <c r="H1012" s="82" t="s">
        <v>2165</v>
      </c>
      <c r="I1012" s="82" t="s">
        <v>45</v>
      </c>
      <c r="J1012" s="82" t="s">
        <v>2178</v>
      </c>
      <c r="K1012" s="82" t="s">
        <v>2173</v>
      </c>
      <c r="L1012" s="82" t="s">
        <v>2175</v>
      </c>
      <c r="M1012" s="82" t="s">
        <v>2176</v>
      </c>
      <c r="N1012" s="82" t="s">
        <v>2180</v>
      </c>
      <c r="O1012" s="82" t="s">
        <v>2173</v>
      </c>
    </row>
    <row r="1013" spans="1:15" ht="15.75" hidden="1" x14ac:dyDescent="0.25">
      <c r="A1013" t="str">
        <f t="shared" si="15"/>
        <v>INCENDIO_CORSIA_3-Allarme incendio corsia veloce</v>
      </c>
      <c r="C1013" s="82" t="s">
        <v>1737</v>
      </c>
      <c r="D1013" s="82" t="s">
        <v>1738</v>
      </c>
      <c r="E1013" s="82" t="s">
        <v>2163</v>
      </c>
      <c r="F1013" s="82" t="s">
        <v>1737</v>
      </c>
      <c r="G1013" s="82" t="s">
        <v>1946</v>
      </c>
      <c r="H1013" s="82" t="s">
        <v>2165</v>
      </c>
      <c r="I1013" s="82" t="s">
        <v>45</v>
      </c>
      <c r="J1013" s="82" t="s">
        <v>2178</v>
      </c>
      <c r="K1013" s="82" t="s">
        <v>2173</v>
      </c>
      <c r="L1013" s="82" t="s">
        <v>2175</v>
      </c>
      <c r="M1013" s="82" t="s">
        <v>2176</v>
      </c>
      <c r="N1013" s="82" t="s">
        <v>2180</v>
      </c>
      <c r="O1013" s="82" t="s">
        <v>2173</v>
      </c>
    </row>
    <row r="1014" spans="1:15" ht="15.75" hidden="1" x14ac:dyDescent="0.25">
      <c r="A1014" t="str">
        <f t="shared" si="15"/>
        <v>INCENDIO_IN_GALLERIA-Allarme incendio in galleria</v>
      </c>
      <c r="C1014" s="82" t="s">
        <v>855</v>
      </c>
      <c r="D1014" s="82" t="s">
        <v>420</v>
      </c>
      <c r="E1014" s="82" t="s">
        <v>2163</v>
      </c>
      <c r="F1014" s="82" t="s">
        <v>855</v>
      </c>
      <c r="G1014" s="82" t="s">
        <v>1946</v>
      </c>
      <c r="H1014" s="82" t="s">
        <v>2165</v>
      </c>
      <c r="I1014" s="82" t="s">
        <v>45</v>
      </c>
      <c r="J1014" s="82" t="s">
        <v>2178</v>
      </c>
      <c r="K1014" s="82" t="s">
        <v>2173</v>
      </c>
      <c r="L1014" s="82" t="s">
        <v>2175</v>
      </c>
      <c r="M1014" s="82" t="s">
        <v>2176</v>
      </c>
      <c r="N1014" s="82" t="s">
        <v>2180</v>
      </c>
      <c r="O1014" s="82" t="s">
        <v>2173</v>
      </c>
    </row>
    <row r="1015" spans="1:15" ht="15.75" hidden="1" x14ac:dyDescent="0.25">
      <c r="A1015" t="str">
        <f t="shared" si="15"/>
        <v>INCENDIO_IN_GALLERIA_DA_TLC_NORD-Allarme incendio in galleria da TLC Nord</v>
      </c>
      <c r="C1015" s="82" t="s">
        <v>1909</v>
      </c>
      <c r="D1015" s="82" t="s">
        <v>1910</v>
      </c>
      <c r="E1015" s="82" t="s">
        <v>2163</v>
      </c>
      <c r="F1015" s="82" t="s">
        <v>1909</v>
      </c>
      <c r="G1015" s="82" t="s">
        <v>2182</v>
      </c>
      <c r="H1015" s="82" t="s">
        <v>2165</v>
      </c>
      <c r="I1015" s="82" t="s">
        <v>45</v>
      </c>
      <c r="J1015" s="82" t="s">
        <v>2178</v>
      </c>
      <c r="K1015" s="82" t="s">
        <v>2173</v>
      </c>
      <c r="L1015" s="82" t="s">
        <v>2182</v>
      </c>
      <c r="M1015" s="82" t="s">
        <v>2727</v>
      </c>
      <c r="N1015" s="82" t="s">
        <v>2180</v>
      </c>
      <c r="O1015" s="82" t="s">
        <v>2173</v>
      </c>
    </row>
    <row r="1016" spans="1:15" ht="15.75" hidden="1" x14ac:dyDescent="0.25">
      <c r="A1016" t="str">
        <f t="shared" si="15"/>
        <v>INCENDIO_IN_GALLERIA_DA_TLC_SUD-Allarme incendio in galleria da TLC Sud</v>
      </c>
      <c r="C1016" s="82" t="s">
        <v>1911</v>
      </c>
      <c r="D1016" s="82" t="s">
        <v>1912</v>
      </c>
      <c r="E1016" s="82" t="s">
        <v>2163</v>
      </c>
      <c r="F1016" s="82" t="s">
        <v>1911</v>
      </c>
      <c r="G1016" s="82" t="s">
        <v>2182</v>
      </c>
      <c r="H1016" s="82" t="s">
        <v>2165</v>
      </c>
      <c r="I1016" s="82" t="s">
        <v>45</v>
      </c>
      <c r="J1016" s="82" t="s">
        <v>2178</v>
      </c>
      <c r="K1016" s="82" t="s">
        <v>2173</v>
      </c>
      <c r="L1016" s="82" t="s">
        <v>2182</v>
      </c>
      <c r="M1016" s="82" t="s">
        <v>2727</v>
      </c>
      <c r="N1016" s="82" t="s">
        <v>2180</v>
      </c>
      <c r="O1016" s="82" t="s">
        <v>2173</v>
      </c>
    </row>
    <row r="1017" spans="1:15" ht="15.75" hidden="1" x14ac:dyDescent="0.25">
      <c r="A1017" t="str">
        <f t="shared" si="15"/>
        <v>INCIDENTE-Allarme attivazione pannello incidente</v>
      </c>
      <c r="C1017" s="82" t="s">
        <v>858</v>
      </c>
      <c r="D1017" s="82" t="s">
        <v>859</v>
      </c>
      <c r="E1017" s="82" t="s">
        <v>2163</v>
      </c>
      <c r="F1017" s="82" t="s">
        <v>858</v>
      </c>
      <c r="G1017" s="82" t="s">
        <v>1946</v>
      </c>
      <c r="H1017" s="82" t="s">
        <v>2165</v>
      </c>
      <c r="I1017" s="82" t="s">
        <v>24</v>
      </c>
      <c r="J1017" s="82" t="s">
        <v>2171</v>
      </c>
      <c r="K1017" s="82" t="s">
        <v>2167</v>
      </c>
      <c r="L1017" s="82" t="s">
        <v>1946</v>
      </c>
      <c r="M1017" s="82" t="s">
        <v>2090</v>
      </c>
      <c r="N1017" s="82" t="s">
        <v>1946</v>
      </c>
      <c r="O1017" s="82" t="s">
        <v>2173</v>
      </c>
    </row>
    <row r="1018" spans="1:15" ht="15.75" hidden="1" x14ac:dyDescent="0.25">
      <c r="A1018" t="str">
        <f t="shared" si="15"/>
        <v>INTERRUTTORE_GENERALE-Allarme interruttore generale</v>
      </c>
      <c r="C1018" s="82" t="s">
        <v>860</v>
      </c>
      <c r="D1018" s="82" t="s">
        <v>861</v>
      </c>
      <c r="E1018" s="82" t="s">
        <v>2163</v>
      </c>
      <c r="F1018" s="82" t="s">
        <v>860</v>
      </c>
      <c r="G1018" s="82" t="s">
        <v>1946</v>
      </c>
      <c r="H1018" s="82" t="s">
        <v>2165</v>
      </c>
      <c r="I1018" s="82" t="s">
        <v>33</v>
      </c>
      <c r="J1018" s="82" t="s">
        <v>2174</v>
      </c>
      <c r="K1018" s="82" t="s">
        <v>2173</v>
      </c>
      <c r="L1018" s="82" t="s">
        <v>1946</v>
      </c>
      <c r="M1018" s="82" t="s">
        <v>2176</v>
      </c>
      <c r="N1018" s="82" t="s">
        <v>2180</v>
      </c>
      <c r="O1018" s="82" t="s">
        <v>2173</v>
      </c>
    </row>
    <row r="1019" spans="1:15" ht="15.75" hidden="1" x14ac:dyDescent="0.25">
      <c r="A1019" t="str">
        <f t="shared" si="15"/>
        <v>LIVELLO_ACQUA_TROPPO_PIENO-Allarme livello acqua troppo pieno</v>
      </c>
      <c r="C1019" s="82" t="s">
        <v>1739</v>
      </c>
      <c r="D1019" s="82" t="s">
        <v>1740</v>
      </c>
      <c r="E1019" s="82" t="s">
        <v>2163</v>
      </c>
      <c r="F1019" s="82" t="s">
        <v>1739</v>
      </c>
      <c r="G1019" s="82" t="s">
        <v>1946</v>
      </c>
      <c r="H1019" s="82" t="s">
        <v>2165</v>
      </c>
      <c r="I1019" s="82" t="s">
        <v>24</v>
      </c>
      <c r="J1019" s="82" t="s">
        <v>2171</v>
      </c>
      <c r="K1019" s="82" t="s">
        <v>2167</v>
      </c>
      <c r="L1019" s="82" t="s">
        <v>1946</v>
      </c>
      <c r="M1019" s="82" t="s">
        <v>2090</v>
      </c>
      <c r="N1019" s="82" t="s">
        <v>1946</v>
      </c>
      <c r="O1019" s="82" t="s">
        <v>2173</v>
      </c>
    </row>
    <row r="1020" spans="1:15" ht="15.75" hidden="1" x14ac:dyDescent="0.25">
      <c r="A1020" t="str">
        <f t="shared" si="15"/>
        <v>LOGAUT - MANUALE-LOGAUT - MANUALE</v>
      </c>
      <c r="C1020" s="82" t="s">
        <v>2728</v>
      </c>
      <c r="D1020" s="82" t="s">
        <v>2728</v>
      </c>
      <c r="E1020" s="82" t="s">
        <v>2696</v>
      </c>
      <c r="F1020" s="82" t="s">
        <v>2728</v>
      </c>
      <c r="G1020" s="82" t="s">
        <v>1946</v>
      </c>
      <c r="H1020" s="82" t="s">
        <v>2165</v>
      </c>
      <c r="I1020" s="82" t="s">
        <v>33</v>
      </c>
      <c r="J1020" s="82" t="s">
        <v>2182</v>
      </c>
      <c r="K1020" s="82" t="s">
        <v>2167</v>
      </c>
      <c r="L1020" s="82" t="s">
        <v>1946</v>
      </c>
      <c r="M1020" s="82" t="s">
        <v>2729</v>
      </c>
      <c r="N1020" s="82" t="s">
        <v>1946</v>
      </c>
      <c r="O1020" s="82" t="s">
        <v>2167</v>
      </c>
    </row>
    <row r="1021" spans="1:15" ht="15.75" hidden="1" x14ac:dyDescent="0.25">
      <c r="A1021" t="str">
        <f t="shared" si="15"/>
        <v>MANCATA_APERTURA-Allarme mancata apertura serranda</v>
      </c>
      <c r="C1021" s="82" t="s">
        <v>864</v>
      </c>
      <c r="D1021" s="82" t="s">
        <v>865</v>
      </c>
      <c r="E1021" s="82" t="s">
        <v>2163</v>
      </c>
      <c r="F1021" s="82" t="s">
        <v>864</v>
      </c>
      <c r="G1021" s="82" t="s">
        <v>1946</v>
      </c>
      <c r="H1021" s="82" t="s">
        <v>2165</v>
      </c>
      <c r="I1021" s="82" t="s">
        <v>24</v>
      </c>
      <c r="J1021" s="82" t="s">
        <v>2171</v>
      </c>
      <c r="K1021" s="82" t="s">
        <v>2167</v>
      </c>
      <c r="L1021" s="82" t="s">
        <v>1946</v>
      </c>
      <c r="M1021" s="82" t="s">
        <v>2090</v>
      </c>
      <c r="N1021" s="82" t="s">
        <v>1946</v>
      </c>
      <c r="O1021" s="82" t="s">
        <v>2173</v>
      </c>
    </row>
    <row r="1022" spans="1:15" ht="15.75" hidden="1" x14ac:dyDescent="0.25">
      <c r="A1022" t="str">
        <f t="shared" si="15"/>
        <v>MANCATA_CHIUSURA-Allarme mancata chiusura serranda</v>
      </c>
      <c r="C1022" s="82" t="s">
        <v>866</v>
      </c>
      <c r="D1022" s="82" t="s">
        <v>867</v>
      </c>
      <c r="E1022" s="82" t="s">
        <v>2163</v>
      </c>
      <c r="F1022" s="82" t="s">
        <v>866</v>
      </c>
      <c r="G1022" s="82" t="s">
        <v>1946</v>
      </c>
      <c r="H1022" s="82" t="s">
        <v>2165</v>
      </c>
      <c r="I1022" s="82" t="s">
        <v>24</v>
      </c>
      <c r="J1022" s="82" t="s">
        <v>2171</v>
      </c>
      <c r="K1022" s="82" t="s">
        <v>2167</v>
      </c>
      <c r="L1022" s="82" t="s">
        <v>1946</v>
      </c>
      <c r="M1022" s="82" t="s">
        <v>2090</v>
      </c>
      <c r="N1022" s="82" t="s">
        <v>1946</v>
      </c>
      <c r="O1022" s="82" t="s">
        <v>2173</v>
      </c>
    </row>
    <row r="1023" spans="1:15" ht="15.75" hidden="1" x14ac:dyDescent="0.25">
      <c r="A1023" t="str">
        <f t="shared" si="15"/>
        <v>MANCATA_MEDIA-Allarme mancata posizione media</v>
      </c>
      <c r="C1023" s="82" t="s">
        <v>2730</v>
      </c>
      <c r="D1023" s="82" t="s">
        <v>2731</v>
      </c>
      <c r="E1023" s="82" t="s">
        <v>2163</v>
      </c>
      <c r="F1023" s="82" t="s">
        <v>2730</v>
      </c>
      <c r="G1023" s="82" t="s">
        <v>1946</v>
      </c>
      <c r="H1023" s="82" t="s">
        <v>2165</v>
      </c>
      <c r="I1023" s="82" t="s">
        <v>24</v>
      </c>
      <c r="J1023" s="82" t="s">
        <v>2171</v>
      </c>
      <c r="K1023" s="82" t="s">
        <v>2167</v>
      </c>
      <c r="L1023" s="82" t="s">
        <v>1946</v>
      </c>
      <c r="M1023" s="82" t="s">
        <v>2090</v>
      </c>
      <c r="N1023" s="82" t="s">
        <v>1946</v>
      </c>
      <c r="O1023" s="82" t="s">
        <v>2173</v>
      </c>
    </row>
    <row r="1024" spans="1:15" ht="15.75" hidden="1" x14ac:dyDescent="0.25">
      <c r="A1024" t="str">
        <f t="shared" si="15"/>
        <v>MANCATO_AVVIO_ELETTROPOMPA-Allarme mancato avvio elettropompa</v>
      </c>
      <c r="C1024" s="82" t="s">
        <v>868</v>
      </c>
      <c r="D1024" s="82" t="s">
        <v>869</v>
      </c>
      <c r="E1024" s="82" t="s">
        <v>2163</v>
      </c>
      <c r="F1024" s="82" t="s">
        <v>868</v>
      </c>
      <c r="G1024" s="82" t="s">
        <v>1946</v>
      </c>
      <c r="H1024" s="82" t="s">
        <v>2165</v>
      </c>
      <c r="I1024" s="82" t="s">
        <v>24</v>
      </c>
      <c r="J1024" s="82" t="s">
        <v>2171</v>
      </c>
      <c r="K1024" s="82" t="s">
        <v>2167</v>
      </c>
      <c r="L1024" s="82" t="s">
        <v>1946</v>
      </c>
      <c r="M1024" s="82" t="s">
        <v>2090</v>
      </c>
      <c r="N1024" s="82" t="s">
        <v>1946</v>
      </c>
      <c r="O1024" s="82" t="s">
        <v>2173</v>
      </c>
    </row>
    <row r="1025" spans="1:15" ht="15.75" hidden="1" x14ac:dyDescent="0.25">
      <c r="A1025" t="str">
        <f t="shared" si="15"/>
        <v>MANCATO_AVVIO_MOTOPOMPA-Allarme mancato avvio motopompa</v>
      </c>
      <c r="C1025" s="82" t="s">
        <v>870</v>
      </c>
      <c r="D1025" s="82" t="s">
        <v>871</v>
      </c>
      <c r="E1025" s="82" t="s">
        <v>2163</v>
      </c>
      <c r="F1025" s="82" t="s">
        <v>870</v>
      </c>
      <c r="G1025" s="82" t="s">
        <v>1946</v>
      </c>
      <c r="H1025" s="82" t="s">
        <v>2165</v>
      </c>
      <c r="I1025" s="82" t="s">
        <v>24</v>
      </c>
      <c r="J1025" s="82" t="s">
        <v>2171</v>
      </c>
      <c r="K1025" s="82" t="s">
        <v>2167</v>
      </c>
      <c r="L1025" s="82" t="s">
        <v>1946</v>
      </c>
      <c r="M1025" s="82" t="s">
        <v>2090</v>
      </c>
      <c r="N1025" s="82" t="s">
        <v>1946</v>
      </c>
      <c r="O1025" s="82" t="s">
        <v>2173</v>
      </c>
    </row>
    <row r="1026" spans="1:15" ht="15.75" hidden="1" x14ac:dyDescent="0.25">
      <c r="A1026" t="str">
        <f t="shared" si="15"/>
        <v>MANCATO_AVVIO_POMPA-Allarme Mancato Avviamento pompa pilota</v>
      </c>
      <c r="C1026" s="82" t="s">
        <v>1742</v>
      </c>
      <c r="D1026" s="82" t="s">
        <v>1743</v>
      </c>
      <c r="E1026" s="82" t="s">
        <v>2163</v>
      </c>
      <c r="F1026" s="82" t="s">
        <v>1742</v>
      </c>
      <c r="G1026" s="82" t="s">
        <v>1946</v>
      </c>
      <c r="H1026" s="82" t="s">
        <v>2165</v>
      </c>
      <c r="I1026" s="82" t="s">
        <v>24</v>
      </c>
      <c r="J1026" s="82" t="s">
        <v>2171</v>
      </c>
      <c r="K1026" s="82" t="s">
        <v>2167</v>
      </c>
      <c r="L1026" s="82" t="s">
        <v>1946</v>
      </c>
      <c r="M1026" s="82" t="s">
        <v>2090</v>
      </c>
      <c r="N1026" s="82" t="s">
        <v>1946</v>
      </c>
      <c r="O1026" s="82" t="s">
        <v>2173</v>
      </c>
    </row>
    <row r="1027" spans="1:15" ht="15.75" hidden="1" x14ac:dyDescent="0.25">
      <c r="A1027" t="str">
        <f t="shared" ref="A1027:A1090" si="16">CONCATENATE(F1027,"-",D1027)</f>
        <v>MANCATO_AVVIO_POMPA_SOS-Allarme mancato avvio pompa SOS</v>
      </c>
      <c r="C1027" s="82" t="s">
        <v>1744</v>
      </c>
      <c r="D1027" s="82" t="s">
        <v>1745</v>
      </c>
      <c r="E1027" s="82" t="s">
        <v>2163</v>
      </c>
      <c r="F1027" s="82" t="s">
        <v>1744</v>
      </c>
      <c r="G1027" s="82" t="s">
        <v>1946</v>
      </c>
      <c r="H1027" s="82" t="s">
        <v>2165</v>
      </c>
      <c r="I1027" s="82" t="s">
        <v>24</v>
      </c>
      <c r="J1027" s="82" t="s">
        <v>2171</v>
      </c>
      <c r="K1027" s="82" t="s">
        <v>2167</v>
      </c>
      <c r="L1027" s="82" t="s">
        <v>1946</v>
      </c>
      <c r="M1027" s="82" t="s">
        <v>2090</v>
      </c>
      <c r="N1027" s="82" t="s">
        <v>1946</v>
      </c>
      <c r="O1027" s="82" t="s">
        <v>2173</v>
      </c>
    </row>
    <row r="1028" spans="1:15" ht="15.75" hidden="1" x14ac:dyDescent="0.25">
      <c r="A1028" t="str">
        <f t="shared" si="16"/>
        <v>MANOMISSIONE-Allarme manomissione</v>
      </c>
      <c r="C1028" s="82" t="s">
        <v>872</v>
      </c>
      <c r="D1028" s="82" t="s">
        <v>873</v>
      </c>
      <c r="E1028" s="82" t="s">
        <v>2163</v>
      </c>
      <c r="F1028" s="82" t="s">
        <v>872</v>
      </c>
      <c r="G1028" s="82" t="s">
        <v>1946</v>
      </c>
      <c r="H1028" s="82" t="s">
        <v>2165</v>
      </c>
      <c r="I1028" s="82" t="s">
        <v>24</v>
      </c>
      <c r="J1028" s="82" t="s">
        <v>2171</v>
      </c>
      <c r="K1028" s="82" t="s">
        <v>2167</v>
      </c>
      <c r="L1028" s="82" t="s">
        <v>1946</v>
      </c>
      <c r="M1028" s="82" t="s">
        <v>2176</v>
      </c>
      <c r="N1028" s="82" t="s">
        <v>2180</v>
      </c>
      <c r="O1028" s="82" t="s">
        <v>2173</v>
      </c>
    </row>
    <row r="1029" spans="1:15" ht="15.75" hidden="1" x14ac:dyDescent="0.25">
      <c r="A1029" t="str">
        <f t="shared" si="16"/>
        <v>MANOMISSIONE_DIR_NORD-Allarme manomissione dir. nord</v>
      </c>
      <c r="C1029" s="82" t="s">
        <v>1746</v>
      </c>
      <c r="D1029" s="82" t="s">
        <v>1747</v>
      </c>
      <c r="E1029" s="82" t="s">
        <v>2163</v>
      </c>
      <c r="F1029" s="82" t="s">
        <v>1746</v>
      </c>
      <c r="G1029" s="82" t="s">
        <v>1946</v>
      </c>
      <c r="H1029" s="82" t="s">
        <v>2165</v>
      </c>
      <c r="I1029" s="82" t="s">
        <v>24</v>
      </c>
      <c r="J1029" s="82" t="s">
        <v>2171</v>
      </c>
      <c r="K1029" s="82" t="s">
        <v>2167</v>
      </c>
      <c r="L1029" s="82" t="s">
        <v>1946</v>
      </c>
      <c r="M1029" s="82" t="s">
        <v>2176</v>
      </c>
      <c r="N1029" s="82" t="s">
        <v>2180</v>
      </c>
      <c r="O1029" s="82" t="s">
        <v>2173</v>
      </c>
    </row>
    <row r="1030" spans="1:15" ht="15.75" hidden="1" x14ac:dyDescent="0.25">
      <c r="A1030" t="str">
        <f t="shared" si="16"/>
        <v>MANOMISSIONE_DIR_SUD-Allarme manomissione dir. sud</v>
      </c>
      <c r="C1030" s="82" t="s">
        <v>1748</v>
      </c>
      <c r="D1030" s="82" t="s">
        <v>1749</v>
      </c>
      <c r="E1030" s="82" t="s">
        <v>2163</v>
      </c>
      <c r="F1030" s="82" t="s">
        <v>1748</v>
      </c>
      <c r="G1030" s="82" t="s">
        <v>1946</v>
      </c>
      <c r="H1030" s="82" t="s">
        <v>2165</v>
      </c>
      <c r="I1030" s="82" t="s">
        <v>24</v>
      </c>
      <c r="J1030" s="82" t="s">
        <v>2171</v>
      </c>
      <c r="K1030" s="82" t="s">
        <v>2167</v>
      </c>
      <c r="L1030" s="82" t="s">
        <v>1946</v>
      </c>
      <c r="M1030" s="82" t="s">
        <v>2176</v>
      </c>
      <c r="N1030" s="82" t="s">
        <v>2180</v>
      </c>
      <c r="O1030" s="82" t="s">
        <v>2173</v>
      </c>
    </row>
    <row r="1031" spans="1:15" ht="15.75" hidden="1" x14ac:dyDescent="0.25">
      <c r="A1031" t="str">
        <f t="shared" si="16"/>
        <v>MEDIA-Allarme media</v>
      </c>
      <c r="C1031" s="82" t="s">
        <v>2732</v>
      </c>
      <c r="D1031" s="82" t="s">
        <v>2733</v>
      </c>
      <c r="E1031" s="82" t="s">
        <v>2163</v>
      </c>
      <c r="F1031" s="82" t="s">
        <v>2732</v>
      </c>
      <c r="G1031" s="82" t="s">
        <v>1946</v>
      </c>
      <c r="H1031" s="82" t="s">
        <v>2165</v>
      </c>
      <c r="I1031" s="82" t="s">
        <v>24</v>
      </c>
      <c r="J1031" s="82" t="s">
        <v>2171</v>
      </c>
      <c r="K1031" s="82" t="s">
        <v>2167</v>
      </c>
      <c r="L1031" s="82" t="s">
        <v>1946</v>
      </c>
      <c r="M1031" s="82" t="s">
        <v>2090</v>
      </c>
      <c r="N1031" s="82" t="s">
        <v>1946</v>
      </c>
      <c r="O1031" s="82" t="s">
        <v>2173</v>
      </c>
    </row>
    <row r="1032" spans="1:15" ht="15.75" hidden="1" x14ac:dyDescent="0.25">
      <c r="A1032" t="str">
        <f t="shared" si="16"/>
        <v>MESSAGGIO_DI_TESTO-messaggio di testo</v>
      </c>
      <c r="C1032" s="82" t="s">
        <v>2734</v>
      </c>
      <c r="D1032" s="82" t="s">
        <v>2735</v>
      </c>
      <c r="E1032" s="82" t="s">
        <v>2163</v>
      </c>
      <c r="F1032" s="82" t="s">
        <v>2734</v>
      </c>
      <c r="G1032" s="82" t="s">
        <v>1946</v>
      </c>
      <c r="H1032" s="82" t="s">
        <v>2165</v>
      </c>
      <c r="I1032" s="82" t="s">
        <v>24</v>
      </c>
      <c r="J1032" s="82" t="s">
        <v>2171</v>
      </c>
      <c r="K1032" s="82" t="s">
        <v>2167</v>
      </c>
      <c r="L1032" s="82" t="s">
        <v>1946</v>
      </c>
      <c r="M1032" s="82" t="s">
        <v>2090</v>
      </c>
      <c r="N1032" s="82" t="s">
        <v>1946</v>
      </c>
      <c r="O1032" s="82" t="s">
        <v>2173</v>
      </c>
    </row>
    <row r="1033" spans="1:15" ht="15.75" hidden="1" x14ac:dyDescent="0.25">
      <c r="A1033" t="str">
        <f t="shared" si="16"/>
        <v>MISURA_DIR_FAULT-Allarme misurazione direzione fallita</v>
      </c>
      <c r="C1033" s="82" t="s">
        <v>1750</v>
      </c>
      <c r="D1033" s="82" t="s">
        <v>1751</v>
      </c>
      <c r="E1033" s="82" t="s">
        <v>2163</v>
      </c>
      <c r="F1033" s="82" t="s">
        <v>1750</v>
      </c>
      <c r="G1033" s="82" t="s">
        <v>1946</v>
      </c>
      <c r="H1033" s="82" t="s">
        <v>2165</v>
      </c>
      <c r="I1033" s="82" t="s">
        <v>24</v>
      </c>
      <c r="J1033" s="82" t="s">
        <v>2171</v>
      </c>
      <c r="K1033" s="82" t="s">
        <v>2167</v>
      </c>
      <c r="L1033" s="82" t="s">
        <v>1946</v>
      </c>
      <c r="M1033" s="82" t="s">
        <v>2090</v>
      </c>
      <c r="N1033" s="82" t="s">
        <v>1946</v>
      </c>
      <c r="O1033" s="82" t="s">
        <v>2173</v>
      </c>
    </row>
    <row r="1034" spans="1:15" ht="15.75" hidden="1" x14ac:dyDescent="0.25">
      <c r="A1034" t="str">
        <f t="shared" si="16"/>
        <v>MISURA_FAULT-Allarme misurazione fallita</v>
      </c>
      <c r="C1034" s="82" t="s">
        <v>874</v>
      </c>
      <c r="D1034" s="82" t="s">
        <v>875</v>
      </c>
      <c r="E1034" s="82" t="s">
        <v>2163</v>
      </c>
      <c r="F1034" s="82" t="s">
        <v>874</v>
      </c>
      <c r="G1034" s="82" t="s">
        <v>1946</v>
      </c>
      <c r="H1034" s="82" t="s">
        <v>2165</v>
      </c>
      <c r="I1034" s="82" t="s">
        <v>24</v>
      </c>
      <c r="J1034" s="82" t="s">
        <v>2171</v>
      </c>
      <c r="K1034" s="82" t="s">
        <v>2167</v>
      </c>
      <c r="L1034" s="82" t="s">
        <v>1946</v>
      </c>
      <c r="M1034" s="82" t="s">
        <v>2090</v>
      </c>
      <c r="N1034" s="82" t="s">
        <v>1946</v>
      </c>
      <c r="O1034" s="82" t="s">
        <v>2173</v>
      </c>
    </row>
    <row r="1035" spans="1:15" ht="15.75" hidden="1" x14ac:dyDescent="0.25">
      <c r="A1035" t="str">
        <f t="shared" si="16"/>
        <v>MISURA_FUORI_SOGLIA-Misura fuori soglia</v>
      </c>
      <c r="C1035" s="82" t="s">
        <v>876</v>
      </c>
      <c r="D1035" s="82" t="s">
        <v>877</v>
      </c>
      <c r="E1035" s="82" t="s">
        <v>2163</v>
      </c>
      <c r="F1035" s="82" t="s">
        <v>876</v>
      </c>
      <c r="G1035" s="82" t="s">
        <v>1946</v>
      </c>
      <c r="H1035" s="82" t="s">
        <v>2165</v>
      </c>
      <c r="I1035" s="82" t="s">
        <v>24</v>
      </c>
      <c r="J1035" s="82" t="s">
        <v>2171</v>
      </c>
      <c r="K1035" s="82" t="s">
        <v>2167</v>
      </c>
      <c r="L1035" s="82" t="s">
        <v>1946</v>
      </c>
      <c r="M1035" s="82" t="s">
        <v>2090</v>
      </c>
      <c r="N1035" s="82" t="s">
        <v>1946</v>
      </c>
      <c r="O1035" s="82" t="s">
        <v>2173</v>
      </c>
    </row>
    <row r="1036" spans="1:15" ht="15.75" hidden="1" x14ac:dyDescent="0.25">
      <c r="A1036" t="str">
        <f t="shared" si="16"/>
        <v>MISURA_FUORI_SOGLIA_AN_INFERIORE_SUPERATA-Misura fuori soglia AN inferiore superata</v>
      </c>
      <c r="C1036" s="82" t="s">
        <v>879</v>
      </c>
      <c r="D1036" s="82" t="s">
        <v>880</v>
      </c>
      <c r="E1036" s="82" t="s">
        <v>2163</v>
      </c>
      <c r="F1036" s="82" t="s">
        <v>879</v>
      </c>
      <c r="G1036" s="82" t="s">
        <v>1946</v>
      </c>
      <c r="H1036" s="82" t="s">
        <v>2165</v>
      </c>
      <c r="I1036" s="82" t="s">
        <v>24</v>
      </c>
      <c r="J1036" s="82" t="s">
        <v>2171</v>
      </c>
      <c r="K1036" s="82" t="s">
        <v>2167</v>
      </c>
      <c r="L1036" s="82" t="s">
        <v>1946</v>
      </c>
      <c r="M1036" s="82" t="s">
        <v>2090</v>
      </c>
      <c r="N1036" s="82" t="s">
        <v>1946</v>
      </c>
      <c r="O1036" s="82" t="s">
        <v>2173</v>
      </c>
    </row>
    <row r="1037" spans="1:15" ht="15.75" hidden="1" x14ac:dyDescent="0.25">
      <c r="A1037" t="str">
        <f t="shared" si="16"/>
        <v>MISURA_FUORI_SOGLIA_AN_SUPERIORE_SUPERATA-Misura fuori soglia AN superiore superata</v>
      </c>
      <c r="C1037" s="82" t="s">
        <v>881</v>
      </c>
      <c r="D1037" s="82" t="s">
        <v>882</v>
      </c>
      <c r="E1037" s="82" t="s">
        <v>2163</v>
      </c>
      <c r="F1037" s="82" t="s">
        <v>881</v>
      </c>
      <c r="G1037" s="82" t="s">
        <v>1946</v>
      </c>
      <c r="H1037" s="82" t="s">
        <v>2165</v>
      </c>
      <c r="I1037" s="82" t="s">
        <v>24</v>
      </c>
      <c r="J1037" s="82" t="s">
        <v>2171</v>
      </c>
      <c r="K1037" s="82" t="s">
        <v>2167</v>
      </c>
      <c r="L1037" s="82" t="s">
        <v>1946</v>
      </c>
      <c r="M1037" s="82" t="s">
        <v>2090</v>
      </c>
      <c r="N1037" s="82" t="s">
        <v>1946</v>
      </c>
      <c r="O1037" s="82" t="s">
        <v>2173</v>
      </c>
    </row>
    <row r="1038" spans="1:15" ht="15.75" hidden="1" x14ac:dyDescent="0.25">
      <c r="A1038" t="str">
        <f t="shared" si="16"/>
        <v>MISURA_FUORI_SOGLIA_CORRENTE_INFERIORE_SUPERATA-Misura fuori soglia corrente inferiore superata</v>
      </c>
      <c r="C1038" s="82" t="s">
        <v>887</v>
      </c>
      <c r="D1038" s="82" t="s">
        <v>888</v>
      </c>
      <c r="E1038" s="82" t="s">
        <v>2163</v>
      </c>
      <c r="F1038" s="82" t="s">
        <v>887</v>
      </c>
      <c r="G1038" s="82" t="s">
        <v>1946</v>
      </c>
      <c r="H1038" s="82" t="s">
        <v>2165</v>
      </c>
      <c r="I1038" s="82" t="s">
        <v>24</v>
      </c>
      <c r="J1038" s="82" t="s">
        <v>2171</v>
      </c>
      <c r="K1038" s="82" t="s">
        <v>2167</v>
      </c>
      <c r="L1038" s="82" t="s">
        <v>1946</v>
      </c>
      <c r="M1038" s="82" t="s">
        <v>2090</v>
      </c>
      <c r="N1038" s="82" t="s">
        <v>1946</v>
      </c>
      <c r="O1038" s="82" t="s">
        <v>2173</v>
      </c>
    </row>
    <row r="1039" spans="1:15" ht="15.75" hidden="1" x14ac:dyDescent="0.25">
      <c r="A1039" t="str">
        <f t="shared" si="16"/>
        <v>MISURA_FUORI_SOGLIA_CORRENTE_SUPERIORE_SUPERATA-Misura fuori soglia corrente superiore superata</v>
      </c>
      <c r="C1039" s="82" t="s">
        <v>889</v>
      </c>
      <c r="D1039" s="82" t="s">
        <v>890</v>
      </c>
      <c r="E1039" s="82" t="s">
        <v>2163</v>
      </c>
      <c r="F1039" s="82" t="s">
        <v>889</v>
      </c>
      <c r="G1039" s="82" t="s">
        <v>1946</v>
      </c>
      <c r="H1039" s="82" t="s">
        <v>2165</v>
      </c>
      <c r="I1039" s="82" t="s">
        <v>24</v>
      </c>
      <c r="J1039" s="82" t="s">
        <v>2171</v>
      </c>
      <c r="K1039" s="82" t="s">
        <v>2167</v>
      </c>
      <c r="L1039" s="82" t="s">
        <v>1946</v>
      </c>
      <c r="M1039" s="82" t="s">
        <v>2090</v>
      </c>
      <c r="N1039" s="82" t="s">
        <v>1946</v>
      </c>
      <c r="O1039" s="82" t="s">
        <v>2173</v>
      </c>
    </row>
    <row r="1040" spans="1:15" ht="15.75" hidden="1" x14ac:dyDescent="0.25">
      <c r="A1040" t="str">
        <f t="shared" si="16"/>
        <v>MISURA_FUORI_SOGLIA_CO_INFERIORE_SUPERATA-Misura fuori soglia CO inferiore superata</v>
      </c>
      <c r="C1040" s="82" t="s">
        <v>883</v>
      </c>
      <c r="D1040" s="82" t="s">
        <v>884</v>
      </c>
      <c r="E1040" s="82" t="s">
        <v>2163</v>
      </c>
      <c r="F1040" s="82" t="s">
        <v>883</v>
      </c>
      <c r="G1040" s="82" t="s">
        <v>1946</v>
      </c>
      <c r="H1040" s="82" t="s">
        <v>2165</v>
      </c>
      <c r="I1040" s="82" t="s">
        <v>24</v>
      </c>
      <c r="J1040" s="82" t="s">
        <v>2171</v>
      </c>
      <c r="K1040" s="82" t="s">
        <v>2167</v>
      </c>
      <c r="L1040" s="82" t="s">
        <v>1946</v>
      </c>
      <c r="M1040" s="82" t="s">
        <v>2090</v>
      </c>
      <c r="N1040" s="82" t="s">
        <v>1946</v>
      </c>
      <c r="O1040" s="82" t="s">
        <v>2173</v>
      </c>
    </row>
    <row r="1041" spans="1:15" ht="15.75" hidden="1" x14ac:dyDescent="0.25">
      <c r="A1041" t="str">
        <f t="shared" si="16"/>
        <v>MISURA_FUORI_SOGLIA_CO_INFERIORE_SUPERATA_TRAFFICO_CONGESTIONATO_NORD-Misura fuori soglia CO inferiore superata traffico congestionato Nord</v>
      </c>
      <c r="C1041" s="82" t="s">
        <v>1752</v>
      </c>
      <c r="D1041" s="82" t="s">
        <v>1753</v>
      </c>
      <c r="E1041" s="82" t="s">
        <v>2163</v>
      </c>
      <c r="F1041" s="82" t="s">
        <v>1752</v>
      </c>
      <c r="G1041" s="82" t="s">
        <v>1946</v>
      </c>
      <c r="H1041" s="82" t="s">
        <v>2165</v>
      </c>
      <c r="I1041" s="82" t="s">
        <v>24</v>
      </c>
      <c r="J1041" s="82" t="s">
        <v>2171</v>
      </c>
      <c r="K1041" s="82" t="s">
        <v>2167</v>
      </c>
      <c r="L1041" s="82" t="s">
        <v>1946</v>
      </c>
      <c r="M1041" s="82" t="s">
        <v>2090</v>
      </c>
      <c r="N1041" s="82" t="s">
        <v>1946</v>
      </c>
      <c r="O1041" s="82" t="s">
        <v>2173</v>
      </c>
    </row>
    <row r="1042" spans="1:15" ht="15.75" hidden="1" x14ac:dyDescent="0.25">
      <c r="A1042" t="str">
        <f t="shared" si="16"/>
        <v>MISURA_FUORI_SOGLIA_CO_INFERIORE_SUPERATA_TRAFFICO_CONGESTIONATO_SUD-Misura fuori soglia CO inferiore superata traffico congestionato Sud</v>
      </c>
      <c r="C1042" s="82" t="s">
        <v>1754</v>
      </c>
      <c r="D1042" s="82" t="s">
        <v>1755</v>
      </c>
      <c r="E1042" s="82" t="s">
        <v>2163</v>
      </c>
      <c r="F1042" s="82" t="s">
        <v>1754</v>
      </c>
      <c r="G1042" s="82" t="s">
        <v>1946</v>
      </c>
      <c r="H1042" s="82" t="s">
        <v>2165</v>
      </c>
      <c r="I1042" s="82" t="s">
        <v>24</v>
      </c>
      <c r="J1042" s="82" t="s">
        <v>2171</v>
      </c>
      <c r="K1042" s="82" t="s">
        <v>2167</v>
      </c>
      <c r="L1042" s="82" t="s">
        <v>1946</v>
      </c>
      <c r="M1042" s="82" t="s">
        <v>2090</v>
      </c>
      <c r="N1042" s="82" t="s">
        <v>1946</v>
      </c>
      <c r="O1042" s="82" t="s">
        <v>2173</v>
      </c>
    </row>
    <row r="1043" spans="1:15" ht="15.75" hidden="1" x14ac:dyDescent="0.25">
      <c r="A1043" t="str">
        <f t="shared" si="16"/>
        <v>MISURA_FUORI_SOGLIA_CO_INFERIORE_SUPERATA_TRAFFICO_FLUIDO_NORD-Misura fuori soglia CO inferiore superata traffico fluido Nord</v>
      </c>
      <c r="C1043" s="82" t="s">
        <v>1756</v>
      </c>
      <c r="D1043" s="82" t="s">
        <v>1757</v>
      </c>
      <c r="E1043" s="82" t="s">
        <v>2163</v>
      </c>
      <c r="F1043" s="82" t="s">
        <v>1756</v>
      </c>
      <c r="G1043" s="82" t="s">
        <v>1946</v>
      </c>
      <c r="H1043" s="82" t="s">
        <v>2165</v>
      </c>
      <c r="I1043" s="82" t="s">
        <v>24</v>
      </c>
      <c r="J1043" s="82" t="s">
        <v>2171</v>
      </c>
      <c r="K1043" s="82" t="s">
        <v>2167</v>
      </c>
      <c r="L1043" s="82" t="s">
        <v>1946</v>
      </c>
      <c r="M1043" s="82" t="s">
        <v>2090</v>
      </c>
      <c r="N1043" s="82" t="s">
        <v>1946</v>
      </c>
      <c r="O1043" s="82" t="s">
        <v>2173</v>
      </c>
    </row>
    <row r="1044" spans="1:15" ht="15.75" hidden="1" x14ac:dyDescent="0.25">
      <c r="A1044" t="str">
        <f t="shared" si="16"/>
        <v>MISURA_FUORI_SOGLIA_CO_INFERIORE_SUPERATA_TRAFFICO_FLUIDO_SUD-Misura fuori soglia CO inferiore superata traffico fluido Sud</v>
      </c>
      <c r="C1044" s="82" t="s">
        <v>1758</v>
      </c>
      <c r="D1044" s="82" t="s">
        <v>1759</v>
      </c>
      <c r="E1044" s="82" t="s">
        <v>2163</v>
      </c>
      <c r="F1044" s="82" t="s">
        <v>1758</v>
      </c>
      <c r="G1044" s="82" t="s">
        <v>1946</v>
      </c>
      <c r="H1044" s="82" t="s">
        <v>2165</v>
      </c>
      <c r="I1044" s="82" t="s">
        <v>24</v>
      </c>
      <c r="J1044" s="82" t="s">
        <v>2171</v>
      </c>
      <c r="K1044" s="82" t="s">
        <v>2167</v>
      </c>
      <c r="L1044" s="82" t="s">
        <v>1946</v>
      </c>
      <c r="M1044" s="82" t="s">
        <v>2090</v>
      </c>
      <c r="N1044" s="82" t="s">
        <v>1946</v>
      </c>
      <c r="O1044" s="82" t="s">
        <v>2173</v>
      </c>
    </row>
    <row r="1045" spans="1:15" ht="15.75" hidden="1" x14ac:dyDescent="0.25">
      <c r="A1045" t="str">
        <f t="shared" si="16"/>
        <v>MISURA_FUORI_SOGLIA_CO_SUPERIORE_SUPERATA-Misura fuori soglia CO superiore superata</v>
      </c>
      <c r="C1045" s="82" t="s">
        <v>885</v>
      </c>
      <c r="D1045" s="82" t="s">
        <v>886</v>
      </c>
      <c r="E1045" s="82" t="s">
        <v>2163</v>
      </c>
      <c r="F1045" s="82" t="s">
        <v>885</v>
      </c>
      <c r="G1045" s="82" t="s">
        <v>1946</v>
      </c>
      <c r="H1045" s="82" t="s">
        <v>2165</v>
      </c>
      <c r="I1045" s="82" t="s">
        <v>24</v>
      </c>
      <c r="J1045" s="82" t="s">
        <v>2171</v>
      </c>
      <c r="K1045" s="82" t="s">
        <v>2167</v>
      </c>
      <c r="L1045" s="82" t="s">
        <v>1946</v>
      </c>
      <c r="M1045" s="82" t="s">
        <v>2090</v>
      </c>
      <c r="N1045" s="82" t="s">
        <v>1946</v>
      </c>
      <c r="O1045" s="82" t="s">
        <v>2173</v>
      </c>
    </row>
    <row r="1046" spans="1:15" ht="15.75" hidden="1" x14ac:dyDescent="0.25">
      <c r="A1046" t="str">
        <f t="shared" si="16"/>
        <v>MISURA_FUORI_SOGLIA_CO_TRAFFICO_BLOCCATO_NORD-Misura fuori soglia CO traffico bloccato Nord</v>
      </c>
      <c r="C1046" s="82" t="s">
        <v>2075</v>
      </c>
      <c r="D1046" s="82" t="s">
        <v>2076</v>
      </c>
      <c r="E1046" s="82" t="s">
        <v>2163</v>
      </c>
      <c r="F1046" s="82" t="s">
        <v>2075</v>
      </c>
      <c r="G1046" s="82" t="s">
        <v>1946</v>
      </c>
      <c r="H1046" s="82" t="s">
        <v>2165</v>
      </c>
      <c r="I1046" s="82" t="s">
        <v>24</v>
      </c>
      <c r="J1046" s="82" t="s">
        <v>2171</v>
      </c>
      <c r="K1046" s="82" t="s">
        <v>2167</v>
      </c>
      <c r="L1046" s="82" t="s">
        <v>1946</v>
      </c>
      <c r="M1046" s="82" t="s">
        <v>2090</v>
      </c>
      <c r="N1046" s="82" t="s">
        <v>1946</v>
      </c>
      <c r="O1046" s="82" t="s">
        <v>2173</v>
      </c>
    </row>
    <row r="1047" spans="1:15" ht="15.75" hidden="1" x14ac:dyDescent="0.25">
      <c r="A1047" t="str">
        <f t="shared" si="16"/>
        <v>MISURA_FUORI_SOGLIA_CO_TRAFFICO_BLOCCATO_SUD-Misura fuori soglia CO traffico bloccato Sud</v>
      </c>
      <c r="C1047" s="82" t="s">
        <v>2061</v>
      </c>
      <c r="D1047" s="82" t="s">
        <v>2062</v>
      </c>
      <c r="E1047" s="82" t="s">
        <v>2163</v>
      </c>
      <c r="F1047" s="82" t="s">
        <v>2061</v>
      </c>
      <c r="G1047" s="82" t="s">
        <v>2182</v>
      </c>
      <c r="H1047" s="82" t="s">
        <v>2165</v>
      </c>
      <c r="I1047" s="82" t="s">
        <v>24</v>
      </c>
      <c r="J1047" s="82" t="s">
        <v>2171</v>
      </c>
      <c r="K1047" s="82" t="s">
        <v>2167</v>
      </c>
      <c r="L1047" s="82" t="s">
        <v>2182</v>
      </c>
      <c r="M1047" s="82" t="s">
        <v>2183</v>
      </c>
      <c r="N1047" s="82" t="s">
        <v>1946</v>
      </c>
      <c r="O1047" s="82" t="s">
        <v>2173</v>
      </c>
    </row>
    <row r="1048" spans="1:15" ht="15.75" hidden="1" x14ac:dyDescent="0.25">
      <c r="A1048" t="str">
        <f t="shared" si="16"/>
        <v>MISURA_FUORI_SOGLIA_CO_TRAFFICO_CONGESTIONATO_NORD-Misura fuori soglia CO traffico congestionato Nord</v>
      </c>
      <c r="C1048" s="82" t="s">
        <v>2077</v>
      </c>
      <c r="D1048" s="82" t="s">
        <v>2078</v>
      </c>
      <c r="E1048" s="82" t="s">
        <v>2163</v>
      </c>
      <c r="F1048" s="82" t="s">
        <v>2077</v>
      </c>
      <c r="G1048" s="82" t="s">
        <v>1946</v>
      </c>
      <c r="H1048" s="82" t="s">
        <v>2165</v>
      </c>
      <c r="I1048" s="82" t="s">
        <v>24</v>
      </c>
      <c r="J1048" s="82" t="s">
        <v>2171</v>
      </c>
      <c r="K1048" s="82" t="s">
        <v>2167</v>
      </c>
      <c r="L1048" s="82" t="s">
        <v>1946</v>
      </c>
      <c r="M1048" s="82" t="s">
        <v>2090</v>
      </c>
      <c r="N1048" s="82" t="s">
        <v>1946</v>
      </c>
      <c r="O1048" s="82" t="s">
        <v>2173</v>
      </c>
    </row>
    <row r="1049" spans="1:15" ht="15.75" hidden="1" x14ac:dyDescent="0.25">
      <c r="A1049" t="str">
        <f t="shared" si="16"/>
        <v>MISURA_FUORI_SOGLIA_CO_TRAFFICO_CONGESTIONATO_SUD-Misura fuori soglia CO traffico congestionato Sud</v>
      </c>
      <c r="C1049" s="82" t="s">
        <v>2065</v>
      </c>
      <c r="D1049" s="82" t="s">
        <v>2066</v>
      </c>
      <c r="E1049" s="82" t="s">
        <v>2163</v>
      </c>
      <c r="F1049" s="82" t="s">
        <v>2065</v>
      </c>
      <c r="G1049" s="82" t="s">
        <v>2182</v>
      </c>
      <c r="H1049" s="82" t="s">
        <v>2165</v>
      </c>
      <c r="I1049" s="82" t="s">
        <v>24</v>
      </c>
      <c r="J1049" s="82" t="s">
        <v>2171</v>
      </c>
      <c r="K1049" s="82" t="s">
        <v>2167</v>
      </c>
      <c r="L1049" s="82" t="s">
        <v>2182</v>
      </c>
      <c r="M1049" s="82" t="s">
        <v>2183</v>
      </c>
      <c r="N1049" s="82" t="s">
        <v>1946</v>
      </c>
      <c r="O1049" s="82" t="s">
        <v>2173</v>
      </c>
    </row>
    <row r="1050" spans="1:15" ht="15.75" hidden="1" x14ac:dyDescent="0.25">
      <c r="A1050" t="str">
        <f t="shared" si="16"/>
        <v>MISURA_FUORI_SOGLIA_CO_TRAFFICO_FLUIDO_NORD-Misura fuori soglia CO traffico fluido Nord</v>
      </c>
      <c r="C1050" s="82" t="s">
        <v>2079</v>
      </c>
      <c r="D1050" s="82" t="s">
        <v>2080</v>
      </c>
      <c r="E1050" s="82" t="s">
        <v>2163</v>
      </c>
      <c r="F1050" s="82" t="s">
        <v>2079</v>
      </c>
      <c r="G1050" s="82" t="s">
        <v>2182</v>
      </c>
      <c r="H1050" s="82" t="s">
        <v>2165</v>
      </c>
      <c r="I1050" s="82" t="s">
        <v>24</v>
      </c>
      <c r="J1050" s="82" t="s">
        <v>2171</v>
      </c>
      <c r="K1050" s="82" t="s">
        <v>2167</v>
      </c>
      <c r="L1050" s="82" t="s">
        <v>2182</v>
      </c>
      <c r="M1050" s="82" t="s">
        <v>2183</v>
      </c>
      <c r="N1050" s="82" t="s">
        <v>1946</v>
      </c>
      <c r="O1050" s="82" t="s">
        <v>2173</v>
      </c>
    </row>
    <row r="1051" spans="1:15" ht="15.75" hidden="1" x14ac:dyDescent="0.25">
      <c r="A1051" t="str">
        <f t="shared" si="16"/>
        <v>MISURA_FUORI_SOGLIA_CO_TRAFFICO_FLUIDO_SUD-Misura fuori soglia CO traffico fluido Sud</v>
      </c>
      <c r="C1051" s="82" t="s">
        <v>2067</v>
      </c>
      <c r="D1051" s="82" t="s">
        <v>2068</v>
      </c>
      <c r="E1051" s="82" t="s">
        <v>2163</v>
      </c>
      <c r="F1051" s="82" t="s">
        <v>2067</v>
      </c>
      <c r="G1051" s="82" t="s">
        <v>2182</v>
      </c>
      <c r="H1051" s="82" t="s">
        <v>2165</v>
      </c>
      <c r="I1051" s="82" t="s">
        <v>24</v>
      </c>
      <c r="J1051" s="82" t="s">
        <v>2171</v>
      </c>
      <c r="K1051" s="82" t="s">
        <v>2167</v>
      </c>
      <c r="L1051" s="82" t="s">
        <v>2182</v>
      </c>
      <c r="M1051" s="82" t="s">
        <v>2183</v>
      </c>
      <c r="N1051" s="82" t="s">
        <v>1946</v>
      </c>
      <c r="O1051" s="82" t="s">
        <v>2173</v>
      </c>
    </row>
    <row r="1052" spans="1:15" ht="15.75" hidden="1" x14ac:dyDescent="0.25">
      <c r="A1052" t="str">
        <f t="shared" si="16"/>
        <v>MISURA_FUORI_SOGLIA_H2O-Allarme livello serbatoio acqua in esaurimento</v>
      </c>
      <c r="C1052" s="82" t="s">
        <v>2736</v>
      </c>
      <c r="D1052" s="82" t="s">
        <v>479</v>
      </c>
      <c r="E1052" s="82" t="s">
        <v>2163</v>
      </c>
      <c r="F1052" s="82" t="s">
        <v>2736</v>
      </c>
      <c r="G1052" s="82" t="s">
        <v>1946</v>
      </c>
      <c r="H1052" s="82" t="s">
        <v>2165</v>
      </c>
      <c r="I1052" s="82" t="s">
        <v>24</v>
      </c>
      <c r="J1052" s="82" t="s">
        <v>2171</v>
      </c>
      <c r="K1052" s="82" t="s">
        <v>2167</v>
      </c>
      <c r="L1052" s="82" t="s">
        <v>1946</v>
      </c>
      <c r="M1052" s="82" t="s">
        <v>2090</v>
      </c>
      <c r="N1052" s="82" t="s">
        <v>1946</v>
      </c>
      <c r="O1052" s="82" t="s">
        <v>2173</v>
      </c>
    </row>
    <row r="1053" spans="1:15" ht="15.75" hidden="1" x14ac:dyDescent="0.25">
      <c r="A1053" t="str">
        <f t="shared" si="16"/>
        <v>MISURA_FUORI_SOGLIA_H2O_SUPERIORE-Allarme livello serbatoio acqua medio</v>
      </c>
      <c r="C1053" s="82" t="s">
        <v>2737</v>
      </c>
      <c r="D1053" s="82" t="s">
        <v>2738</v>
      </c>
      <c r="E1053" s="82" t="s">
        <v>2163</v>
      </c>
      <c r="F1053" s="82" t="s">
        <v>2737</v>
      </c>
      <c r="G1053" s="82" t="s">
        <v>1946</v>
      </c>
      <c r="H1053" s="82" t="s">
        <v>2165</v>
      </c>
      <c r="I1053" s="82" t="s">
        <v>24</v>
      </c>
      <c r="J1053" s="82" t="s">
        <v>2171</v>
      </c>
      <c r="K1053" s="82" t="s">
        <v>2167</v>
      </c>
      <c r="L1053" s="82" t="s">
        <v>1946</v>
      </c>
      <c r="M1053" s="82" t="s">
        <v>2090</v>
      </c>
      <c r="N1053" s="82" t="s">
        <v>1946</v>
      </c>
      <c r="O1053" s="82" t="s">
        <v>2173</v>
      </c>
    </row>
    <row r="1054" spans="1:15" ht="15.75" hidden="1" x14ac:dyDescent="0.25">
      <c r="A1054" t="str">
        <f t="shared" si="16"/>
        <v>MISURA_FUORI_SOGLIA_INFERIORE-Misura fuori soglia inferiore</v>
      </c>
      <c r="C1054" s="82" t="s">
        <v>891</v>
      </c>
      <c r="D1054" s="82" t="s">
        <v>892</v>
      </c>
      <c r="E1054" s="82" t="s">
        <v>2163</v>
      </c>
      <c r="F1054" s="82" t="s">
        <v>891</v>
      </c>
      <c r="G1054" s="82" t="s">
        <v>1946</v>
      </c>
      <c r="H1054" s="82" t="s">
        <v>2165</v>
      </c>
      <c r="I1054" s="82" t="s">
        <v>24</v>
      </c>
      <c r="J1054" s="82" t="s">
        <v>2171</v>
      </c>
      <c r="K1054" s="82" t="s">
        <v>2167</v>
      </c>
      <c r="L1054" s="82" t="s">
        <v>1946</v>
      </c>
      <c r="M1054" s="82" t="s">
        <v>2090</v>
      </c>
      <c r="N1054" s="82" t="s">
        <v>1946</v>
      </c>
      <c r="O1054" s="82" t="s">
        <v>2173</v>
      </c>
    </row>
    <row r="1055" spans="1:15" ht="15.75" hidden="1" x14ac:dyDescent="0.25">
      <c r="A1055" t="str">
        <f t="shared" si="16"/>
        <v>MISURA_FUORI_SOGLIA_INFERIORE_SUPERATA-Misura fuori soglia inferiore</v>
      </c>
      <c r="C1055" s="82" t="s">
        <v>893</v>
      </c>
      <c r="D1055" s="82" t="s">
        <v>892</v>
      </c>
      <c r="E1055" s="82" t="s">
        <v>2163</v>
      </c>
      <c r="F1055" s="82" t="s">
        <v>893</v>
      </c>
      <c r="G1055" s="82" t="s">
        <v>1946</v>
      </c>
      <c r="H1055" s="82" t="s">
        <v>2165</v>
      </c>
      <c r="I1055" s="82" t="s">
        <v>24</v>
      </c>
      <c r="J1055" s="82" t="s">
        <v>2171</v>
      </c>
      <c r="K1055" s="82" t="s">
        <v>2167</v>
      </c>
      <c r="L1055" s="82" t="s">
        <v>1946</v>
      </c>
      <c r="M1055" s="82" t="s">
        <v>2090</v>
      </c>
      <c r="N1055" s="82" t="s">
        <v>1946</v>
      </c>
      <c r="O1055" s="82" t="s">
        <v>2173</v>
      </c>
    </row>
    <row r="1056" spans="1:15" ht="15.75" hidden="1" x14ac:dyDescent="0.25">
      <c r="A1056" t="str">
        <f t="shared" si="16"/>
        <v>MISURA_FUORI_SOGLIA_INFERIORE_WEATHER_OUTSIDE_TEMPERATURE-TEMPERATURA ARIA SOTTO SOGLIA DEFINITA</v>
      </c>
      <c r="C1056" s="82" t="s">
        <v>2739</v>
      </c>
      <c r="D1056" s="82" t="s">
        <v>2740</v>
      </c>
      <c r="E1056" s="82" t="s">
        <v>2163</v>
      </c>
      <c r="F1056" s="82" t="s">
        <v>2739</v>
      </c>
      <c r="G1056" s="82" t="s">
        <v>1946</v>
      </c>
      <c r="H1056" s="82" t="s">
        <v>2165</v>
      </c>
      <c r="I1056" s="82" t="s">
        <v>24</v>
      </c>
      <c r="J1056" s="82" t="s">
        <v>2171</v>
      </c>
      <c r="K1056" s="82" t="s">
        <v>2167</v>
      </c>
      <c r="L1056" s="82" t="s">
        <v>1946</v>
      </c>
      <c r="M1056" s="82" t="s">
        <v>2090</v>
      </c>
      <c r="N1056" s="82" t="s">
        <v>1946</v>
      </c>
      <c r="O1056" s="82" t="s">
        <v>2173</v>
      </c>
    </row>
    <row r="1057" spans="1:15" ht="15.75" hidden="1" x14ac:dyDescent="0.25">
      <c r="A1057" t="str">
        <f t="shared" si="16"/>
        <v>MISURA_FUORI_SOGLIA_INFERIORE_WEATHER_ROAD_CONDITION-CONDIZIONE STRADA PERIOCOLO GHIACCIO</v>
      </c>
      <c r="C1057" s="82" t="s">
        <v>2741</v>
      </c>
      <c r="D1057" s="82" t="s">
        <v>2742</v>
      </c>
      <c r="E1057" s="82" t="s">
        <v>2163</v>
      </c>
      <c r="F1057" s="82" t="s">
        <v>2741</v>
      </c>
      <c r="G1057" s="82" t="s">
        <v>1946</v>
      </c>
      <c r="H1057" s="82" t="s">
        <v>2165</v>
      </c>
      <c r="I1057" s="82" t="s">
        <v>24</v>
      </c>
      <c r="J1057" s="82" t="s">
        <v>2171</v>
      </c>
      <c r="K1057" s="82" t="s">
        <v>2167</v>
      </c>
      <c r="L1057" s="82" t="s">
        <v>1946</v>
      </c>
      <c r="M1057" s="82" t="s">
        <v>2090</v>
      </c>
      <c r="N1057" s="82" t="s">
        <v>1946</v>
      </c>
      <c r="O1057" s="82" t="s">
        <v>2173</v>
      </c>
    </row>
    <row r="1058" spans="1:15" ht="15.75" hidden="1" x14ac:dyDescent="0.25">
      <c r="A1058" t="str">
        <f t="shared" si="16"/>
        <v>MISURA_FUORI_SOGLIA_METRICA-Soglia metrica inferiore superata</v>
      </c>
      <c r="C1058" s="82" t="s">
        <v>2743</v>
      </c>
      <c r="D1058" s="82" t="s">
        <v>2744</v>
      </c>
      <c r="E1058" s="82" t="s">
        <v>2163</v>
      </c>
      <c r="F1058" s="82" t="s">
        <v>2743</v>
      </c>
      <c r="G1058" s="82" t="s">
        <v>1946</v>
      </c>
      <c r="H1058" s="82" t="s">
        <v>2165</v>
      </c>
      <c r="I1058" s="82" t="s">
        <v>24</v>
      </c>
      <c r="J1058" s="82" t="s">
        <v>2171</v>
      </c>
      <c r="K1058" s="82" t="s">
        <v>2167</v>
      </c>
      <c r="L1058" s="82" t="s">
        <v>1946</v>
      </c>
      <c r="M1058" s="82" t="s">
        <v>2090</v>
      </c>
      <c r="N1058" s="82" t="s">
        <v>1946</v>
      </c>
      <c r="O1058" s="82" t="s">
        <v>2173</v>
      </c>
    </row>
    <row r="1059" spans="1:15" ht="15.75" hidden="1" x14ac:dyDescent="0.25">
      <c r="A1059" t="str">
        <f t="shared" si="16"/>
        <v>MISURA_FUORI_SOGLIA_METRICA_INFERIORE-Misura soglia metrica inferiore superata</v>
      </c>
      <c r="C1059" s="82" t="s">
        <v>2745</v>
      </c>
      <c r="D1059" s="82" t="s">
        <v>2746</v>
      </c>
      <c r="E1059" s="82" t="s">
        <v>2163</v>
      </c>
      <c r="F1059" s="82" t="s">
        <v>2745</v>
      </c>
      <c r="G1059" s="82" t="s">
        <v>1946</v>
      </c>
      <c r="H1059" s="82" t="s">
        <v>2165</v>
      </c>
      <c r="I1059" s="82" t="s">
        <v>24</v>
      </c>
      <c r="J1059" s="82" t="s">
        <v>2171</v>
      </c>
      <c r="K1059" s="82" t="s">
        <v>2167</v>
      </c>
      <c r="L1059" s="82" t="s">
        <v>1946</v>
      </c>
      <c r="M1059" s="82" t="s">
        <v>2090</v>
      </c>
      <c r="N1059" s="82" t="s">
        <v>1946</v>
      </c>
      <c r="O1059" s="82" t="s">
        <v>2173</v>
      </c>
    </row>
    <row r="1060" spans="1:15" ht="15.75" hidden="1" x14ac:dyDescent="0.25">
      <c r="A1060" t="str">
        <f t="shared" si="16"/>
        <v>MISURA_FUORI_SOGLIA_METRICA_INFERIORE_NORD-Misura soglia metrica inferiore superata nord</v>
      </c>
      <c r="C1060" s="82" t="s">
        <v>2747</v>
      </c>
      <c r="D1060" s="82" t="s">
        <v>2748</v>
      </c>
      <c r="E1060" s="82" t="s">
        <v>2163</v>
      </c>
      <c r="F1060" s="82" t="s">
        <v>2747</v>
      </c>
      <c r="G1060" s="82" t="s">
        <v>1946</v>
      </c>
      <c r="H1060" s="82" t="s">
        <v>2165</v>
      </c>
      <c r="I1060" s="82" t="s">
        <v>24</v>
      </c>
      <c r="J1060" s="82" t="s">
        <v>2171</v>
      </c>
      <c r="K1060" s="82" t="s">
        <v>2167</v>
      </c>
      <c r="L1060" s="82" t="s">
        <v>1946</v>
      </c>
      <c r="M1060" s="82" t="s">
        <v>2090</v>
      </c>
      <c r="N1060" s="82" t="s">
        <v>1946</v>
      </c>
      <c r="O1060" s="82" t="s">
        <v>2173</v>
      </c>
    </row>
    <row r="1061" spans="1:15" ht="15.75" hidden="1" x14ac:dyDescent="0.25">
      <c r="A1061" t="str">
        <f t="shared" si="16"/>
        <v>MISURA_FUORI_SOGLIA_METRICA_INFERIORE_SUD-Misura soglia metrica inferiore superata sud</v>
      </c>
      <c r="C1061" s="82" t="s">
        <v>2749</v>
      </c>
      <c r="D1061" s="82" t="s">
        <v>2750</v>
      </c>
      <c r="E1061" s="82" t="s">
        <v>2163</v>
      </c>
      <c r="F1061" s="82" t="s">
        <v>2749</v>
      </c>
      <c r="G1061" s="82" t="s">
        <v>1946</v>
      </c>
      <c r="H1061" s="82" t="s">
        <v>2165</v>
      </c>
      <c r="I1061" s="82" t="s">
        <v>24</v>
      </c>
      <c r="J1061" s="82" t="s">
        <v>2171</v>
      </c>
      <c r="K1061" s="82" t="s">
        <v>2167</v>
      </c>
      <c r="L1061" s="82" t="s">
        <v>1946</v>
      </c>
      <c r="M1061" s="82" t="s">
        <v>2090</v>
      </c>
      <c r="N1061" s="82" t="s">
        <v>1946</v>
      </c>
      <c r="O1061" s="82" t="s">
        <v>2173</v>
      </c>
    </row>
    <row r="1062" spans="1:15" ht="15.75" hidden="1" x14ac:dyDescent="0.25">
      <c r="A1062" t="str">
        <f t="shared" si="16"/>
        <v>MISURA_FUORI_SOGLIA_METRICA_SUPERIORE-Misura soglia metrica superiore superata</v>
      </c>
      <c r="C1062" s="82" t="s">
        <v>2751</v>
      </c>
      <c r="D1062" s="82" t="s">
        <v>2752</v>
      </c>
      <c r="E1062" s="82" t="s">
        <v>2163</v>
      </c>
      <c r="F1062" s="82" t="s">
        <v>2751</v>
      </c>
      <c r="G1062" s="82" t="s">
        <v>1946</v>
      </c>
      <c r="H1062" s="82" t="s">
        <v>2165</v>
      </c>
      <c r="I1062" s="82" t="s">
        <v>24</v>
      </c>
      <c r="J1062" s="82" t="s">
        <v>2171</v>
      </c>
      <c r="K1062" s="82" t="s">
        <v>2167</v>
      </c>
      <c r="L1062" s="82" t="s">
        <v>1946</v>
      </c>
      <c r="M1062" s="82" t="s">
        <v>2090</v>
      </c>
      <c r="N1062" s="82" t="s">
        <v>1946</v>
      </c>
      <c r="O1062" s="82" t="s">
        <v>2173</v>
      </c>
    </row>
    <row r="1063" spans="1:15" ht="15.75" hidden="1" x14ac:dyDescent="0.25">
      <c r="A1063" t="str">
        <f t="shared" si="16"/>
        <v>MISURA_FUORI_SOGLIA_METRICA_SUPERIORE_NORD-Misura soglia metrica superiore superata nord</v>
      </c>
      <c r="C1063" s="82" t="s">
        <v>894</v>
      </c>
      <c r="D1063" s="82" t="s">
        <v>895</v>
      </c>
      <c r="E1063" s="82" t="s">
        <v>2163</v>
      </c>
      <c r="F1063" s="82" t="s">
        <v>894</v>
      </c>
      <c r="G1063" s="82" t="s">
        <v>1946</v>
      </c>
      <c r="H1063" s="82" t="s">
        <v>2165</v>
      </c>
      <c r="I1063" s="82" t="s">
        <v>24</v>
      </c>
      <c r="J1063" s="82" t="s">
        <v>2171</v>
      </c>
      <c r="K1063" s="82" t="s">
        <v>2167</v>
      </c>
      <c r="L1063" s="82" t="s">
        <v>1946</v>
      </c>
      <c r="M1063" s="82" t="s">
        <v>2090</v>
      </c>
      <c r="N1063" s="82" t="s">
        <v>1946</v>
      </c>
      <c r="O1063" s="82" t="s">
        <v>2173</v>
      </c>
    </row>
    <row r="1064" spans="1:15" ht="15.75" hidden="1" x14ac:dyDescent="0.25">
      <c r="A1064" t="str">
        <f t="shared" si="16"/>
        <v>MISURA_FUORI_SOGLIA_METRICA_SUPERIORE_SUD-Misura soglia metrica superiore superata sud</v>
      </c>
      <c r="C1064" s="82" t="s">
        <v>896</v>
      </c>
      <c r="D1064" s="82" t="s">
        <v>897</v>
      </c>
      <c r="E1064" s="82" t="s">
        <v>2163</v>
      </c>
      <c r="F1064" s="82" t="s">
        <v>896</v>
      </c>
      <c r="G1064" s="82" t="s">
        <v>1946</v>
      </c>
      <c r="H1064" s="82" t="s">
        <v>2165</v>
      </c>
      <c r="I1064" s="82" t="s">
        <v>24</v>
      </c>
      <c r="J1064" s="82" t="s">
        <v>2171</v>
      </c>
      <c r="K1064" s="82" t="s">
        <v>2167</v>
      </c>
      <c r="L1064" s="82" t="s">
        <v>1946</v>
      </c>
      <c r="M1064" s="82" t="s">
        <v>2090</v>
      </c>
      <c r="N1064" s="82" t="s">
        <v>1946</v>
      </c>
      <c r="O1064" s="82" t="s">
        <v>2173</v>
      </c>
    </row>
    <row r="1065" spans="1:15" ht="15.75" hidden="1" x14ac:dyDescent="0.25">
      <c r="A1065" t="str">
        <f t="shared" si="16"/>
        <v>MISURA_FUORI_SOGLIA_NO_INFERIORE_SUPERATA-Misura fuori soglia NO inferiore superata</v>
      </c>
      <c r="C1065" s="82" t="s">
        <v>898</v>
      </c>
      <c r="D1065" s="82" t="s">
        <v>899</v>
      </c>
      <c r="E1065" s="82" t="s">
        <v>2163</v>
      </c>
      <c r="F1065" s="82" t="s">
        <v>898</v>
      </c>
      <c r="G1065" s="82" t="s">
        <v>1946</v>
      </c>
      <c r="H1065" s="82" t="s">
        <v>2165</v>
      </c>
      <c r="I1065" s="82" t="s">
        <v>24</v>
      </c>
      <c r="J1065" s="82" t="s">
        <v>2171</v>
      </c>
      <c r="K1065" s="82" t="s">
        <v>2167</v>
      </c>
      <c r="L1065" s="82" t="s">
        <v>1946</v>
      </c>
      <c r="M1065" s="82" t="s">
        <v>2090</v>
      </c>
      <c r="N1065" s="82" t="s">
        <v>1946</v>
      </c>
      <c r="O1065" s="82" t="s">
        <v>2173</v>
      </c>
    </row>
    <row r="1066" spans="1:15" ht="15.75" hidden="1" x14ac:dyDescent="0.25">
      <c r="A1066" t="str">
        <f t="shared" si="16"/>
        <v>MISURA_FUORI_SOGLIA_NO_INFERIORE_SUPERATA_TRAFFICO_CONGESTIONATO_NORD-Misura fuori soglia NO inferiore superata traffico congestionato Nord</v>
      </c>
      <c r="C1066" s="82" t="s">
        <v>1760</v>
      </c>
      <c r="D1066" s="82" t="s">
        <v>1761</v>
      </c>
      <c r="E1066" s="82" t="s">
        <v>2163</v>
      </c>
      <c r="F1066" s="82" t="s">
        <v>1760</v>
      </c>
      <c r="G1066" s="82" t="s">
        <v>1946</v>
      </c>
      <c r="H1066" s="82" t="s">
        <v>2165</v>
      </c>
      <c r="I1066" s="82" t="s">
        <v>24</v>
      </c>
      <c r="J1066" s="82" t="s">
        <v>2171</v>
      </c>
      <c r="K1066" s="82" t="s">
        <v>2167</v>
      </c>
      <c r="L1066" s="82" t="s">
        <v>1946</v>
      </c>
      <c r="M1066" s="82" t="s">
        <v>2090</v>
      </c>
      <c r="N1066" s="82" t="s">
        <v>1946</v>
      </c>
      <c r="O1066" s="82" t="s">
        <v>2173</v>
      </c>
    </row>
    <row r="1067" spans="1:15" ht="15.75" hidden="1" x14ac:dyDescent="0.25">
      <c r="A1067" t="str">
        <f t="shared" si="16"/>
        <v>MISURA_FUORI_SOGLIA_NO_INFERIORE_SUPERATA_TRAFFICO_CONGESTIONATO_SUD-Misura fuori soglia NO inferiore superata traffico congestionato Sud</v>
      </c>
      <c r="C1067" s="82" t="s">
        <v>1762</v>
      </c>
      <c r="D1067" s="82" t="s">
        <v>1763</v>
      </c>
      <c r="E1067" s="82" t="s">
        <v>2163</v>
      </c>
      <c r="F1067" s="82" t="s">
        <v>1762</v>
      </c>
      <c r="G1067" s="82" t="s">
        <v>1946</v>
      </c>
      <c r="H1067" s="82" t="s">
        <v>2165</v>
      </c>
      <c r="I1067" s="82" t="s">
        <v>24</v>
      </c>
      <c r="J1067" s="82" t="s">
        <v>2171</v>
      </c>
      <c r="K1067" s="82" t="s">
        <v>2167</v>
      </c>
      <c r="L1067" s="82" t="s">
        <v>1946</v>
      </c>
      <c r="M1067" s="82" t="s">
        <v>2090</v>
      </c>
      <c r="N1067" s="82" t="s">
        <v>1946</v>
      </c>
      <c r="O1067" s="82" t="s">
        <v>2173</v>
      </c>
    </row>
    <row r="1068" spans="1:15" ht="15.75" hidden="1" x14ac:dyDescent="0.25">
      <c r="A1068" t="str">
        <f t="shared" si="16"/>
        <v>MISURA_FUORI_SOGLIA_NO_INFERIORE_SUPERATA_TRAFFICO_FLUIDO_NORD-Misura fuori soglia NO inferiore superata traffico fluido Nord</v>
      </c>
      <c r="C1068" s="82" t="s">
        <v>1764</v>
      </c>
      <c r="D1068" s="82" t="s">
        <v>1765</v>
      </c>
      <c r="E1068" s="82" t="s">
        <v>2163</v>
      </c>
      <c r="F1068" s="82" t="s">
        <v>1764</v>
      </c>
      <c r="G1068" s="82" t="s">
        <v>1946</v>
      </c>
      <c r="H1068" s="82" t="s">
        <v>2165</v>
      </c>
      <c r="I1068" s="82" t="s">
        <v>24</v>
      </c>
      <c r="J1068" s="82" t="s">
        <v>2171</v>
      </c>
      <c r="K1068" s="82" t="s">
        <v>2167</v>
      </c>
      <c r="L1068" s="82" t="s">
        <v>1946</v>
      </c>
      <c r="M1068" s="82" t="s">
        <v>2090</v>
      </c>
      <c r="N1068" s="82" t="s">
        <v>1946</v>
      </c>
      <c r="O1068" s="82" t="s">
        <v>2173</v>
      </c>
    </row>
    <row r="1069" spans="1:15" ht="15.75" hidden="1" x14ac:dyDescent="0.25">
      <c r="A1069" t="str">
        <f t="shared" si="16"/>
        <v>MISURA_FUORI_SOGLIA_NO_INFERIORE_SUPERATA_TRAFFICO_FLUIDO_SUD-Misura fuori soglia NO inferiore superata traffico fluido Sud</v>
      </c>
      <c r="C1069" s="82" t="s">
        <v>2753</v>
      </c>
      <c r="D1069" s="82" t="s">
        <v>2754</v>
      </c>
      <c r="E1069" s="82" t="s">
        <v>2163</v>
      </c>
      <c r="F1069" s="82" t="s">
        <v>2753</v>
      </c>
      <c r="G1069" s="82" t="s">
        <v>1946</v>
      </c>
      <c r="H1069" s="82" t="s">
        <v>2165</v>
      </c>
      <c r="I1069" s="82" t="s">
        <v>24</v>
      </c>
      <c r="J1069" s="82" t="s">
        <v>2171</v>
      </c>
      <c r="K1069" s="82" t="s">
        <v>2173</v>
      </c>
      <c r="L1069" s="82" t="s">
        <v>1946</v>
      </c>
      <c r="M1069" s="82" t="s">
        <v>2090</v>
      </c>
      <c r="N1069" s="82" t="s">
        <v>1946</v>
      </c>
      <c r="O1069" s="82" t="s">
        <v>2173</v>
      </c>
    </row>
    <row r="1070" spans="1:15" ht="15.75" hidden="1" x14ac:dyDescent="0.25">
      <c r="A1070" t="str">
        <f t="shared" si="16"/>
        <v>MISURA_FUORI_SOGLIA_NO_SUPERIORE_SUPERATA-Misura fuori soglia NO superiore superata</v>
      </c>
      <c r="C1070" s="82" t="s">
        <v>900</v>
      </c>
      <c r="D1070" s="82" t="s">
        <v>901</v>
      </c>
      <c r="E1070" s="82" t="s">
        <v>2163</v>
      </c>
      <c r="F1070" s="82" t="s">
        <v>900</v>
      </c>
      <c r="G1070" s="82" t="s">
        <v>1946</v>
      </c>
      <c r="H1070" s="82" t="s">
        <v>2165</v>
      </c>
      <c r="I1070" s="82" t="s">
        <v>24</v>
      </c>
      <c r="J1070" s="82" t="s">
        <v>2171</v>
      </c>
      <c r="K1070" s="82" t="s">
        <v>2167</v>
      </c>
      <c r="L1070" s="82" t="s">
        <v>1946</v>
      </c>
      <c r="M1070" s="82" t="s">
        <v>2090</v>
      </c>
      <c r="N1070" s="82" t="s">
        <v>1946</v>
      </c>
      <c r="O1070" s="82" t="s">
        <v>2173</v>
      </c>
    </row>
    <row r="1071" spans="1:15" ht="15.75" hidden="1" x14ac:dyDescent="0.25">
      <c r="A1071" t="str">
        <f t="shared" si="16"/>
        <v>MISURA_FUORI_SOGLIA_OP_INFERIORE_SUPERATA-Misura fuori soglia OP inferiore superata</v>
      </c>
      <c r="C1071" s="82" t="s">
        <v>902</v>
      </c>
      <c r="D1071" s="82" t="s">
        <v>903</v>
      </c>
      <c r="E1071" s="82" t="s">
        <v>2163</v>
      </c>
      <c r="F1071" s="82" t="s">
        <v>902</v>
      </c>
      <c r="G1071" s="82" t="s">
        <v>1946</v>
      </c>
      <c r="H1071" s="82" t="s">
        <v>2165</v>
      </c>
      <c r="I1071" s="82" t="s">
        <v>24</v>
      </c>
      <c r="J1071" s="82" t="s">
        <v>2171</v>
      </c>
      <c r="K1071" s="82" t="s">
        <v>2167</v>
      </c>
      <c r="L1071" s="82" t="s">
        <v>1946</v>
      </c>
      <c r="M1071" s="82" t="s">
        <v>2090</v>
      </c>
      <c r="N1071" s="82" t="s">
        <v>1946</v>
      </c>
      <c r="O1071" s="82" t="s">
        <v>2173</v>
      </c>
    </row>
    <row r="1072" spans="1:15" ht="15.75" hidden="1" x14ac:dyDescent="0.25">
      <c r="A1072" t="str">
        <f t="shared" si="16"/>
        <v>MISURA_FUORI_SOGLIA_OP_INFERIORE_SUPERATA_TRAFFICO_CONGESTIONATO_NORD-Misura fuori soglia OP inferiore superata traffico congestionato Nord</v>
      </c>
      <c r="C1072" s="82" t="s">
        <v>1766</v>
      </c>
      <c r="D1072" s="82" t="s">
        <v>1767</v>
      </c>
      <c r="E1072" s="82" t="s">
        <v>2163</v>
      </c>
      <c r="F1072" s="82" t="s">
        <v>1766</v>
      </c>
      <c r="G1072" s="82" t="s">
        <v>1946</v>
      </c>
      <c r="H1072" s="82" t="s">
        <v>2165</v>
      </c>
      <c r="I1072" s="82" t="s">
        <v>24</v>
      </c>
      <c r="J1072" s="82" t="s">
        <v>2171</v>
      </c>
      <c r="K1072" s="82" t="s">
        <v>2167</v>
      </c>
      <c r="L1072" s="82" t="s">
        <v>1946</v>
      </c>
      <c r="M1072" s="82" t="s">
        <v>2090</v>
      </c>
      <c r="N1072" s="82" t="s">
        <v>1946</v>
      </c>
      <c r="O1072" s="82" t="s">
        <v>2173</v>
      </c>
    </row>
    <row r="1073" spans="1:15" ht="15.75" hidden="1" x14ac:dyDescent="0.25">
      <c r="A1073" t="str">
        <f t="shared" si="16"/>
        <v>MISURA_FUORI_SOGLIA_OP_INFERIORE_SUPERATA_TRAFFICO_CONGESTIONATO_SUD-Misura fuori soglia OP inferiore superata traffico congestionato Sud</v>
      </c>
      <c r="C1073" s="82" t="s">
        <v>1769</v>
      </c>
      <c r="D1073" s="82" t="s">
        <v>1770</v>
      </c>
      <c r="E1073" s="82" t="s">
        <v>2163</v>
      </c>
      <c r="F1073" s="82" t="s">
        <v>1769</v>
      </c>
      <c r="G1073" s="82" t="s">
        <v>1946</v>
      </c>
      <c r="H1073" s="82" t="s">
        <v>2165</v>
      </c>
      <c r="I1073" s="82" t="s">
        <v>24</v>
      </c>
      <c r="J1073" s="82" t="s">
        <v>2171</v>
      </c>
      <c r="K1073" s="82" t="s">
        <v>2167</v>
      </c>
      <c r="L1073" s="82" t="s">
        <v>1946</v>
      </c>
      <c r="M1073" s="82" t="s">
        <v>2090</v>
      </c>
      <c r="N1073" s="82" t="s">
        <v>1946</v>
      </c>
      <c r="O1073" s="82" t="s">
        <v>2173</v>
      </c>
    </row>
    <row r="1074" spans="1:15" ht="15.75" hidden="1" x14ac:dyDescent="0.25">
      <c r="A1074" t="str">
        <f t="shared" si="16"/>
        <v>MISURA_FUORI_SOGLIA_OP_INFERIORE_SUPERATA_TRAFFICO_FLUIDO_NORD-Misura fuori soglia OP inferiore superata traffico fluido Nord</v>
      </c>
      <c r="C1074" s="82" t="s">
        <v>1771</v>
      </c>
      <c r="D1074" s="82" t="s">
        <v>1772</v>
      </c>
      <c r="E1074" s="82" t="s">
        <v>2163</v>
      </c>
      <c r="F1074" s="82" t="s">
        <v>1771</v>
      </c>
      <c r="G1074" s="82" t="s">
        <v>1946</v>
      </c>
      <c r="H1074" s="82" t="s">
        <v>2165</v>
      </c>
      <c r="I1074" s="82" t="s">
        <v>24</v>
      </c>
      <c r="J1074" s="82" t="s">
        <v>2171</v>
      </c>
      <c r="K1074" s="82" t="s">
        <v>2167</v>
      </c>
      <c r="L1074" s="82" t="s">
        <v>1946</v>
      </c>
      <c r="M1074" s="82" t="s">
        <v>2090</v>
      </c>
      <c r="N1074" s="82" t="s">
        <v>1946</v>
      </c>
      <c r="O1074" s="82" t="s">
        <v>2173</v>
      </c>
    </row>
    <row r="1075" spans="1:15" ht="15.75" hidden="1" x14ac:dyDescent="0.25">
      <c r="A1075" t="str">
        <f t="shared" si="16"/>
        <v>MISURA_FUORI_SOGLIA_OP_INFERIORE_SUPERATA_TRAFFICO_FLUIDO_SUD-Misura fuori soglia OP inferiore superata traffico fluido Sud</v>
      </c>
      <c r="C1075" s="82" t="s">
        <v>1773</v>
      </c>
      <c r="D1075" s="82" t="s">
        <v>1774</v>
      </c>
      <c r="E1075" s="82" t="s">
        <v>2163</v>
      </c>
      <c r="F1075" s="82" t="s">
        <v>1773</v>
      </c>
      <c r="G1075" s="82" t="s">
        <v>1946</v>
      </c>
      <c r="H1075" s="82" t="s">
        <v>2165</v>
      </c>
      <c r="I1075" s="82" t="s">
        <v>24</v>
      </c>
      <c r="J1075" s="82" t="s">
        <v>2171</v>
      </c>
      <c r="K1075" s="82" t="s">
        <v>2167</v>
      </c>
      <c r="L1075" s="82" t="s">
        <v>1946</v>
      </c>
      <c r="M1075" s="82" t="s">
        <v>2090</v>
      </c>
      <c r="N1075" s="82" t="s">
        <v>1946</v>
      </c>
      <c r="O1075" s="82" t="s">
        <v>2173</v>
      </c>
    </row>
    <row r="1076" spans="1:15" ht="15.75" hidden="1" x14ac:dyDescent="0.25">
      <c r="A1076" t="str">
        <f t="shared" si="16"/>
        <v>MISURA_FUORI_SOGLIA_OP_SUPERIORE_SUPERATA-Misura fuori soglia OP superiore superata</v>
      </c>
      <c r="C1076" s="82" t="s">
        <v>904</v>
      </c>
      <c r="D1076" s="82" t="s">
        <v>905</v>
      </c>
      <c r="E1076" s="82" t="s">
        <v>2163</v>
      </c>
      <c r="F1076" s="82" t="s">
        <v>904</v>
      </c>
      <c r="G1076" s="82" t="s">
        <v>1946</v>
      </c>
      <c r="H1076" s="82" t="s">
        <v>2165</v>
      </c>
      <c r="I1076" s="82" t="s">
        <v>24</v>
      </c>
      <c r="J1076" s="82" t="s">
        <v>2171</v>
      </c>
      <c r="K1076" s="82" t="s">
        <v>2167</v>
      </c>
      <c r="L1076" s="82" t="s">
        <v>1946</v>
      </c>
      <c r="M1076" s="82" t="s">
        <v>2090</v>
      </c>
      <c r="N1076" s="82" t="s">
        <v>1946</v>
      </c>
      <c r="O1076" s="82" t="s">
        <v>2173</v>
      </c>
    </row>
    <row r="1077" spans="1:15" ht="15.75" hidden="1" x14ac:dyDescent="0.25">
      <c r="A1077" t="str">
        <f t="shared" si="16"/>
        <v>MISURA_FUORI_SOGLIA_OP_TRAFFICO_BLOCCATO_NORD-Misura fuori soglia OP traffico bloccato Nord</v>
      </c>
      <c r="C1077" s="82" t="s">
        <v>2081</v>
      </c>
      <c r="D1077" s="82" t="s">
        <v>2082</v>
      </c>
      <c r="E1077" s="82" t="s">
        <v>2163</v>
      </c>
      <c r="F1077" s="82" t="s">
        <v>2081</v>
      </c>
      <c r="G1077" s="82" t="s">
        <v>2182</v>
      </c>
      <c r="H1077" s="82" t="s">
        <v>2165</v>
      </c>
      <c r="I1077" s="82" t="s">
        <v>24</v>
      </c>
      <c r="J1077" s="82" t="s">
        <v>2171</v>
      </c>
      <c r="K1077" s="82" t="s">
        <v>2167</v>
      </c>
      <c r="L1077" s="82" t="s">
        <v>2182</v>
      </c>
      <c r="M1077" s="82" t="s">
        <v>2183</v>
      </c>
      <c r="N1077" s="82" t="s">
        <v>1946</v>
      </c>
      <c r="O1077" s="82" t="s">
        <v>2173</v>
      </c>
    </row>
    <row r="1078" spans="1:15" ht="15.75" hidden="1" x14ac:dyDescent="0.25">
      <c r="A1078" t="str">
        <f t="shared" si="16"/>
        <v>MISURA_FUORI_SOGLIA_OP_TRAFFICO_BLOCCATO_SUD-Misura fuori soglia OP traffico bloccato Sud</v>
      </c>
      <c r="C1078" s="82" t="s">
        <v>2069</v>
      </c>
      <c r="D1078" s="82" t="s">
        <v>2070</v>
      </c>
      <c r="E1078" s="82" t="s">
        <v>2163</v>
      </c>
      <c r="F1078" s="82" t="s">
        <v>2069</v>
      </c>
      <c r="G1078" s="82" t="s">
        <v>2182</v>
      </c>
      <c r="H1078" s="82" t="s">
        <v>2165</v>
      </c>
      <c r="I1078" s="82" t="s">
        <v>24</v>
      </c>
      <c r="J1078" s="82" t="s">
        <v>2171</v>
      </c>
      <c r="K1078" s="82" t="s">
        <v>2167</v>
      </c>
      <c r="L1078" s="82" t="s">
        <v>2182</v>
      </c>
      <c r="M1078" s="82" t="s">
        <v>2183</v>
      </c>
      <c r="N1078" s="82" t="s">
        <v>1946</v>
      </c>
      <c r="O1078" s="82" t="s">
        <v>2173</v>
      </c>
    </row>
    <row r="1079" spans="1:15" ht="15.75" hidden="1" x14ac:dyDescent="0.25">
      <c r="A1079" t="str">
        <f t="shared" si="16"/>
        <v>MISURA_FUORI_SOGLIA_OP_TRAFFICO_CONGESTIONATO_NORD-Misura fuori soglia OP traffico congestionato Nord</v>
      </c>
      <c r="C1079" s="82" t="s">
        <v>2083</v>
      </c>
      <c r="D1079" s="82" t="s">
        <v>2084</v>
      </c>
      <c r="E1079" s="82" t="s">
        <v>2163</v>
      </c>
      <c r="F1079" s="82" t="s">
        <v>2083</v>
      </c>
      <c r="G1079" s="82" t="s">
        <v>2182</v>
      </c>
      <c r="H1079" s="82" t="s">
        <v>2165</v>
      </c>
      <c r="I1079" s="82" t="s">
        <v>24</v>
      </c>
      <c r="J1079" s="82" t="s">
        <v>2171</v>
      </c>
      <c r="K1079" s="82" t="s">
        <v>2167</v>
      </c>
      <c r="L1079" s="82" t="s">
        <v>2182</v>
      </c>
      <c r="M1079" s="82" t="s">
        <v>2183</v>
      </c>
      <c r="N1079" s="82" t="s">
        <v>1946</v>
      </c>
      <c r="O1079" s="82" t="s">
        <v>2173</v>
      </c>
    </row>
    <row r="1080" spans="1:15" ht="15.75" hidden="1" x14ac:dyDescent="0.25">
      <c r="A1080" t="str">
        <f t="shared" si="16"/>
        <v>MISURA_FUORI_SOGLIA_OP_TRAFFICO_CONGESTIONATO_SUD-Misura fuori soglia OP traffico congestionato Sud</v>
      </c>
      <c r="C1080" s="82" t="s">
        <v>2071</v>
      </c>
      <c r="D1080" s="82" t="s">
        <v>2072</v>
      </c>
      <c r="E1080" s="82" t="s">
        <v>2163</v>
      </c>
      <c r="F1080" s="82" t="s">
        <v>2071</v>
      </c>
      <c r="G1080" s="82" t="s">
        <v>2182</v>
      </c>
      <c r="H1080" s="82" t="s">
        <v>2165</v>
      </c>
      <c r="I1080" s="82" t="s">
        <v>24</v>
      </c>
      <c r="J1080" s="82" t="s">
        <v>2171</v>
      </c>
      <c r="K1080" s="82" t="s">
        <v>2167</v>
      </c>
      <c r="L1080" s="82" t="s">
        <v>2182</v>
      </c>
      <c r="M1080" s="82" t="s">
        <v>2183</v>
      </c>
      <c r="N1080" s="82" t="s">
        <v>1946</v>
      </c>
      <c r="O1080" s="82" t="s">
        <v>2173</v>
      </c>
    </row>
    <row r="1081" spans="1:15" ht="15.75" hidden="1" x14ac:dyDescent="0.25">
      <c r="A1081" t="str">
        <f t="shared" si="16"/>
        <v>MISURA_FUORI_SOGLIA_OP_TRAFFICO_FLUIDO_NORD-Misura fuori soglia OP traffico fluido Nord</v>
      </c>
      <c r="C1081" s="82" t="s">
        <v>2085</v>
      </c>
      <c r="D1081" s="82" t="s">
        <v>2086</v>
      </c>
      <c r="E1081" s="82" t="s">
        <v>2163</v>
      </c>
      <c r="F1081" s="82" t="s">
        <v>2085</v>
      </c>
      <c r="G1081" s="82" t="s">
        <v>1946</v>
      </c>
      <c r="H1081" s="82" t="s">
        <v>2165</v>
      </c>
      <c r="I1081" s="82" t="s">
        <v>24</v>
      </c>
      <c r="J1081" s="82" t="s">
        <v>2171</v>
      </c>
      <c r="K1081" s="82" t="s">
        <v>2167</v>
      </c>
      <c r="L1081" s="82" t="s">
        <v>1946</v>
      </c>
      <c r="M1081" s="82" t="s">
        <v>2090</v>
      </c>
      <c r="N1081" s="82" t="s">
        <v>1946</v>
      </c>
      <c r="O1081" s="82" t="s">
        <v>2173</v>
      </c>
    </row>
    <row r="1082" spans="1:15" ht="15.75" hidden="1" x14ac:dyDescent="0.25">
      <c r="A1082" t="str">
        <f t="shared" si="16"/>
        <v>MISURA_FUORI_SOGLIA_OP_TRAFFICO_FLUIDO_SUD-Misura fuori soglia OP traffico fluido Sud</v>
      </c>
      <c r="C1082" s="82" t="s">
        <v>2073</v>
      </c>
      <c r="D1082" s="82" t="s">
        <v>2074</v>
      </c>
      <c r="E1082" s="82" t="s">
        <v>2163</v>
      </c>
      <c r="F1082" s="82" t="s">
        <v>2073</v>
      </c>
      <c r="G1082" s="82" t="s">
        <v>2182</v>
      </c>
      <c r="H1082" s="82" t="s">
        <v>2165</v>
      </c>
      <c r="I1082" s="82" t="s">
        <v>24</v>
      </c>
      <c r="J1082" s="82" t="s">
        <v>2171</v>
      </c>
      <c r="K1082" s="82" t="s">
        <v>2167</v>
      </c>
      <c r="L1082" s="82" t="s">
        <v>2182</v>
      </c>
      <c r="M1082" s="82" t="s">
        <v>2183</v>
      </c>
      <c r="N1082" s="82" t="s">
        <v>1946</v>
      </c>
      <c r="O1082" s="82" t="s">
        <v>2173</v>
      </c>
    </row>
    <row r="1083" spans="1:15" ht="15.75" hidden="1" x14ac:dyDescent="0.25">
      <c r="A1083" t="str">
        <f t="shared" si="16"/>
        <v>MISURA_FUORI_SOGLIA_PRESSIONE_INFERIORE_SUPERATA-Misura fuori soglia pressione inferiore superata</v>
      </c>
      <c r="C1083" s="82" t="s">
        <v>906</v>
      </c>
      <c r="D1083" s="82" t="s">
        <v>907</v>
      </c>
      <c r="E1083" s="82" t="s">
        <v>2163</v>
      </c>
      <c r="F1083" s="82" t="s">
        <v>906</v>
      </c>
      <c r="G1083" s="82" t="s">
        <v>1946</v>
      </c>
      <c r="H1083" s="82" t="s">
        <v>2165</v>
      </c>
      <c r="I1083" s="82" t="s">
        <v>24</v>
      </c>
      <c r="J1083" s="82" t="s">
        <v>2171</v>
      </c>
      <c r="K1083" s="82" t="s">
        <v>2167</v>
      </c>
      <c r="L1083" s="82" t="s">
        <v>1946</v>
      </c>
      <c r="M1083" s="82" t="s">
        <v>2090</v>
      </c>
      <c r="N1083" s="82" t="s">
        <v>1946</v>
      </c>
      <c r="O1083" s="82" t="s">
        <v>2173</v>
      </c>
    </row>
    <row r="1084" spans="1:15" ht="15.75" hidden="1" x14ac:dyDescent="0.25">
      <c r="A1084" t="str">
        <f t="shared" si="16"/>
        <v>MISURA_FUORI_SOGLIA_PRESSIONE_SUPERIORE_SUPERATA-Misura fuori soglia pressione superiore superata</v>
      </c>
      <c r="C1084" s="82" t="s">
        <v>908</v>
      </c>
      <c r="D1084" s="82" t="s">
        <v>909</v>
      </c>
      <c r="E1084" s="82" t="s">
        <v>2163</v>
      </c>
      <c r="F1084" s="82" t="s">
        <v>908</v>
      </c>
      <c r="G1084" s="82" t="s">
        <v>1946</v>
      </c>
      <c r="H1084" s="82" t="s">
        <v>2165</v>
      </c>
      <c r="I1084" s="82" t="s">
        <v>24</v>
      </c>
      <c r="J1084" s="82" t="s">
        <v>2171</v>
      </c>
      <c r="K1084" s="82" t="s">
        <v>2167</v>
      </c>
      <c r="L1084" s="82" t="s">
        <v>1946</v>
      </c>
      <c r="M1084" s="82" t="s">
        <v>2090</v>
      </c>
      <c r="N1084" s="82" t="s">
        <v>1946</v>
      </c>
      <c r="O1084" s="82" t="s">
        <v>2173</v>
      </c>
    </row>
    <row r="1085" spans="1:15" ht="15.75" hidden="1" x14ac:dyDescent="0.25">
      <c r="A1085" t="str">
        <f t="shared" si="16"/>
        <v>MISURA_FUORI_SOGLIA_SERBATOIO_ACQUA_INFERIORE_SUPERATA-Misura fuori soglia serbatoio acqua inferiore superata</v>
      </c>
      <c r="C1085" s="82" t="s">
        <v>910</v>
      </c>
      <c r="D1085" s="82" t="s">
        <v>911</v>
      </c>
      <c r="E1085" s="82" t="s">
        <v>2163</v>
      </c>
      <c r="F1085" s="82" t="s">
        <v>910</v>
      </c>
      <c r="G1085" s="82" t="s">
        <v>1946</v>
      </c>
      <c r="H1085" s="82" t="s">
        <v>2165</v>
      </c>
      <c r="I1085" s="82" t="s">
        <v>24</v>
      </c>
      <c r="J1085" s="82" t="s">
        <v>2171</v>
      </c>
      <c r="K1085" s="82" t="s">
        <v>2167</v>
      </c>
      <c r="L1085" s="82" t="s">
        <v>1946</v>
      </c>
      <c r="M1085" s="82" t="s">
        <v>2090</v>
      </c>
      <c r="N1085" s="82" t="s">
        <v>1946</v>
      </c>
      <c r="O1085" s="82" t="s">
        <v>2173</v>
      </c>
    </row>
    <row r="1086" spans="1:15" ht="15.75" hidden="1" x14ac:dyDescent="0.25">
      <c r="A1086" t="str">
        <f t="shared" si="16"/>
        <v>MISURA_FUORI_SOGLIA_SERBATOIO_ACQUA_SUPERIORE_SUPERATA-Misura fuori soglia serbatoio acqua superiore superata</v>
      </c>
      <c r="C1086" s="82" t="s">
        <v>912</v>
      </c>
      <c r="D1086" s="82" t="s">
        <v>913</v>
      </c>
      <c r="E1086" s="82" t="s">
        <v>2163</v>
      </c>
      <c r="F1086" s="82" t="s">
        <v>912</v>
      </c>
      <c r="G1086" s="82" t="s">
        <v>1946</v>
      </c>
      <c r="H1086" s="82" t="s">
        <v>2165</v>
      </c>
      <c r="I1086" s="82" t="s">
        <v>24</v>
      </c>
      <c r="J1086" s="82" t="s">
        <v>2171</v>
      </c>
      <c r="K1086" s="82" t="s">
        <v>2167</v>
      </c>
      <c r="L1086" s="82" t="s">
        <v>1946</v>
      </c>
      <c r="M1086" s="82" t="s">
        <v>2090</v>
      </c>
      <c r="N1086" s="82" t="s">
        <v>1946</v>
      </c>
      <c r="O1086" s="82" t="s">
        <v>2173</v>
      </c>
    </row>
    <row r="1087" spans="1:15" ht="15.75" hidden="1" x14ac:dyDescent="0.25">
      <c r="A1087" t="str">
        <f t="shared" si="16"/>
        <v>MISURA_FUORI_SOGLIA_SUPERIORE-Misura fuori soglia superiore</v>
      </c>
      <c r="C1087" s="82" t="s">
        <v>914</v>
      </c>
      <c r="D1087" s="82" t="s">
        <v>915</v>
      </c>
      <c r="E1087" s="82" t="s">
        <v>2163</v>
      </c>
      <c r="F1087" s="82" t="s">
        <v>914</v>
      </c>
      <c r="G1087" s="82" t="s">
        <v>1946</v>
      </c>
      <c r="H1087" s="82" t="s">
        <v>2165</v>
      </c>
      <c r="I1087" s="82" t="s">
        <v>24</v>
      </c>
      <c r="J1087" s="82" t="s">
        <v>2171</v>
      </c>
      <c r="K1087" s="82" t="s">
        <v>2167</v>
      </c>
      <c r="L1087" s="82" t="s">
        <v>1946</v>
      </c>
      <c r="M1087" s="82" t="s">
        <v>2090</v>
      </c>
      <c r="N1087" s="82" t="s">
        <v>1946</v>
      </c>
      <c r="O1087" s="82" t="s">
        <v>2173</v>
      </c>
    </row>
    <row r="1088" spans="1:15" ht="15.75" hidden="1" x14ac:dyDescent="0.25">
      <c r="A1088" t="str">
        <f t="shared" si="16"/>
        <v>MISURA_FUORI_SOGLIA_T_INFERIORE_SUPERATA-Misura fuori soglia T inferiore superata</v>
      </c>
      <c r="C1088" s="82" t="s">
        <v>916</v>
      </c>
      <c r="D1088" s="82" t="s">
        <v>917</v>
      </c>
      <c r="E1088" s="82" t="s">
        <v>2163</v>
      </c>
      <c r="F1088" s="82" t="s">
        <v>916</v>
      </c>
      <c r="G1088" s="82" t="s">
        <v>1946</v>
      </c>
      <c r="H1088" s="82" t="s">
        <v>2165</v>
      </c>
      <c r="I1088" s="82" t="s">
        <v>24</v>
      </c>
      <c r="J1088" s="82" t="s">
        <v>2171</v>
      </c>
      <c r="K1088" s="82" t="s">
        <v>2167</v>
      </c>
      <c r="L1088" s="82" t="s">
        <v>1946</v>
      </c>
      <c r="M1088" s="82" t="s">
        <v>2090</v>
      </c>
      <c r="N1088" s="82" t="s">
        <v>1946</v>
      </c>
      <c r="O1088" s="82" t="s">
        <v>2173</v>
      </c>
    </row>
    <row r="1089" spans="1:15" ht="15.75" hidden="1" x14ac:dyDescent="0.25">
      <c r="A1089" t="str">
        <f t="shared" si="16"/>
        <v>MISURA_FUORI_SOGLIA_T_SUPERIORE_SUPERATA-Misura fuori soglia T superiore superata</v>
      </c>
      <c r="C1089" s="82" t="s">
        <v>919</v>
      </c>
      <c r="D1089" s="82" t="s">
        <v>920</v>
      </c>
      <c r="E1089" s="82" t="s">
        <v>2163</v>
      </c>
      <c r="F1089" s="82" t="s">
        <v>919</v>
      </c>
      <c r="G1089" s="82" t="s">
        <v>1946</v>
      </c>
      <c r="H1089" s="82" t="s">
        <v>2165</v>
      </c>
      <c r="I1089" s="82" t="s">
        <v>24</v>
      </c>
      <c r="J1089" s="82" t="s">
        <v>2171</v>
      </c>
      <c r="K1089" s="82" t="s">
        <v>2167</v>
      </c>
      <c r="L1089" s="82" t="s">
        <v>1946</v>
      </c>
      <c r="M1089" s="82" t="s">
        <v>2090</v>
      </c>
      <c r="N1089" s="82" t="s">
        <v>1946</v>
      </c>
      <c r="O1089" s="82" t="s">
        <v>2173</v>
      </c>
    </row>
    <row r="1090" spans="1:15" ht="15.75" hidden="1" x14ac:dyDescent="0.25">
      <c r="A1090" t="str">
        <f t="shared" si="16"/>
        <v>MISURA_FUORI_SOGLIA_VIBRAZIONE_INFERIORE_SUPERATA-Misura fuori soglia vibrazione inferiore superata</v>
      </c>
      <c r="C1090" s="82" t="s">
        <v>921</v>
      </c>
      <c r="D1090" s="82" t="s">
        <v>922</v>
      </c>
      <c r="E1090" s="82" t="s">
        <v>2163</v>
      </c>
      <c r="F1090" s="82" t="s">
        <v>921</v>
      </c>
      <c r="G1090" s="82" t="s">
        <v>1946</v>
      </c>
      <c r="H1090" s="82" t="s">
        <v>2165</v>
      </c>
      <c r="I1090" s="82" t="s">
        <v>24</v>
      </c>
      <c r="J1090" s="82" t="s">
        <v>2171</v>
      </c>
      <c r="K1090" s="82" t="s">
        <v>2167</v>
      </c>
      <c r="L1090" s="82" t="s">
        <v>1946</v>
      </c>
      <c r="M1090" s="82" t="s">
        <v>2090</v>
      </c>
      <c r="N1090" s="82" t="s">
        <v>1946</v>
      </c>
      <c r="O1090" s="82" t="s">
        <v>2173</v>
      </c>
    </row>
    <row r="1091" spans="1:15" ht="15.75" hidden="1" x14ac:dyDescent="0.25">
      <c r="A1091" t="str">
        <f t="shared" ref="A1091:A1154" si="17">CONCATENATE(F1091,"-",D1091)</f>
        <v>MISURA_FUORI_SOGLIA_VIBRAZIONE_SUPERIORE_SUPERATA-Misura fuori soglia vibrazione superiore superata</v>
      </c>
      <c r="C1091" s="82" t="s">
        <v>923</v>
      </c>
      <c r="D1091" s="82" t="s">
        <v>924</v>
      </c>
      <c r="E1091" s="82" t="s">
        <v>2163</v>
      </c>
      <c r="F1091" s="82" t="s">
        <v>923</v>
      </c>
      <c r="G1091" s="82" t="s">
        <v>1946</v>
      </c>
      <c r="H1091" s="82" t="s">
        <v>2165</v>
      </c>
      <c r="I1091" s="82" t="s">
        <v>24</v>
      </c>
      <c r="J1091" s="82" t="s">
        <v>2171</v>
      </c>
      <c r="K1091" s="82" t="s">
        <v>2167</v>
      </c>
      <c r="L1091" s="82" t="s">
        <v>1946</v>
      </c>
      <c r="M1091" s="82" t="s">
        <v>2090</v>
      </c>
      <c r="N1091" s="82" t="s">
        <v>1946</v>
      </c>
      <c r="O1091" s="82" t="s">
        <v>2173</v>
      </c>
    </row>
    <row r="1092" spans="1:15" ht="15.75" hidden="1" x14ac:dyDescent="0.25">
      <c r="A1092" t="str">
        <f t="shared" si="17"/>
        <v>MISURA_VEL_FAULT-Allarme misurazione velocita' fallita</v>
      </c>
      <c r="C1092" s="82" t="s">
        <v>2755</v>
      </c>
      <c r="D1092" s="82" t="s">
        <v>2756</v>
      </c>
      <c r="E1092" s="82" t="s">
        <v>2163</v>
      </c>
      <c r="F1092" s="82" t="s">
        <v>2755</v>
      </c>
      <c r="G1092" s="82" t="s">
        <v>1946</v>
      </c>
      <c r="H1092" s="82" t="s">
        <v>2165</v>
      </c>
      <c r="I1092" s="82" t="s">
        <v>24</v>
      </c>
      <c r="J1092" s="82" t="s">
        <v>2171</v>
      </c>
      <c r="K1092" s="82" t="s">
        <v>2167</v>
      </c>
      <c r="L1092" s="82" t="s">
        <v>1946</v>
      </c>
      <c r="M1092" s="82" t="s">
        <v>2090</v>
      </c>
      <c r="N1092" s="82" t="s">
        <v>1946</v>
      </c>
      <c r="O1092" s="82" t="s">
        <v>2173</v>
      </c>
    </row>
    <row r="1093" spans="1:15" ht="15.75" hidden="1" x14ac:dyDescent="0.25">
      <c r="A1093" t="str">
        <f t="shared" si="17"/>
        <v>MIS_VIB_IN_FAULT-Allarme mis vib in fault</v>
      </c>
      <c r="C1093" s="82" t="s">
        <v>2757</v>
      </c>
      <c r="D1093" s="82" t="s">
        <v>2758</v>
      </c>
      <c r="E1093" s="82" t="s">
        <v>2163</v>
      </c>
      <c r="F1093" s="82" t="s">
        <v>2757</v>
      </c>
      <c r="G1093" s="82" t="s">
        <v>1946</v>
      </c>
      <c r="H1093" s="82" t="s">
        <v>2165</v>
      </c>
      <c r="I1093" s="82" t="s">
        <v>24</v>
      </c>
      <c r="J1093" s="82" t="s">
        <v>2171</v>
      </c>
      <c r="K1093" s="82" t="s">
        <v>2167</v>
      </c>
      <c r="L1093" s="82" t="s">
        <v>1946</v>
      </c>
      <c r="M1093" s="82" t="s">
        <v>2090</v>
      </c>
      <c r="N1093" s="82" t="s">
        <v>1946</v>
      </c>
      <c r="O1093" s="82" t="s">
        <v>2173</v>
      </c>
    </row>
    <row r="1094" spans="1:15" ht="15.75" hidden="1" x14ac:dyDescent="0.25">
      <c r="A1094" t="str">
        <f t="shared" si="17"/>
        <v>NODO_DP_IN_ANOMALIA-Allarme nodo dp in anomalia</v>
      </c>
      <c r="C1094" s="82" t="s">
        <v>2759</v>
      </c>
      <c r="D1094" s="82" t="s">
        <v>2760</v>
      </c>
      <c r="E1094" s="82" t="s">
        <v>2163</v>
      </c>
      <c r="F1094" s="82" t="s">
        <v>2759</v>
      </c>
      <c r="G1094" s="82" t="s">
        <v>1946</v>
      </c>
      <c r="H1094" s="82" t="s">
        <v>2165</v>
      </c>
      <c r="I1094" s="82" t="s">
        <v>24</v>
      </c>
      <c r="J1094" s="82" t="s">
        <v>2171</v>
      </c>
      <c r="K1094" s="82" t="s">
        <v>2167</v>
      </c>
      <c r="L1094" s="82" t="s">
        <v>1946</v>
      </c>
      <c r="M1094" s="82" t="s">
        <v>2090</v>
      </c>
      <c r="N1094" s="82" t="s">
        <v>1946</v>
      </c>
      <c r="O1094" s="82" t="s">
        <v>2173</v>
      </c>
    </row>
    <row r="1095" spans="1:15" ht="15.75" hidden="1" x14ac:dyDescent="0.25">
      <c r="A1095" t="str">
        <f t="shared" si="17"/>
        <v>ONHOLD-CHIAMATA SOSPESA</v>
      </c>
      <c r="C1095" s="82" t="s">
        <v>2761</v>
      </c>
      <c r="D1095" s="82" t="s">
        <v>2762</v>
      </c>
      <c r="E1095" s="82" t="s">
        <v>2163</v>
      </c>
      <c r="F1095" s="82" t="s">
        <v>2763</v>
      </c>
      <c r="G1095" s="82" t="s">
        <v>1946</v>
      </c>
      <c r="H1095" s="82" t="s">
        <v>2165</v>
      </c>
      <c r="I1095" s="82" t="s">
        <v>33</v>
      </c>
      <c r="J1095" s="82" t="s">
        <v>2174</v>
      </c>
      <c r="K1095" s="82" t="s">
        <v>2173</v>
      </c>
      <c r="L1095" s="82" t="s">
        <v>1946</v>
      </c>
      <c r="M1095" s="82" t="s">
        <v>2090</v>
      </c>
      <c r="N1095" s="82" t="s">
        <v>1946</v>
      </c>
      <c r="O1095" s="82" t="s">
        <v>2167</v>
      </c>
    </row>
    <row r="1096" spans="1:15" ht="15.75" hidden="1" x14ac:dyDescent="0.25">
      <c r="A1096" t="str">
        <f t="shared" si="17"/>
        <v>OP_GUASTO-Allarme guasto sensore OP</v>
      </c>
      <c r="C1096" s="82" t="s">
        <v>925</v>
      </c>
      <c r="D1096" s="82" t="s">
        <v>549</v>
      </c>
      <c r="E1096" s="82" t="s">
        <v>2163</v>
      </c>
      <c r="F1096" s="82" t="s">
        <v>925</v>
      </c>
      <c r="G1096" s="82" t="s">
        <v>1946</v>
      </c>
      <c r="H1096" s="82" t="s">
        <v>2165</v>
      </c>
      <c r="I1096" s="82" t="s">
        <v>24</v>
      </c>
      <c r="J1096" s="82" t="s">
        <v>2171</v>
      </c>
      <c r="K1096" s="82" t="s">
        <v>2167</v>
      </c>
      <c r="L1096" s="82" t="s">
        <v>1946</v>
      </c>
      <c r="M1096" s="82" t="s">
        <v>2090</v>
      </c>
      <c r="N1096" s="82" t="s">
        <v>1946</v>
      </c>
      <c r="O1096" s="82" t="s">
        <v>2173</v>
      </c>
    </row>
    <row r="1097" spans="1:15" ht="15.75" hidden="1" x14ac:dyDescent="0.25">
      <c r="A1097" t="str">
        <f t="shared" si="17"/>
        <v>OP_SPORCO-Allarme opacimetro sporco</v>
      </c>
      <c r="C1097" s="82" t="s">
        <v>2764</v>
      </c>
      <c r="D1097" s="82" t="s">
        <v>2765</v>
      </c>
      <c r="E1097" s="82" t="s">
        <v>2163</v>
      </c>
      <c r="F1097" s="82" t="s">
        <v>2764</v>
      </c>
      <c r="G1097" s="82" t="s">
        <v>1946</v>
      </c>
      <c r="H1097" s="82" t="s">
        <v>2165</v>
      </c>
      <c r="I1097" s="82" t="s">
        <v>24</v>
      </c>
      <c r="J1097" s="82" t="s">
        <v>2171</v>
      </c>
      <c r="K1097" s="82" t="s">
        <v>2167</v>
      </c>
      <c r="L1097" s="82" t="s">
        <v>1946</v>
      </c>
      <c r="M1097" s="82" t="s">
        <v>2090</v>
      </c>
      <c r="N1097" s="82" t="s">
        <v>1946</v>
      </c>
      <c r="O1097" s="82" t="s">
        <v>2173</v>
      </c>
    </row>
    <row r="1098" spans="1:15" ht="15.75" hidden="1" x14ac:dyDescent="0.25">
      <c r="A1098" t="str">
        <f t="shared" si="17"/>
        <v>ORDINANZE-ORDINANZE</v>
      </c>
      <c r="C1098" s="82" t="s">
        <v>2766</v>
      </c>
      <c r="D1098" s="82" t="s">
        <v>2766</v>
      </c>
      <c r="E1098" s="82" t="s">
        <v>2696</v>
      </c>
      <c r="F1098" s="82" t="s">
        <v>2766</v>
      </c>
      <c r="G1098" s="82" t="s">
        <v>1946</v>
      </c>
      <c r="H1098" s="82" t="s">
        <v>2165</v>
      </c>
      <c r="I1098" s="82" t="s">
        <v>33</v>
      </c>
      <c r="J1098" s="82" t="s">
        <v>2767</v>
      </c>
      <c r="K1098" s="82" t="s">
        <v>2167</v>
      </c>
      <c r="L1098" s="82" t="s">
        <v>1946</v>
      </c>
      <c r="M1098" s="82" t="s">
        <v>2252</v>
      </c>
      <c r="N1098" s="82" t="s">
        <v>1946</v>
      </c>
      <c r="O1098" s="82" t="s">
        <v>2173</v>
      </c>
    </row>
    <row r="1099" spans="1:15" ht="15.75" hidden="1" x14ac:dyDescent="0.25">
      <c r="A1099" t="str">
        <f t="shared" si="17"/>
        <v>PEDONE-Allarme pedone</v>
      </c>
      <c r="C1099" s="82" t="s">
        <v>926</v>
      </c>
      <c r="D1099" s="82" t="s">
        <v>927</v>
      </c>
      <c r="E1099" s="82" t="s">
        <v>2163</v>
      </c>
      <c r="F1099" s="82" t="s">
        <v>926</v>
      </c>
      <c r="G1099" s="82" t="s">
        <v>1946</v>
      </c>
      <c r="H1099" s="82" t="s">
        <v>2165</v>
      </c>
      <c r="I1099" s="82" t="s">
        <v>33</v>
      </c>
      <c r="J1099" s="82" t="s">
        <v>2174</v>
      </c>
      <c r="K1099" s="82" t="s">
        <v>2173</v>
      </c>
      <c r="L1099" s="82" t="s">
        <v>2175</v>
      </c>
      <c r="M1099" s="82" t="s">
        <v>2176</v>
      </c>
      <c r="N1099" s="82" t="s">
        <v>2177</v>
      </c>
      <c r="O1099" s="82" t="s">
        <v>2173</v>
      </c>
    </row>
    <row r="1100" spans="1:15" ht="15.75" hidden="1" x14ac:dyDescent="0.25">
      <c r="A1100" t="str">
        <f t="shared" si="17"/>
        <v>PEDONE_CORSIA_1-Allarme pedone corsia di emergenza</v>
      </c>
      <c r="C1100" s="82" t="s">
        <v>928</v>
      </c>
      <c r="D1100" s="82" t="s">
        <v>929</v>
      </c>
      <c r="E1100" s="82" t="s">
        <v>2163</v>
      </c>
      <c r="F1100" s="82" t="s">
        <v>928</v>
      </c>
      <c r="G1100" s="82" t="s">
        <v>1946</v>
      </c>
      <c r="H1100" s="82" t="s">
        <v>2165</v>
      </c>
      <c r="I1100" s="82" t="s">
        <v>33</v>
      </c>
      <c r="J1100" s="82" t="s">
        <v>2174</v>
      </c>
      <c r="K1100" s="82" t="s">
        <v>2173</v>
      </c>
      <c r="L1100" s="82" t="s">
        <v>2175</v>
      </c>
      <c r="M1100" s="82" t="s">
        <v>2176</v>
      </c>
      <c r="N1100" s="82" t="s">
        <v>2177</v>
      </c>
      <c r="O1100" s="82" t="s">
        <v>2173</v>
      </c>
    </row>
    <row r="1101" spans="1:15" ht="15.75" hidden="1" x14ac:dyDescent="0.25">
      <c r="A1101" t="str">
        <f t="shared" si="17"/>
        <v>PEDONE_CORSIA_2-Allarme pedone corsia di marcia</v>
      </c>
      <c r="C1101" s="82" t="s">
        <v>930</v>
      </c>
      <c r="D1101" s="82" t="s">
        <v>931</v>
      </c>
      <c r="E1101" s="82" t="s">
        <v>2163</v>
      </c>
      <c r="F1101" s="82" t="s">
        <v>930</v>
      </c>
      <c r="G1101" s="82" t="s">
        <v>1946</v>
      </c>
      <c r="H1101" s="82" t="s">
        <v>2165</v>
      </c>
      <c r="I1101" s="82" t="s">
        <v>33</v>
      </c>
      <c r="J1101" s="82" t="s">
        <v>2174</v>
      </c>
      <c r="K1101" s="82" t="s">
        <v>2173</v>
      </c>
      <c r="L1101" s="82" t="s">
        <v>2175</v>
      </c>
      <c r="M1101" s="82" t="s">
        <v>2176</v>
      </c>
      <c r="N1101" s="82" t="s">
        <v>2177</v>
      </c>
      <c r="O1101" s="82" t="s">
        <v>2173</v>
      </c>
    </row>
    <row r="1102" spans="1:15" ht="15.75" hidden="1" x14ac:dyDescent="0.25">
      <c r="A1102" t="str">
        <f t="shared" si="17"/>
        <v>PEDONE_CORSIA_3-Allarme pedone corsia veloce</v>
      </c>
      <c r="C1102" s="82" t="s">
        <v>932</v>
      </c>
      <c r="D1102" s="82" t="s">
        <v>933</v>
      </c>
      <c r="E1102" s="82" t="s">
        <v>2163</v>
      </c>
      <c r="F1102" s="82" t="s">
        <v>932</v>
      </c>
      <c r="G1102" s="82" t="s">
        <v>1946</v>
      </c>
      <c r="H1102" s="82" t="s">
        <v>2165</v>
      </c>
      <c r="I1102" s="82" t="s">
        <v>33</v>
      </c>
      <c r="J1102" s="82" t="s">
        <v>2174</v>
      </c>
      <c r="K1102" s="82" t="s">
        <v>2173</v>
      </c>
      <c r="L1102" s="82" t="s">
        <v>2175</v>
      </c>
      <c r="M1102" s="82" t="s">
        <v>2176</v>
      </c>
      <c r="N1102" s="82" t="s">
        <v>2177</v>
      </c>
      <c r="O1102" s="82" t="s">
        <v>2173</v>
      </c>
    </row>
    <row r="1103" spans="1:15" ht="15.75" hidden="1" x14ac:dyDescent="0.25">
      <c r="A1103" t="str">
        <f t="shared" si="17"/>
        <v>PEDONE_CORSIA_LENTA-Allarme pedone corsia lenta</v>
      </c>
      <c r="C1103" s="82" t="s">
        <v>1775</v>
      </c>
      <c r="D1103" s="82" t="s">
        <v>1776</v>
      </c>
      <c r="E1103" s="82" t="s">
        <v>2163</v>
      </c>
      <c r="F1103" s="82" t="s">
        <v>1775</v>
      </c>
      <c r="G1103" s="82" t="s">
        <v>1946</v>
      </c>
      <c r="H1103" s="82" t="s">
        <v>2165</v>
      </c>
      <c r="I1103" s="82" t="s">
        <v>33</v>
      </c>
      <c r="J1103" s="82" t="s">
        <v>2174</v>
      </c>
      <c r="K1103" s="82" t="s">
        <v>2173</v>
      </c>
      <c r="L1103" s="82" t="s">
        <v>2175</v>
      </c>
      <c r="M1103" s="82" t="s">
        <v>2176</v>
      </c>
      <c r="N1103" s="82" t="s">
        <v>2177</v>
      </c>
      <c r="O1103" s="82" t="s">
        <v>2173</v>
      </c>
    </row>
    <row r="1104" spans="1:15" ht="15.75" hidden="1" x14ac:dyDescent="0.25">
      <c r="A1104" t="str">
        <f t="shared" si="17"/>
        <v>PEDONE_CORSIA_MARCIA_NORD-Allarme pedone corsia di marcia nord</v>
      </c>
      <c r="C1104" s="82" t="s">
        <v>1777</v>
      </c>
      <c r="D1104" s="82" t="s">
        <v>1778</v>
      </c>
      <c r="E1104" s="82" t="s">
        <v>2163</v>
      </c>
      <c r="F1104" s="82" t="s">
        <v>1777</v>
      </c>
      <c r="G1104" s="82" t="s">
        <v>1946</v>
      </c>
      <c r="H1104" s="82" t="s">
        <v>2165</v>
      </c>
      <c r="I1104" s="82" t="s">
        <v>33</v>
      </c>
      <c r="J1104" s="82" t="s">
        <v>2174</v>
      </c>
      <c r="K1104" s="82" t="s">
        <v>2173</v>
      </c>
      <c r="L1104" s="82" t="s">
        <v>2175</v>
      </c>
      <c r="M1104" s="82" t="s">
        <v>2176</v>
      </c>
      <c r="N1104" s="82" t="s">
        <v>2177</v>
      </c>
      <c r="O1104" s="82" t="s">
        <v>2173</v>
      </c>
    </row>
    <row r="1105" spans="1:15" ht="15.75" hidden="1" x14ac:dyDescent="0.25">
      <c r="A1105" t="str">
        <f t="shared" si="17"/>
        <v>PEDONE_CORSIA_MARCIA_SUD-Allarme pedone corsia di marcia sud</v>
      </c>
      <c r="C1105" s="82" t="s">
        <v>1779</v>
      </c>
      <c r="D1105" s="82" t="s">
        <v>1780</v>
      </c>
      <c r="E1105" s="82" t="s">
        <v>2163</v>
      </c>
      <c r="F1105" s="82" t="s">
        <v>1779</v>
      </c>
      <c r="G1105" s="82" t="s">
        <v>1946</v>
      </c>
      <c r="H1105" s="82" t="s">
        <v>2165</v>
      </c>
      <c r="I1105" s="82" t="s">
        <v>33</v>
      </c>
      <c r="J1105" s="82" t="s">
        <v>2174</v>
      </c>
      <c r="K1105" s="82" t="s">
        <v>2173</v>
      </c>
      <c r="L1105" s="82" t="s">
        <v>2175</v>
      </c>
      <c r="M1105" s="82" t="s">
        <v>2176</v>
      </c>
      <c r="N1105" s="82" t="s">
        <v>2177</v>
      </c>
      <c r="O1105" s="82" t="s">
        <v>2173</v>
      </c>
    </row>
    <row r="1106" spans="1:15" ht="15.75" hidden="1" x14ac:dyDescent="0.25">
      <c r="A1106" t="str">
        <f t="shared" si="17"/>
        <v>PEDONE_DIR_NORD-Allarme presenza pedone direzione Nord</v>
      </c>
      <c r="C1106" s="82" t="s">
        <v>1781</v>
      </c>
      <c r="D1106" s="82" t="s">
        <v>1782</v>
      </c>
      <c r="E1106" s="82" t="s">
        <v>2163</v>
      </c>
      <c r="F1106" s="82" t="s">
        <v>1781</v>
      </c>
      <c r="G1106" s="82" t="s">
        <v>1946</v>
      </c>
      <c r="H1106" s="82" t="s">
        <v>2165</v>
      </c>
      <c r="I1106" s="82" t="s">
        <v>33</v>
      </c>
      <c r="J1106" s="82" t="s">
        <v>2174</v>
      </c>
      <c r="K1106" s="82" t="s">
        <v>2173</v>
      </c>
      <c r="L1106" s="82" t="s">
        <v>2175</v>
      </c>
      <c r="M1106" s="82" t="s">
        <v>2176</v>
      </c>
      <c r="N1106" s="82" t="s">
        <v>2177</v>
      </c>
      <c r="O1106" s="82" t="s">
        <v>2173</v>
      </c>
    </row>
    <row r="1107" spans="1:15" ht="15.75" hidden="1" x14ac:dyDescent="0.25">
      <c r="A1107" t="str">
        <f t="shared" si="17"/>
        <v>PEDONE_DIR_SUD-Allarme presenza pedone direzione Sud</v>
      </c>
      <c r="C1107" s="82" t="s">
        <v>1783</v>
      </c>
      <c r="D1107" s="82" t="s">
        <v>1784</v>
      </c>
      <c r="E1107" s="82" t="s">
        <v>2163</v>
      </c>
      <c r="F1107" s="82" t="s">
        <v>1783</v>
      </c>
      <c r="G1107" s="82" t="s">
        <v>1946</v>
      </c>
      <c r="H1107" s="82" t="s">
        <v>2165</v>
      </c>
      <c r="I1107" s="82" t="s">
        <v>33</v>
      </c>
      <c r="J1107" s="82" t="s">
        <v>2174</v>
      </c>
      <c r="K1107" s="82" t="s">
        <v>2173</v>
      </c>
      <c r="L1107" s="82" t="s">
        <v>2175</v>
      </c>
      <c r="M1107" s="82" t="s">
        <v>2176</v>
      </c>
      <c r="N1107" s="82" t="s">
        <v>2177</v>
      </c>
      <c r="O1107" s="82" t="s">
        <v>2173</v>
      </c>
    </row>
    <row r="1108" spans="1:15" ht="15.75" hidden="1" x14ac:dyDescent="0.25">
      <c r="A1108" t="str">
        <f t="shared" si="17"/>
        <v>PORTA_QUADRO_ALIMENTAZIONE-Allarme porta quadro alimentazione</v>
      </c>
      <c r="C1108" s="82" t="s">
        <v>934</v>
      </c>
      <c r="D1108" s="82" t="s">
        <v>935</v>
      </c>
      <c r="E1108" s="82" t="s">
        <v>2163</v>
      </c>
      <c r="F1108" s="82" t="s">
        <v>934</v>
      </c>
      <c r="G1108" s="82" t="s">
        <v>1946</v>
      </c>
      <c r="H1108" s="82" t="s">
        <v>2165</v>
      </c>
      <c r="I1108" s="82" t="s">
        <v>24</v>
      </c>
      <c r="J1108" s="82" t="s">
        <v>2171</v>
      </c>
      <c r="K1108" s="82" t="s">
        <v>2167</v>
      </c>
      <c r="L1108" s="82" t="s">
        <v>1946</v>
      </c>
      <c r="M1108" s="82" t="s">
        <v>2090</v>
      </c>
      <c r="N1108" s="82" t="s">
        <v>1946</v>
      </c>
      <c r="O1108" s="82" t="s">
        <v>2173</v>
      </c>
    </row>
    <row r="1109" spans="1:15" ht="15.75" hidden="1" x14ac:dyDescent="0.25">
      <c r="A1109" t="str">
        <f t="shared" si="17"/>
        <v>PREALLARME_CENTRALINA_FAULT-Preallarme centralina termometrica trasformatore</v>
      </c>
      <c r="C1109" s="82" t="s">
        <v>1791</v>
      </c>
      <c r="D1109" s="82" t="s">
        <v>1792</v>
      </c>
      <c r="E1109" s="82" t="s">
        <v>2163</v>
      </c>
      <c r="F1109" s="82" t="s">
        <v>1791</v>
      </c>
      <c r="G1109" s="82" t="s">
        <v>1946</v>
      </c>
      <c r="H1109" s="82" t="s">
        <v>2165</v>
      </c>
      <c r="I1109" s="82" t="s">
        <v>24</v>
      </c>
      <c r="J1109" s="82" t="s">
        <v>2171</v>
      </c>
      <c r="K1109" s="82" t="s">
        <v>2167</v>
      </c>
      <c r="L1109" s="82" t="s">
        <v>1946</v>
      </c>
      <c r="M1109" s="82" t="s">
        <v>2090</v>
      </c>
      <c r="N1109" s="82" t="s">
        <v>1946</v>
      </c>
      <c r="O1109" s="82" t="s">
        <v>2173</v>
      </c>
    </row>
    <row r="1110" spans="1:15" ht="15.75" hidden="1" x14ac:dyDescent="0.25">
      <c r="A1110" t="str">
        <f t="shared" si="17"/>
        <v>PREALLARME_TEMPERATURA_AVVOLGIMENTO-Preallarme temperatura avvolgimento</v>
      </c>
      <c r="C1110" s="82" t="s">
        <v>2768</v>
      </c>
      <c r="D1110" s="82" t="s">
        <v>2769</v>
      </c>
      <c r="E1110" s="82" t="s">
        <v>2163</v>
      </c>
      <c r="F1110" s="82" t="s">
        <v>2768</v>
      </c>
      <c r="G1110" s="82" t="s">
        <v>1946</v>
      </c>
      <c r="H1110" s="82" t="s">
        <v>2165</v>
      </c>
      <c r="I1110" s="82" t="s">
        <v>24</v>
      </c>
      <c r="J1110" s="82" t="s">
        <v>2171</v>
      </c>
      <c r="K1110" s="82" t="s">
        <v>2167</v>
      </c>
      <c r="L1110" s="82" t="s">
        <v>1946</v>
      </c>
      <c r="M1110" s="82" t="s">
        <v>2090</v>
      </c>
      <c r="N1110" s="82" t="s">
        <v>1946</v>
      </c>
      <c r="O1110" s="82" t="s">
        <v>2173</v>
      </c>
    </row>
    <row r="1111" spans="1:15" ht="15.75" hidden="1" x14ac:dyDescent="0.25">
      <c r="A1111" t="str">
        <f t="shared" si="17"/>
        <v>PREALLARME_TEMPERATURA_AVVOLGIMENTO_1-Preallarme temperatura avvolgimento</v>
      </c>
      <c r="C1111" s="82" t="s">
        <v>2770</v>
      </c>
      <c r="D1111" s="82" t="s">
        <v>2769</v>
      </c>
      <c r="E1111" s="82" t="s">
        <v>2163</v>
      </c>
      <c r="F1111" s="82" t="s">
        <v>2770</v>
      </c>
      <c r="G1111" s="82" t="s">
        <v>1946</v>
      </c>
      <c r="H1111" s="82" t="s">
        <v>2165</v>
      </c>
      <c r="I1111" s="82" t="s">
        <v>24</v>
      </c>
      <c r="J1111" s="82" t="s">
        <v>2171</v>
      </c>
      <c r="K1111" s="82" t="s">
        <v>2167</v>
      </c>
      <c r="L1111" s="82" t="s">
        <v>1946</v>
      </c>
      <c r="M1111" s="82" t="s">
        <v>2090</v>
      </c>
      <c r="N1111" s="82" t="s">
        <v>1946</v>
      </c>
      <c r="O1111" s="82" t="s">
        <v>2173</v>
      </c>
    </row>
    <row r="1112" spans="1:15" ht="15.75" hidden="1" x14ac:dyDescent="0.25">
      <c r="A1112" t="str">
        <f t="shared" si="17"/>
        <v>PREALLARME_TEMPERATURA_AVVOLGIMENTO_2-Preallarme temperatura avvolgimento</v>
      </c>
      <c r="C1112" s="82" t="s">
        <v>2771</v>
      </c>
      <c r="D1112" s="82" t="s">
        <v>2769</v>
      </c>
      <c r="E1112" s="82" t="s">
        <v>2163</v>
      </c>
      <c r="F1112" s="82" t="s">
        <v>2771</v>
      </c>
      <c r="G1112" s="82" t="s">
        <v>1946</v>
      </c>
      <c r="H1112" s="82" t="s">
        <v>2165</v>
      </c>
      <c r="I1112" s="82" t="s">
        <v>24</v>
      </c>
      <c r="J1112" s="82" t="s">
        <v>2171</v>
      </c>
      <c r="K1112" s="82" t="s">
        <v>2167</v>
      </c>
      <c r="L1112" s="82" t="s">
        <v>1946</v>
      </c>
      <c r="M1112" s="82" t="s">
        <v>2090</v>
      </c>
      <c r="N1112" s="82" t="s">
        <v>1946</v>
      </c>
      <c r="O1112" s="82" t="s">
        <v>2173</v>
      </c>
    </row>
    <row r="1113" spans="1:15" ht="15.75" hidden="1" x14ac:dyDescent="0.25">
      <c r="A1113" t="str">
        <f t="shared" si="17"/>
        <v>PREALLARME_TEMPERATURA_CUSCINETTI_1-Preallarme temperatura cuscinetti</v>
      </c>
      <c r="C1113" s="82" t="s">
        <v>2772</v>
      </c>
      <c r="D1113" s="82" t="s">
        <v>2773</v>
      </c>
      <c r="E1113" s="82" t="s">
        <v>2163</v>
      </c>
      <c r="F1113" s="82" t="s">
        <v>2772</v>
      </c>
      <c r="G1113" s="82" t="s">
        <v>1946</v>
      </c>
      <c r="H1113" s="82" t="s">
        <v>2165</v>
      </c>
      <c r="I1113" s="82" t="s">
        <v>24</v>
      </c>
      <c r="J1113" s="82" t="s">
        <v>2171</v>
      </c>
      <c r="K1113" s="82" t="s">
        <v>2167</v>
      </c>
      <c r="L1113" s="82" t="s">
        <v>1946</v>
      </c>
      <c r="M1113" s="82" t="s">
        <v>2090</v>
      </c>
      <c r="N1113" s="82" t="s">
        <v>1946</v>
      </c>
      <c r="O1113" s="82" t="s">
        <v>2173</v>
      </c>
    </row>
    <row r="1114" spans="1:15" ht="15.75" hidden="1" x14ac:dyDescent="0.25">
      <c r="A1114" t="str">
        <f t="shared" si="17"/>
        <v>PREALLARME_TEMPERATURA_CUSCINETTI_2-Preallarme temperatura cuscinetti</v>
      </c>
      <c r="C1114" s="82" t="s">
        <v>2774</v>
      </c>
      <c r="D1114" s="82" t="s">
        <v>2773</v>
      </c>
      <c r="E1114" s="82" t="s">
        <v>2163</v>
      </c>
      <c r="F1114" s="82" t="s">
        <v>2774</v>
      </c>
      <c r="G1114" s="82" t="s">
        <v>1946</v>
      </c>
      <c r="H1114" s="82" t="s">
        <v>2165</v>
      </c>
      <c r="I1114" s="82" t="s">
        <v>24</v>
      </c>
      <c r="J1114" s="82" t="s">
        <v>2171</v>
      </c>
      <c r="K1114" s="82" t="s">
        <v>2167</v>
      </c>
      <c r="L1114" s="82" t="s">
        <v>1946</v>
      </c>
      <c r="M1114" s="82" t="s">
        <v>2090</v>
      </c>
      <c r="N1114" s="82" t="s">
        <v>1946</v>
      </c>
      <c r="O1114" s="82" t="s">
        <v>2173</v>
      </c>
    </row>
    <row r="1115" spans="1:15" ht="15.75" hidden="1" x14ac:dyDescent="0.25">
      <c r="A1115" t="str">
        <f t="shared" si="17"/>
        <v>PREALLARME_VIBRA_BASAMENTO-Preallarme vibrazioni basamento</v>
      </c>
      <c r="C1115" s="82" t="s">
        <v>1793</v>
      </c>
      <c r="D1115" s="82" t="s">
        <v>1794</v>
      </c>
      <c r="E1115" s="82" t="s">
        <v>2163</v>
      </c>
      <c r="F1115" s="82" t="s">
        <v>1793</v>
      </c>
      <c r="G1115" s="82" t="s">
        <v>1946</v>
      </c>
      <c r="H1115" s="82" t="s">
        <v>2165</v>
      </c>
      <c r="I1115" s="82" t="s">
        <v>24</v>
      </c>
      <c r="J1115" s="82" t="s">
        <v>2171</v>
      </c>
      <c r="K1115" s="82" t="s">
        <v>2167</v>
      </c>
      <c r="L1115" s="82" t="s">
        <v>1946</v>
      </c>
      <c r="M1115" s="82" t="s">
        <v>2090</v>
      </c>
      <c r="N1115" s="82" t="s">
        <v>1946</v>
      </c>
      <c r="O1115" s="82" t="s">
        <v>2173</v>
      </c>
    </row>
    <row r="1116" spans="1:15" ht="15.75" hidden="1" x14ac:dyDescent="0.25">
      <c r="A1116" t="str">
        <f t="shared" si="17"/>
        <v>PREALLARME_VIBRA_CARCASSA-Preallarme vibrazioni carcassa</v>
      </c>
      <c r="C1116" s="82" t="s">
        <v>1795</v>
      </c>
      <c r="D1116" s="82" t="s">
        <v>1796</v>
      </c>
      <c r="E1116" s="82" t="s">
        <v>2163</v>
      </c>
      <c r="F1116" s="82" t="s">
        <v>1795</v>
      </c>
      <c r="G1116" s="82" t="s">
        <v>1946</v>
      </c>
      <c r="H1116" s="82" t="s">
        <v>2165</v>
      </c>
      <c r="I1116" s="82" t="s">
        <v>24</v>
      </c>
      <c r="J1116" s="82" t="s">
        <v>2171</v>
      </c>
      <c r="K1116" s="82" t="s">
        <v>2167</v>
      </c>
      <c r="L1116" s="82" t="s">
        <v>1946</v>
      </c>
      <c r="M1116" s="82" t="s">
        <v>2090</v>
      </c>
      <c r="N1116" s="82" t="s">
        <v>1946</v>
      </c>
      <c r="O1116" s="82" t="s">
        <v>2173</v>
      </c>
    </row>
    <row r="1117" spans="1:15" ht="15.75" hidden="1" x14ac:dyDescent="0.25">
      <c r="A1117" t="str">
        <f t="shared" si="17"/>
        <v>PRESENZA_OGGETTO_IN_CARREGGIATA-presenza oggetto</v>
      </c>
      <c r="C1117" s="82" t="s">
        <v>2775</v>
      </c>
      <c r="D1117" s="82" t="s">
        <v>2776</v>
      </c>
      <c r="E1117" s="82" t="s">
        <v>2163</v>
      </c>
      <c r="F1117" s="82" t="s">
        <v>2775</v>
      </c>
      <c r="G1117" s="82" t="s">
        <v>1946</v>
      </c>
      <c r="H1117" s="82" t="s">
        <v>2165</v>
      </c>
      <c r="I1117" s="82" t="s">
        <v>24</v>
      </c>
      <c r="J1117" s="82" t="s">
        <v>2171</v>
      </c>
      <c r="K1117" s="82" t="s">
        <v>2167</v>
      </c>
      <c r="L1117" s="82" t="s">
        <v>1946</v>
      </c>
      <c r="M1117" s="82" t="s">
        <v>2090</v>
      </c>
      <c r="N1117" s="82" t="s">
        <v>1946</v>
      </c>
      <c r="O1117" s="82" t="s">
        <v>2173</v>
      </c>
    </row>
    <row r="1118" spans="1:15" ht="15.75" hidden="1" x14ac:dyDescent="0.25">
      <c r="A1118" t="str">
        <f t="shared" si="17"/>
        <v>PRESSOSTATO-Allarme pressostato</v>
      </c>
      <c r="C1118" s="82" t="s">
        <v>940</v>
      </c>
      <c r="D1118" s="82" t="s">
        <v>941</v>
      </c>
      <c r="E1118" s="82" t="s">
        <v>2163</v>
      </c>
      <c r="F1118" s="82" t="s">
        <v>940</v>
      </c>
      <c r="G1118" s="82" t="s">
        <v>1946</v>
      </c>
      <c r="H1118" s="82" t="s">
        <v>2165</v>
      </c>
      <c r="I1118" s="82" t="s">
        <v>24</v>
      </c>
      <c r="J1118" s="82" t="s">
        <v>2171</v>
      </c>
      <c r="K1118" s="82" t="s">
        <v>2167</v>
      </c>
      <c r="L1118" s="82" t="s">
        <v>1946</v>
      </c>
      <c r="M1118" s="82" t="s">
        <v>2090</v>
      </c>
      <c r="N1118" s="82" t="s">
        <v>1946</v>
      </c>
      <c r="O1118" s="82" t="s">
        <v>2173</v>
      </c>
    </row>
    <row r="1119" spans="1:15" ht="15.75" hidden="1" x14ac:dyDescent="0.25">
      <c r="A1119" t="str">
        <f t="shared" si="17"/>
        <v>PRE_ALLARME-Preallarme</v>
      </c>
      <c r="C1119" s="82" t="s">
        <v>936</v>
      </c>
      <c r="D1119" s="82" t="s">
        <v>937</v>
      </c>
      <c r="E1119" s="82" t="s">
        <v>2163</v>
      </c>
      <c r="F1119" s="82" t="s">
        <v>936</v>
      </c>
      <c r="G1119" s="82" t="s">
        <v>1946</v>
      </c>
      <c r="H1119" s="82" t="s">
        <v>2165</v>
      </c>
      <c r="I1119" s="82" t="s">
        <v>24</v>
      </c>
      <c r="J1119" s="82" t="s">
        <v>2171</v>
      </c>
      <c r="K1119" s="82" t="s">
        <v>2167</v>
      </c>
      <c r="L1119" s="82" t="s">
        <v>1946</v>
      </c>
      <c r="M1119" s="82" t="s">
        <v>2090</v>
      </c>
      <c r="N1119" s="82" t="s">
        <v>1946</v>
      </c>
      <c r="O1119" s="82" t="s">
        <v>2173</v>
      </c>
    </row>
    <row r="1120" spans="1:15" ht="15.75" hidden="1" x14ac:dyDescent="0.25">
      <c r="A1120" t="str">
        <f t="shared" si="17"/>
        <v>PRE_ALLARME_GRADIENTE-Preallarme gradiente termico</v>
      </c>
      <c r="C1120" s="82" t="s">
        <v>938</v>
      </c>
      <c r="D1120" s="82" t="s">
        <v>939</v>
      </c>
      <c r="E1120" s="82" t="s">
        <v>2163</v>
      </c>
      <c r="F1120" s="82" t="s">
        <v>938</v>
      </c>
      <c r="G1120" s="82" t="s">
        <v>1946</v>
      </c>
      <c r="H1120" s="82" t="s">
        <v>2165</v>
      </c>
      <c r="I1120" s="82" t="s">
        <v>157</v>
      </c>
      <c r="J1120" s="82" t="s">
        <v>2181</v>
      </c>
      <c r="K1120" s="82" t="s">
        <v>2167</v>
      </c>
      <c r="L1120" s="82" t="s">
        <v>1946</v>
      </c>
      <c r="M1120" s="82" t="s">
        <v>2176</v>
      </c>
      <c r="N1120" s="82" t="s">
        <v>2180</v>
      </c>
      <c r="O1120" s="82" t="s">
        <v>2173</v>
      </c>
    </row>
    <row r="1121" spans="1:15" ht="15.75" hidden="1" x14ac:dyDescent="0.25">
      <c r="A1121" t="str">
        <f t="shared" si="17"/>
        <v>PRE_ALLARME_INCENDIO-Preallarme incendio da sensori</v>
      </c>
      <c r="C1121" s="82" t="s">
        <v>1061</v>
      </c>
      <c r="D1121" s="82" t="s">
        <v>1062</v>
      </c>
      <c r="E1121" s="82" t="s">
        <v>2163</v>
      </c>
      <c r="F1121" s="82" t="s">
        <v>1061</v>
      </c>
      <c r="G1121" s="82" t="s">
        <v>1946</v>
      </c>
      <c r="H1121" s="82" t="s">
        <v>2165</v>
      </c>
      <c r="I1121" s="82" t="s">
        <v>45</v>
      </c>
      <c r="J1121" s="82" t="s">
        <v>2178</v>
      </c>
      <c r="K1121" s="82" t="s">
        <v>2173</v>
      </c>
      <c r="L1121" s="82" t="s">
        <v>1946</v>
      </c>
      <c r="M1121" s="82" t="s">
        <v>2176</v>
      </c>
      <c r="N1121" s="82" t="s">
        <v>2180</v>
      </c>
      <c r="O1121" s="82" t="s">
        <v>2173</v>
      </c>
    </row>
    <row r="1122" spans="1:15" ht="15.75" hidden="1" x14ac:dyDescent="0.25">
      <c r="A1122" t="str">
        <f t="shared" si="17"/>
        <v>PRE_ALLARME_INCENDIO_NORD-Preallarme incendio direzione nord</v>
      </c>
      <c r="C1122" s="82" t="s">
        <v>1785</v>
      </c>
      <c r="D1122" s="82" t="s">
        <v>1786</v>
      </c>
      <c r="E1122" s="82" t="s">
        <v>2163</v>
      </c>
      <c r="F1122" s="82" t="s">
        <v>1785</v>
      </c>
      <c r="G1122" s="82" t="s">
        <v>1946</v>
      </c>
      <c r="H1122" s="82" t="s">
        <v>2165</v>
      </c>
      <c r="I1122" s="82" t="s">
        <v>45</v>
      </c>
      <c r="J1122" s="82" t="s">
        <v>2178</v>
      </c>
      <c r="K1122" s="82" t="s">
        <v>2173</v>
      </c>
      <c r="L1122" s="82" t="s">
        <v>1946</v>
      </c>
      <c r="M1122" s="82" t="s">
        <v>2176</v>
      </c>
      <c r="N1122" s="82" t="s">
        <v>2180</v>
      </c>
      <c r="O1122" s="82" t="s">
        <v>2173</v>
      </c>
    </row>
    <row r="1123" spans="1:15" ht="15.75" hidden="1" x14ac:dyDescent="0.25">
      <c r="A1123" t="str">
        <f t="shared" si="17"/>
        <v>PRE_ALLARME_INCENDIO_SUD-Preallarme incendio direzione sud</v>
      </c>
      <c r="C1123" s="82" t="s">
        <v>1787</v>
      </c>
      <c r="D1123" s="82" t="s">
        <v>1788</v>
      </c>
      <c r="E1123" s="82" t="s">
        <v>2163</v>
      </c>
      <c r="F1123" s="82" t="s">
        <v>1787</v>
      </c>
      <c r="G1123" s="82" t="s">
        <v>1946</v>
      </c>
      <c r="H1123" s="82" t="s">
        <v>2165</v>
      </c>
      <c r="I1123" s="82" t="s">
        <v>45</v>
      </c>
      <c r="J1123" s="82" t="s">
        <v>2178</v>
      </c>
      <c r="K1123" s="82" t="s">
        <v>2173</v>
      </c>
      <c r="L1123" s="82" t="s">
        <v>1946</v>
      </c>
      <c r="M1123" s="82" t="s">
        <v>2176</v>
      </c>
      <c r="N1123" s="82" t="s">
        <v>2180</v>
      </c>
      <c r="O1123" s="82" t="s">
        <v>2173</v>
      </c>
    </row>
    <row r="1124" spans="1:15" ht="15.75" hidden="1" x14ac:dyDescent="0.25">
      <c r="A1124" t="str">
        <f t="shared" si="17"/>
        <v>PRE_ALLARME_SOGLIA_INFERIORE_SUPERATA-Preallarme soglia inferiore superata</v>
      </c>
      <c r="C1124" s="82" t="s">
        <v>2777</v>
      </c>
      <c r="D1124" s="82" t="s">
        <v>2778</v>
      </c>
      <c r="E1124" s="82" t="s">
        <v>2163</v>
      </c>
      <c r="F1124" s="82" t="s">
        <v>2777</v>
      </c>
      <c r="G1124" s="82" t="s">
        <v>1946</v>
      </c>
      <c r="H1124" s="82" t="s">
        <v>2165</v>
      </c>
      <c r="I1124" s="82" t="s">
        <v>24</v>
      </c>
      <c r="J1124" s="82" t="s">
        <v>2171</v>
      </c>
      <c r="K1124" s="82" t="s">
        <v>2167</v>
      </c>
      <c r="L1124" s="82" t="s">
        <v>1946</v>
      </c>
      <c r="M1124" s="82" t="s">
        <v>2090</v>
      </c>
      <c r="N1124" s="82" t="s">
        <v>1946</v>
      </c>
      <c r="O1124" s="82" t="s">
        <v>2173</v>
      </c>
    </row>
    <row r="1125" spans="1:15" ht="15.75" hidden="1" x14ac:dyDescent="0.25">
      <c r="A1125" t="str">
        <f t="shared" si="17"/>
        <v>PRE_ALLARME_SOGLIA_SUPERIORE_SUPERATA-Preallarme soglia superiore superata</v>
      </c>
      <c r="C1125" s="82" t="s">
        <v>2779</v>
      </c>
      <c r="D1125" s="82" t="s">
        <v>2780</v>
      </c>
      <c r="E1125" s="82" t="s">
        <v>2163</v>
      </c>
      <c r="F1125" s="82" t="s">
        <v>2779</v>
      </c>
      <c r="G1125" s="82" t="s">
        <v>1946</v>
      </c>
      <c r="H1125" s="82" t="s">
        <v>2165</v>
      </c>
      <c r="I1125" s="82" t="s">
        <v>24</v>
      </c>
      <c r="J1125" s="82" t="s">
        <v>2171</v>
      </c>
      <c r="K1125" s="82" t="s">
        <v>2167</v>
      </c>
      <c r="L1125" s="82" t="s">
        <v>1946</v>
      </c>
      <c r="M1125" s="82" t="s">
        <v>2090</v>
      </c>
      <c r="N1125" s="82" t="s">
        <v>1946</v>
      </c>
      <c r="O1125" s="82" t="s">
        <v>2173</v>
      </c>
    </row>
    <row r="1126" spans="1:15" ht="15.75" hidden="1" x14ac:dyDescent="0.25">
      <c r="A1126" t="str">
        <f t="shared" si="17"/>
        <v>PRE_ALR_CENTRALINA-Preallarme centralina</v>
      </c>
      <c r="C1126" s="82" t="s">
        <v>1789</v>
      </c>
      <c r="D1126" s="82" t="s">
        <v>1790</v>
      </c>
      <c r="E1126" s="82" t="s">
        <v>2163</v>
      </c>
      <c r="F1126" s="82" t="s">
        <v>1789</v>
      </c>
      <c r="G1126" s="82" t="s">
        <v>1946</v>
      </c>
      <c r="H1126" s="82" t="s">
        <v>2165</v>
      </c>
      <c r="I1126" s="82" t="s">
        <v>24</v>
      </c>
      <c r="J1126" s="82" t="s">
        <v>2171</v>
      </c>
      <c r="K1126" s="82" t="s">
        <v>2167</v>
      </c>
      <c r="L1126" s="82" t="s">
        <v>1946</v>
      </c>
      <c r="M1126" s="82" t="s">
        <v>2090</v>
      </c>
      <c r="N1126" s="82" t="s">
        <v>1946</v>
      </c>
      <c r="O1126" s="82" t="s">
        <v>2173</v>
      </c>
    </row>
    <row r="1127" spans="1:15" ht="15.75" hidden="1" x14ac:dyDescent="0.25">
      <c r="A1127" t="str">
        <f t="shared" si="17"/>
        <v>QUEUED-CHIAMATA IN ATTESA</v>
      </c>
      <c r="C1127" s="82" t="s">
        <v>2781</v>
      </c>
      <c r="D1127" s="82" t="s">
        <v>2782</v>
      </c>
      <c r="E1127" s="82" t="s">
        <v>2163</v>
      </c>
      <c r="F1127" s="82" t="s">
        <v>2783</v>
      </c>
      <c r="G1127" s="82" t="s">
        <v>1946</v>
      </c>
      <c r="H1127" s="82" t="s">
        <v>2165</v>
      </c>
      <c r="I1127" s="82" t="s">
        <v>33</v>
      </c>
      <c r="J1127" s="82" t="s">
        <v>2174</v>
      </c>
      <c r="K1127" s="82" t="s">
        <v>2173</v>
      </c>
      <c r="L1127" s="82" t="s">
        <v>1946</v>
      </c>
      <c r="M1127" s="82" t="s">
        <v>2090</v>
      </c>
      <c r="N1127" s="82" t="s">
        <v>1946</v>
      </c>
      <c r="O1127" s="82" t="s">
        <v>2167</v>
      </c>
    </row>
    <row r="1128" spans="1:15" ht="15.75" hidden="1" x14ac:dyDescent="0.25">
      <c r="A1128" t="str">
        <f t="shared" si="17"/>
        <v>RADIO-Allarme radio</v>
      </c>
      <c r="C1128" s="82" t="s">
        <v>2784</v>
      </c>
      <c r="D1128" s="82" t="s">
        <v>2785</v>
      </c>
      <c r="E1128" s="82" t="s">
        <v>2163</v>
      </c>
      <c r="F1128" s="82" t="s">
        <v>2784</v>
      </c>
      <c r="G1128" s="82" t="s">
        <v>1946</v>
      </c>
      <c r="H1128" s="82" t="s">
        <v>2165</v>
      </c>
      <c r="I1128" s="82" t="s">
        <v>24</v>
      </c>
      <c r="J1128" s="82" t="s">
        <v>2171</v>
      </c>
      <c r="K1128" s="82" t="s">
        <v>2167</v>
      </c>
      <c r="L1128" s="82" t="s">
        <v>1946</v>
      </c>
      <c r="M1128" s="82" t="s">
        <v>2090</v>
      </c>
      <c r="N1128" s="82" t="s">
        <v>1946</v>
      </c>
      <c r="O1128" s="82" t="s">
        <v>2173</v>
      </c>
    </row>
    <row r="1129" spans="1:15" ht="15.75" hidden="1" x14ac:dyDescent="0.25">
      <c r="A1129" t="str">
        <f t="shared" si="17"/>
        <v>RELE_MINIMA_TENSIONE-Allarme rele minima tensione</v>
      </c>
      <c r="C1129" s="82" t="s">
        <v>943</v>
      </c>
      <c r="D1129" s="82" t="s">
        <v>944</v>
      </c>
      <c r="E1129" s="82" t="s">
        <v>2163</v>
      </c>
      <c r="F1129" s="82" t="s">
        <v>943</v>
      </c>
      <c r="G1129" s="82" t="s">
        <v>1946</v>
      </c>
      <c r="H1129" s="82" t="s">
        <v>2165</v>
      </c>
      <c r="I1129" s="82" t="s">
        <v>24</v>
      </c>
      <c r="J1129" s="82" t="s">
        <v>2171</v>
      </c>
      <c r="K1129" s="82" t="s">
        <v>2167</v>
      </c>
      <c r="L1129" s="82" t="s">
        <v>1946</v>
      </c>
      <c r="M1129" s="82" t="s">
        <v>2090</v>
      </c>
      <c r="N1129" s="82" t="s">
        <v>1946</v>
      </c>
      <c r="O1129" s="82" t="s">
        <v>2173</v>
      </c>
    </row>
    <row r="1130" spans="1:15" ht="15.75" hidden="1" x14ac:dyDescent="0.25">
      <c r="A1130" t="str">
        <f t="shared" si="17"/>
        <v>RELE_MINIMA_TENSIONE_1-Chiusura Allarme rele minima tensione</v>
      </c>
      <c r="C1130" s="82" t="s">
        <v>2786</v>
      </c>
      <c r="D1130" s="82" t="s">
        <v>2787</v>
      </c>
      <c r="E1130" s="82" t="s">
        <v>2163</v>
      </c>
      <c r="F1130" s="82" t="s">
        <v>2786</v>
      </c>
      <c r="G1130" s="82" t="s">
        <v>1946</v>
      </c>
      <c r="H1130" s="82" t="s">
        <v>2165</v>
      </c>
      <c r="I1130" s="82" t="s">
        <v>24</v>
      </c>
      <c r="J1130" s="82" t="s">
        <v>2171</v>
      </c>
      <c r="K1130" s="82" t="s">
        <v>2167</v>
      </c>
      <c r="L1130" s="82" t="s">
        <v>1946</v>
      </c>
      <c r="M1130" s="82" t="s">
        <v>2090</v>
      </c>
      <c r="N1130" s="82" t="s">
        <v>1946</v>
      </c>
      <c r="O1130" s="82" t="s">
        <v>2173</v>
      </c>
    </row>
    <row r="1131" spans="1:15" ht="15.75" hidden="1" x14ac:dyDescent="0.25">
      <c r="A1131" t="str">
        <f t="shared" si="17"/>
        <v>RELE_MINIMA_TENSIONE_2-Chiusura Allarme rele minima tensione</v>
      </c>
      <c r="C1131" s="82" t="s">
        <v>2788</v>
      </c>
      <c r="D1131" s="82" t="s">
        <v>2787</v>
      </c>
      <c r="E1131" s="82" t="s">
        <v>2163</v>
      </c>
      <c r="F1131" s="82" t="s">
        <v>2788</v>
      </c>
      <c r="G1131" s="82" t="s">
        <v>1946</v>
      </c>
      <c r="H1131" s="82" t="s">
        <v>2165</v>
      </c>
      <c r="I1131" s="82" t="s">
        <v>24</v>
      </c>
      <c r="J1131" s="82" t="s">
        <v>2171</v>
      </c>
      <c r="K1131" s="82" t="s">
        <v>2167</v>
      </c>
      <c r="L1131" s="82" t="s">
        <v>1946</v>
      </c>
      <c r="M1131" s="82" t="s">
        <v>2090</v>
      </c>
      <c r="N1131" s="82" t="s">
        <v>1946</v>
      </c>
      <c r="O1131" s="82" t="s">
        <v>2173</v>
      </c>
    </row>
    <row r="1132" spans="1:15" ht="15.75" hidden="1" x14ac:dyDescent="0.25">
      <c r="A1132" t="str">
        <f t="shared" si="17"/>
        <v>RELE_MINIMA_TENSIONE_3-Chiusura Allarme rele minima tensione</v>
      </c>
      <c r="C1132" s="82" t="s">
        <v>2789</v>
      </c>
      <c r="D1132" s="82" t="s">
        <v>2787</v>
      </c>
      <c r="E1132" s="82" t="s">
        <v>2163</v>
      </c>
      <c r="F1132" s="82" t="s">
        <v>2789</v>
      </c>
      <c r="G1132" s="82" t="s">
        <v>1946</v>
      </c>
      <c r="H1132" s="82" t="s">
        <v>2165</v>
      </c>
      <c r="I1132" s="82" t="s">
        <v>24</v>
      </c>
      <c r="J1132" s="82" t="s">
        <v>2171</v>
      </c>
      <c r="K1132" s="82" t="s">
        <v>2167</v>
      </c>
      <c r="L1132" s="82" t="s">
        <v>1946</v>
      </c>
      <c r="M1132" s="82" t="s">
        <v>2090</v>
      </c>
      <c r="N1132" s="82" t="s">
        <v>1946</v>
      </c>
      <c r="O1132" s="82" t="s">
        <v>2173</v>
      </c>
    </row>
    <row r="1133" spans="1:15" ht="15.75" hidden="1" x14ac:dyDescent="0.25">
      <c r="A1133" t="str">
        <f t="shared" si="17"/>
        <v>RESISTENZA_ANTICONDENSA-Allarme resistenza anticondensa</v>
      </c>
      <c r="C1133" s="82" t="s">
        <v>2790</v>
      </c>
      <c r="D1133" s="82" t="s">
        <v>2791</v>
      </c>
      <c r="E1133" s="82" t="s">
        <v>2163</v>
      </c>
      <c r="F1133" s="82" t="s">
        <v>2790</v>
      </c>
      <c r="G1133" s="82" t="s">
        <v>1946</v>
      </c>
      <c r="H1133" s="82" t="s">
        <v>2165</v>
      </c>
      <c r="I1133" s="82" t="s">
        <v>24</v>
      </c>
      <c r="J1133" s="82" t="s">
        <v>2171</v>
      </c>
      <c r="K1133" s="82" t="s">
        <v>2167</v>
      </c>
      <c r="L1133" s="82" t="s">
        <v>1946</v>
      </c>
      <c r="M1133" s="82" t="s">
        <v>2090</v>
      </c>
      <c r="N1133" s="82" t="s">
        <v>1946</v>
      </c>
      <c r="O1133" s="82" t="s">
        <v>2173</v>
      </c>
    </row>
    <row r="1134" spans="1:15" ht="15.75" hidden="1" x14ac:dyDescent="0.25">
      <c r="A1134" t="str">
        <f t="shared" si="17"/>
        <v>RINGNG-CHIAMATA SOS</v>
      </c>
      <c r="C1134" s="82" t="s">
        <v>2792</v>
      </c>
      <c r="D1134" s="82" t="s">
        <v>2793</v>
      </c>
      <c r="E1134" s="82" t="s">
        <v>2163</v>
      </c>
      <c r="F1134" s="82" t="s">
        <v>2794</v>
      </c>
      <c r="G1134" s="82" t="s">
        <v>1946</v>
      </c>
      <c r="H1134" s="82" t="s">
        <v>2165</v>
      </c>
      <c r="I1134" s="82" t="s">
        <v>33</v>
      </c>
      <c r="J1134" s="82" t="s">
        <v>2174</v>
      </c>
      <c r="K1134" s="82" t="s">
        <v>2173</v>
      </c>
      <c r="L1134" s="82" t="s">
        <v>1946</v>
      </c>
      <c r="M1134" s="82" t="s">
        <v>2090</v>
      </c>
      <c r="N1134" s="82" t="s">
        <v>1946</v>
      </c>
      <c r="O1134" s="82" t="s">
        <v>2173</v>
      </c>
    </row>
    <row r="1135" spans="1:15" ht="15.75" hidden="1" x14ac:dyDescent="0.25">
      <c r="A1135" t="str">
        <f t="shared" si="17"/>
        <v>SCATTO_PROTEZIONE-Allarme scatto protezione magnetotermica</v>
      </c>
      <c r="C1135" s="82" t="s">
        <v>945</v>
      </c>
      <c r="D1135" s="82" t="s">
        <v>467</v>
      </c>
      <c r="E1135" s="82" t="s">
        <v>2163</v>
      </c>
      <c r="F1135" s="82" t="s">
        <v>945</v>
      </c>
      <c r="G1135" s="82" t="s">
        <v>1946</v>
      </c>
      <c r="H1135" s="82" t="s">
        <v>2165</v>
      </c>
      <c r="I1135" s="82" t="s">
        <v>24</v>
      </c>
      <c r="J1135" s="82" t="s">
        <v>2171</v>
      </c>
      <c r="K1135" s="82" t="s">
        <v>2167</v>
      </c>
      <c r="L1135" s="82" t="s">
        <v>1946</v>
      </c>
      <c r="M1135" s="82" t="s">
        <v>2090</v>
      </c>
      <c r="N1135" s="82" t="s">
        <v>1946</v>
      </c>
      <c r="O1135" s="82" t="s">
        <v>2173</v>
      </c>
    </row>
    <row r="1136" spans="1:15" ht="15.75" hidden="1" x14ac:dyDescent="0.25">
      <c r="A1136" t="str">
        <f t="shared" si="17"/>
        <v>SCATTO_TERMICO_SCT-Allarme scatto protezione magnetotermica</v>
      </c>
      <c r="C1136" s="82" t="s">
        <v>1797</v>
      </c>
      <c r="D1136" s="82" t="s">
        <v>467</v>
      </c>
      <c r="E1136" s="82" t="s">
        <v>2163</v>
      </c>
      <c r="F1136" s="82" t="s">
        <v>1797</v>
      </c>
      <c r="G1136" s="82" t="s">
        <v>1946</v>
      </c>
      <c r="H1136" s="82" t="s">
        <v>2165</v>
      </c>
      <c r="I1136" s="82" t="s">
        <v>24</v>
      </c>
      <c r="J1136" s="82" t="s">
        <v>2171</v>
      </c>
      <c r="K1136" s="82" t="s">
        <v>2167</v>
      </c>
      <c r="L1136" s="82" t="s">
        <v>1946</v>
      </c>
      <c r="M1136" s="82" t="s">
        <v>2090</v>
      </c>
      <c r="N1136" s="82" t="s">
        <v>1946</v>
      </c>
      <c r="O1136" s="82" t="s">
        <v>2173</v>
      </c>
    </row>
    <row r="1137" spans="1:15" ht="15.75" hidden="1" x14ac:dyDescent="0.25">
      <c r="A1137" t="str">
        <f t="shared" si="17"/>
        <v>SCATTO_TERMICO_SCT_SALVA_MOTORE-Allarme scatto termico salva motore</v>
      </c>
      <c r="C1137" s="82" t="s">
        <v>946</v>
      </c>
      <c r="D1137" s="82" t="s">
        <v>947</v>
      </c>
      <c r="E1137" s="82" t="s">
        <v>2163</v>
      </c>
      <c r="F1137" s="82" t="s">
        <v>946</v>
      </c>
      <c r="G1137" s="82" t="s">
        <v>1946</v>
      </c>
      <c r="H1137" s="82" t="s">
        <v>2165</v>
      </c>
      <c r="I1137" s="82" t="s">
        <v>24</v>
      </c>
      <c r="J1137" s="82" t="s">
        <v>2171</v>
      </c>
      <c r="K1137" s="82" t="s">
        <v>2167</v>
      </c>
      <c r="L1137" s="82" t="s">
        <v>1946</v>
      </c>
      <c r="M1137" s="82" t="s">
        <v>2090</v>
      </c>
      <c r="N1137" s="82" t="s">
        <v>1946</v>
      </c>
      <c r="O1137" s="82" t="s">
        <v>2173</v>
      </c>
    </row>
    <row r="1138" spans="1:15" ht="15.75" hidden="1" x14ac:dyDescent="0.25">
      <c r="A1138" t="str">
        <f t="shared" si="17"/>
        <v>SEGNALAZIONI-SEGNALAZIONI</v>
      </c>
      <c r="C1138" s="82" t="s">
        <v>2795</v>
      </c>
      <c r="D1138" s="82" t="s">
        <v>2795</v>
      </c>
      <c r="E1138" s="82" t="s">
        <v>2696</v>
      </c>
      <c r="F1138" s="82" t="s">
        <v>2795</v>
      </c>
      <c r="G1138" s="82" t="s">
        <v>1946</v>
      </c>
      <c r="H1138" s="82" t="s">
        <v>2165</v>
      </c>
      <c r="I1138" s="82" t="s">
        <v>33</v>
      </c>
      <c r="J1138" s="82" t="s">
        <v>2182</v>
      </c>
      <c r="K1138" s="82" t="s">
        <v>2167</v>
      </c>
      <c r="L1138" s="82" t="s">
        <v>1946</v>
      </c>
      <c r="M1138" s="82" t="s">
        <v>2252</v>
      </c>
      <c r="N1138" s="82" t="s">
        <v>1946</v>
      </c>
      <c r="O1138" s="82" t="s">
        <v>2173</v>
      </c>
    </row>
    <row r="1139" spans="1:15" ht="15.75" hidden="1" x14ac:dyDescent="0.25">
      <c r="A1139" t="str">
        <f t="shared" si="17"/>
        <v>SERRANDA_IN_APERTURA-Allarme serranda in apertura</v>
      </c>
      <c r="C1139" s="82" t="s">
        <v>948</v>
      </c>
      <c r="D1139" s="82" t="s">
        <v>949</v>
      </c>
      <c r="E1139" s="82" t="s">
        <v>2163</v>
      </c>
      <c r="F1139" s="82" t="s">
        <v>948</v>
      </c>
      <c r="G1139" s="82" t="s">
        <v>1946</v>
      </c>
      <c r="H1139" s="82" t="s">
        <v>2165</v>
      </c>
      <c r="I1139" s="82" t="s">
        <v>24</v>
      </c>
      <c r="J1139" s="82" t="s">
        <v>2171</v>
      </c>
      <c r="K1139" s="82" t="s">
        <v>2167</v>
      </c>
      <c r="L1139" s="82" t="s">
        <v>1946</v>
      </c>
      <c r="M1139" s="82" t="s">
        <v>2090</v>
      </c>
      <c r="N1139" s="82" t="s">
        <v>1946</v>
      </c>
      <c r="O1139" s="82" t="s">
        <v>2173</v>
      </c>
    </row>
    <row r="1140" spans="1:15" ht="15.75" hidden="1" x14ac:dyDescent="0.25">
      <c r="A1140" t="str">
        <f t="shared" si="17"/>
        <v>SERRANDA_IN_APERTURA_MEDIA-Allarme serranda in apertura media</v>
      </c>
      <c r="C1140" s="82" t="s">
        <v>1799</v>
      </c>
      <c r="D1140" s="82" t="s">
        <v>1800</v>
      </c>
      <c r="E1140" s="82" t="s">
        <v>2163</v>
      </c>
      <c r="F1140" s="82" t="s">
        <v>1799</v>
      </c>
      <c r="G1140" s="82" t="s">
        <v>1946</v>
      </c>
      <c r="H1140" s="82" t="s">
        <v>2165</v>
      </c>
      <c r="I1140" s="82" t="s">
        <v>24</v>
      </c>
      <c r="J1140" s="82" t="s">
        <v>2171</v>
      </c>
      <c r="K1140" s="82" t="s">
        <v>2167</v>
      </c>
      <c r="L1140" s="82" t="s">
        <v>1946</v>
      </c>
      <c r="M1140" s="82" t="s">
        <v>2090</v>
      </c>
      <c r="N1140" s="82" t="s">
        <v>1946</v>
      </c>
      <c r="O1140" s="82" t="s">
        <v>2173</v>
      </c>
    </row>
    <row r="1141" spans="1:15" ht="15.75" hidden="1" x14ac:dyDescent="0.25">
      <c r="A1141" t="str">
        <f t="shared" si="17"/>
        <v>SERRANDA_IN_CHIUSURA-Allarme serranda in chiusura</v>
      </c>
      <c r="C1141" s="82" t="s">
        <v>950</v>
      </c>
      <c r="D1141" s="82" t="s">
        <v>951</v>
      </c>
      <c r="E1141" s="82" t="s">
        <v>2163</v>
      </c>
      <c r="F1141" s="82" t="s">
        <v>950</v>
      </c>
      <c r="G1141" s="82" t="s">
        <v>1946</v>
      </c>
      <c r="H1141" s="82" t="s">
        <v>2165</v>
      </c>
      <c r="I1141" s="82" t="s">
        <v>24</v>
      </c>
      <c r="J1141" s="82" t="s">
        <v>2171</v>
      </c>
      <c r="K1141" s="82" t="s">
        <v>2167</v>
      </c>
      <c r="L1141" s="82" t="s">
        <v>1946</v>
      </c>
      <c r="M1141" s="82" t="s">
        <v>2090</v>
      </c>
      <c r="N1141" s="82" t="s">
        <v>1946</v>
      </c>
      <c r="O1141" s="82" t="s">
        <v>2173</v>
      </c>
    </row>
    <row r="1142" spans="1:15" ht="15.75" hidden="1" x14ac:dyDescent="0.25">
      <c r="A1142" t="str">
        <f t="shared" si="17"/>
        <v>SETUP_NO_MAC-LINK MANCANTE</v>
      </c>
      <c r="C1142" s="82" t="s">
        <v>2796</v>
      </c>
      <c r="D1142" s="82" t="s">
        <v>2797</v>
      </c>
      <c r="E1142" s="82" t="s">
        <v>2163</v>
      </c>
      <c r="F1142" s="82" t="s">
        <v>2798</v>
      </c>
      <c r="G1142" s="82" t="s">
        <v>1946</v>
      </c>
      <c r="H1142" s="82" t="s">
        <v>2165</v>
      </c>
      <c r="I1142" s="82" t="s">
        <v>33</v>
      </c>
      <c r="J1142" s="82" t="s">
        <v>2174</v>
      </c>
      <c r="K1142" s="82" t="s">
        <v>2173</v>
      </c>
      <c r="L1142" s="82" t="s">
        <v>1946</v>
      </c>
      <c r="M1142" s="82" t="s">
        <v>2090</v>
      </c>
      <c r="N1142" s="82" t="s">
        <v>1946</v>
      </c>
      <c r="O1142" s="82" t="s">
        <v>2167</v>
      </c>
    </row>
    <row r="1143" spans="1:15" ht="15.75" hidden="1" x14ac:dyDescent="0.25">
      <c r="A1143" t="str">
        <f t="shared" si="17"/>
        <v>SEZIONATORE-Allarme sezionatore</v>
      </c>
      <c r="C1143" s="82" t="s">
        <v>952</v>
      </c>
      <c r="D1143" s="82" t="s">
        <v>953</v>
      </c>
      <c r="E1143" s="82" t="s">
        <v>2163</v>
      </c>
      <c r="F1143" s="82" t="s">
        <v>952</v>
      </c>
      <c r="G1143" s="82" t="s">
        <v>1946</v>
      </c>
      <c r="H1143" s="82" t="s">
        <v>2165</v>
      </c>
      <c r="I1143" s="82" t="s">
        <v>24</v>
      </c>
      <c r="J1143" s="82" t="s">
        <v>2171</v>
      </c>
      <c r="K1143" s="82" t="s">
        <v>2167</v>
      </c>
      <c r="L1143" s="82" t="s">
        <v>1946</v>
      </c>
      <c r="M1143" s="82" t="s">
        <v>2090</v>
      </c>
      <c r="N1143" s="82" t="s">
        <v>1946</v>
      </c>
      <c r="O1143" s="82" t="s">
        <v>2173</v>
      </c>
    </row>
    <row r="1144" spans="1:15" ht="15.75" hidden="1" x14ac:dyDescent="0.25">
      <c r="A1144" t="str">
        <f t="shared" si="17"/>
        <v>SEZIONATORE_GENERALE_CHIUSO-Allarme sezionatore generale chiuso</v>
      </c>
      <c r="C1144" s="82" t="s">
        <v>2799</v>
      </c>
      <c r="D1144" s="82" t="s">
        <v>2800</v>
      </c>
      <c r="E1144" s="82" t="s">
        <v>2163</v>
      </c>
      <c r="F1144" s="82" t="s">
        <v>2799</v>
      </c>
      <c r="G1144" s="82" t="s">
        <v>1946</v>
      </c>
      <c r="H1144" s="82" t="s">
        <v>2165</v>
      </c>
      <c r="I1144" s="82" t="s">
        <v>24</v>
      </c>
      <c r="J1144" s="82" t="s">
        <v>2171</v>
      </c>
      <c r="K1144" s="82" t="s">
        <v>2167</v>
      </c>
      <c r="L1144" s="82" t="s">
        <v>1946</v>
      </c>
      <c r="M1144" s="82" t="s">
        <v>2090</v>
      </c>
      <c r="N1144" s="82" t="s">
        <v>1946</v>
      </c>
      <c r="O1144" s="82" t="s">
        <v>2173</v>
      </c>
    </row>
    <row r="1145" spans="1:15" ht="15.75" hidden="1" x14ac:dyDescent="0.25">
      <c r="A1145" t="str">
        <f t="shared" si="17"/>
        <v>SGANCIO-Allarme pulsante di sgancio</v>
      </c>
      <c r="C1145" s="82" t="s">
        <v>955</v>
      </c>
      <c r="D1145" s="82" t="s">
        <v>956</v>
      </c>
      <c r="E1145" s="82" t="s">
        <v>2163</v>
      </c>
      <c r="F1145" s="82" t="s">
        <v>955</v>
      </c>
      <c r="G1145" s="82" t="s">
        <v>1946</v>
      </c>
      <c r="H1145" s="82" t="s">
        <v>2165</v>
      </c>
      <c r="I1145" s="82" t="s">
        <v>24</v>
      </c>
      <c r="J1145" s="82" t="s">
        <v>2171</v>
      </c>
      <c r="K1145" s="82" t="s">
        <v>2167</v>
      </c>
      <c r="L1145" s="82" t="s">
        <v>1946</v>
      </c>
      <c r="M1145" s="82" t="s">
        <v>2090</v>
      </c>
      <c r="N1145" s="82" t="s">
        <v>1946</v>
      </c>
      <c r="O1145" s="82" t="s">
        <v>2173</v>
      </c>
    </row>
    <row r="1146" spans="1:15" ht="15.75" hidden="1" x14ac:dyDescent="0.25">
      <c r="A1146" t="str">
        <f t="shared" si="17"/>
        <v>SGANCIO_PREMUTO-Allarme pulsante di sgancio premuto</v>
      </c>
      <c r="C1146" s="82" t="s">
        <v>959</v>
      </c>
      <c r="D1146" s="82" t="s">
        <v>960</v>
      </c>
      <c r="E1146" s="82" t="s">
        <v>2163</v>
      </c>
      <c r="F1146" s="82" t="s">
        <v>959</v>
      </c>
      <c r="G1146" s="82" t="s">
        <v>1946</v>
      </c>
      <c r="H1146" s="82" t="s">
        <v>2165</v>
      </c>
      <c r="I1146" s="82" t="s">
        <v>24</v>
      </c>
      <c r="J1146" s="82" t="s">
        <v>2171</v>
      </c>
      <c r="K1146" s="82" t="s">
        <v>2167</v>
      </c>
      <c r="L1146" s="82" t="s">
        <v>1946</v>
      </c>
      <c r="M1146" s="82" t="s">
        <v>2090</v>
      </c>
      <c r="N1146" s="82" t="s">
        <v>1946</v>
      </c>
      <c r="O1146" s="82" t="s">
        <v>2173</v>
      </c>
    </row>
    <row r="1147" spans="1:15" ht="15.75" hidden="1" x14ac:dyDescent="0.25">
      <c r="A1147" t="str">
        <f t="shared" si="17"/>
        <v>SLOWDOWN-RALLENTAMENTO DA TEMPI DI PERCORRENZA</v>
      </c>
      <c r="C1147" s="82" t="s">
        <v>1950</v>
      </c>
      <c r="D1147" s="82" t="s">
        <v>1950</v>
      </c>
      <c r="E1147" s="82" t="s">
        <v>2163</v>
      </c>
      <c r="F1147" s="82" t="s">
        <v>1949</v>
      </c>
      <c r="G1147" s="82" t="s">
        <v>822</v>
      </c>
      <c r="H1147" s="82" t="s">
        <v>2165</v>
      </c>
      <c r="I1147" s="82" t="s">
        <v>24</v>
      </c>
      <c r="J1147" s="82" t="s">
        <v>2171</v>
      </c>
      <c r="K1147" s="82" t="s">
        <v>2167</v>
      </c>
      <c r="L1147" s="82" t="s">
        <v>1946</v>
      </c>
      <c r="M1147" s="82" t="s">
        <v>2669</v>
      </c>
      <c r="N1147" s="82" t="s">
        <v>2177</v>
      </c>
      <c r="O1147" s="82" t="s">
        <v>2173</v>
      </c>
    </row>
    <row r="1148" spans="1:15" ht="15.75" hidden="1" x14ac:dyDescent="0.25">
      <c r="A1148" t="str">
        <f t="shared" si="17"/>
        <v>SMARTROAD_AID_FAST_VEHICLE-Veicolo veloce</v>
      </c>
      <c r="C1148" s="82" t="s">
        <v>963</v>
      </c>
      <c r="D1148" s="82" t="s">
        <v>964</v>
      </c>
      <c r="E1148" s="82" t="s">
        <v>2163</v>
      </c>
      <c r="F1148" s="82" t="s">
        <v>963</v>
      </c>
      <c r="G1148" s="82" t="s">
        <v>1946</v>
      </c>
      <c r="H1148" s="82" t="s">
        <v>2165</v>
      </c>
      <c r="I1148" s="82" t="s">
        <v>24</v>
      </c>
      <c r="J1148" s="82" t="s">
        <v>2171</v>
      </c>
      <c r="K1148" s="82" t="s">
        <v>2167</v>
      </c>
      <c r="L1148" s="82" t="s">
        <v>1946</v>
      </c>
      <c r="M1148" s="82" t="s">
        <v>2176</v>
      </c>
      <c r="N1148" s="82" t="s">
        <v>2177</v>
      </c>
      <c r="O1148" s="82" t="s">
        <v>2173</v>
      </c>
    </row>
    <row r="1149" spans="1:15" ht="15.75" hidden="1" x14ac:dyDescent="0.25">
      <c r="A1149" t="str">
        <f t="shared" si="17"/>
        <v>SMARTROAD_AID_LANE_CHANGE-Cambio di corsia</v>
      </c>
      <c r="C1149" s="82" t="s">
        <v>969</v>
      </c>
      <c r="D1149" s="82" t="s">
        <v>970</v>
      </c>
      <c r="E1149" s="82" t="s">
        <v>2163</v>
      </c>
      <c r="F1149" s="82" t="s">
        <v>969</v>
      </c>
      <c r="G1149" s="82" t="s">
        <v>1946</v>
      </c>
      <c r="H1149" s="82" t="s">
        <v>2165</v>
      </c>
      <c r="I1149" s="82" t="s">
        <v>24</v>
      </c>
      <c r="J1149" s="82" t="s">
        <v>2171</v>
      </c>
      <c r="K1149" s="82" t="s">
        <v>2167</v>
      </c>
      <c r="L1149" s="82" t="s">
        <v>1946</v>
      </c>
      <c r="M1149" s="82" t="s">
        <v>2176</v>
      </c>
      <c r="N1149" s="82" t="s">
        <v>2177</v>
      </c>
      <c r="O1149" s="82" t="s">
        <v>2173</v>
      </c>
    </row>
    <row r="1150" spans="1:15" ht="15.75" hidden="1" x14ac:dyDescent="0.25">
      <c r="A1150" t="str">
        <f t="shared" si="17"/>
        <v>SMARTROAD_AID_LOST_OBJECT-Perdita carico</v>
      </c>
      <c r="C1150" s="82" t="s">
        <v>972</v>
      </c>
      <c r="D1150" s="82" t="s">
        <v>973</v>
      </c>
      <c r="E1150" s="82" t="s">
        <v>2163</v>
      </c>
      <c r="F1150" s="82" t="s">
        <v>972</v>
      </c>
      <c r="G1150" s="82" t="s">
        <v>1946</v>
      </c>
      <c r="H1150" s="82" t="s">
        <v>2165</v>
      </c>
      <c r="I1150" s="82" t="s">
        <v>33</v>
      </c>
      <c r="J1150" s="82" t="s">
        <v>2174</v>
      </c>
      <c r="K1150" s="82" t="s">
        <v>2173</v>
      </c>
      <c r="L1150" s="82" t="s">
        <v>2175</v>
      </c>
      <c r="M1150" s="82" t="s">
        <v>2176</v>
      </c>
      <c r="N1150" s="82" t="s">
        <v>2177</v>
      </c>
      <c r="O1150" s="82" t="s">
        <v>2173</v>
      </c>
    </row>
    <row r="1151" spans="1:15" ht="15.75" hidden="1" x14ac:dyDescent="0.25">
      <c r="A1151" t="str">
        <f t="shared" si="17"/>
        <v>SMARTROAD_AID_LOW_VISIBILITY-Nebbia o fumo</v>
      </c>
      <c r="C1151" s="82" t="s">
        <v>974</v>
      </c>
      <c r="D1151" s="82" t="s">
        <v>975</v>
      </c>
      <c r="E1151" s="82" t="s">
        <v>2163</v>
      </c>
      <c r="F1151" s="82" t="s">
        <v>974</v>
      </c>
      <c r="G1151" s="82" t="s">
        <v>1946</v>
      </c>
      <c r="H1151" s="82" t="s">
        <v>2165</v>
      </c>
      <c r="I1151" s="82" t="s">
        <v>33</v>
      </c>
      <c r="J1151" s="82" t="s">
        <v>2174</v>
      </c>
      <c r="K1151" s="82" t="s">
        <v>2173</v>
      </c>
      <c r="L1151" s="82" t="s">
        <v>2175</v>
      </c>
      <c r="M1151" s="82" t="s">
        <v>2176</v>
      </c>
      <c r="N1151" s="82" t="s">
        <v>2801</v>
      </c>
      <c r="O1151" s="82" t="s">
        <v>2173</v>
      </c>
    </row>
    <row r="1152" spans="1:15" ht="15.75" hidden="1" x14ac:dyDescent="0.25">
      <c r="A1152" t="str">
        <f t="shared" si="17"/>
        <v>SMARTROAD_AID_PEDESTRIAN-Presenza pedone</v>
      </c>
      <c r="C1152" s="82" t="s">
        <v>976</v>
      </c>
      <c r="D1152" s="82" t="s">
        <v>977</v>
      </c>
      <c r="E1152" s="82" t="s">
        <v>2163</v>
      </c>
      <c r="F1152" s="82" t="s">
        <v>976</v>
      </c>
      <c r="G1152" s="82" t="s">
        <v>1946</v>
      </c>
      <c r="H1152" s="82" t="s">
        <v>2165</v>
      </c>
      <c r="I1152" s="82" t="s">
        <v>33</v>
      </c>
      <c r="J1152" s="82" t="s">
        <v>2174</v>
      </c>
      <c r="K1152" s="82" t="s">
        <v>2173</v>
      </c>
      <c r="L1152" s="82" t="s">
        <v>2175</v>
      </c>
      <c r="M1152" s="82" t="s">
        <v>2176</v>
      </c>
      <c r="N1152" s="82" t="s">
        <v>2177</v>
      </c>
      <c r="O1152" s="82" t="s">
        <v>2173</v>
      </c>
    </row>
    <row r="1153" spans="1:15" ht="15.75" hidden="1" x14ac:dyDescent="0.25">
      <c r="A1153" t="str">
        <f t="shared" si="17"/>
        <v>SMARTROAD_AID_QUEUE-Coda</v>
      </c>
      <c r="C1153" s="82" t="s">
        <v>978</v>
      </c>
      <c r="D1153" s="82" t="s">
        <v>807</v>
      </c>
      <c r="E1153" s="82" t="s">
        <v>2163</v>
      </c>
      <c r="F1153" s="82" t="s">
        <v>978</v>
      </c>
      <c r="G1153" s="82" t="s">
        <v>1946</v>
      </c>
      <c r="H1153" s="82" t="s">
        <v>2165</v>
      </c>
      <c r="I1153" s="82" t="s">
        <v>24</v>
      </c>
      <c r="J1153" s="82" t="s">
        <v>2171</v>
      </c>
      <c r="K1153" s="82" t="s">
        <v>2167</v>
      </c>
      <c r="L1153" s="82" t="s">
        <v>2175</v>
      </c>
      <c r="M1153" s="82" t="s">
        <v>2176</v>
      </c>
      <c r="N1153" s="82" t="s">
        <v>2177</v>
      </c>
      <c r="O1153" s="82" t="s">
        <v>2173</v>
      </c>
    </row>
    <row r="1154" spans="1:15" ht="15.75" hidden="1" x14ac:dyDescent="0.25">
      <c r="A1154" t="str">
        <f t="shared" si="17"/>
        <v>SMARTROAD_AID_SLOWDOWN-Rallentamento</v>
      </c>
      <c r="C1154" s="82" t="s">
        <v>982</v>
      </c>
      <c r="D1154" s="82" t="s">
        <v>822</v>
      </c>
      <c r="E1154" s="82" t="s">
        <v>2163</v>
      </c>
      <c r="F1154" s="82" t="s">
        <v>982</v>
      </c>
      <c r="G1154" s="82" t="s">
        <v>1946</v>
      </c>
      <c r="H1154" s="82" t="s">
        <v>2165</v>
      </c>
      <c r="I1154" s="82" t="s">
        <v>24</v>
      </c>
      <c r="J1154" s="82" t="s">
        <v>2171</v>
      </c>
      <c r="K1154" s="82" t="s">
        <v>2167</v>
      </c>
      <c r="L1154" s="82" t="s">
        <v>2179</v>
      </c>
      <c r="M1154" s="82" t="s">
        <v>2176</v>
      </c>
      <c r="N1154" s="82" t="s">
        <v>2177</v>
      </c>
      <c r="O1154" s="82" t="s">
        <v>2173</v>
      </c>
    </row>
    <row r="1155" spans="1:15" ht="15.75" hidden="1" x14ac:dyDescent="0.25">
      <c r="A1155" t="str">
        <f t="shared" ref="A1155:A1218" si="18">CONCATENATE(F1155,"-",D1155)</f>
        <v>SMARTROAD_AID_SLOW_VEHICLE-Veicolo lento</v>
      </c>
      <c r="C1155" s="82" t="s">
        <v>980</v>
      </c>
      <c r="D1155" s="82" t="s">
        <v>981</v>
      </c>
      <c r="E1155" s="82" t="s">
        <v>2163</v>
      </c>
      <c r="F1155" s="82" t="s">
        <v>980</v>
      </c>
      <c r="G1155" s="82" t="s">
        <v>1946</v>
      </c>
      <c r="H1155" s="82" t="s">
        <v>2165</v>
      </c>
      <c r="I1155" s="82" t="s">
        <v>24</v>
      </c>
      <c r="J1155" s="82" t="s">
        <v>2171</v>
      </c>
      <c r="K1155" s="82" t="s">
        <v>2167</v>
      </c>
      <c r="L1155" s="82" t="s">
        <v>2175</v>
      </c>
      <c r="M1155" s="82" t="s">
        <v>2176</v>
      </c>
      <c r="N1155" s="82" t="s">
        <v>2177</v>
      </c>
      <c r="O1155" s="82" t="s">
        <v>2173</v>
      </c>
    </row>
    <row r="1156" spans="1:15" ht="15.75" hidden="1" x14ac:dyDescent="0.25">
      <c r="A1156" t="str">
        <f t="shared" si="18"/>
        <v>SMARTROAD_AID_STATIONARY_VEHICLE-Veicolo fermo</v>
      </c>
      <c r="C1156" s="82" t="s">
        <v>984</v>
      </c>
      <c r="D1156" s="82" t="s">
        <v>985</v>
      </c>
      <c r="E1156" s="82" t="s">
        <v>2163</v>
      </c>
      <c r="F1156" s="82" t="s">
        <v>984</v>
      </c>
      <c r="G1156" s="82" t="s">
        <v>1946</v>
      </c>
      <c r="H1156" s="82" t="s">
        <v>2165</v>
      </c>
      <c r="I1156" s="82" t="s">
        <v>33</v>
      </c>
      <c r="J1156" s="82" t="s">
        <v>2174</v>
      </c>
      <c r="K1156" s="82" t="s">
        <v>2173</v>
      </c>
      <c r="L1156" s="82" t="s">
        <v>2175</v>
      </c>
      <c r="M1156" s="82" t="s">
        <v>2176</v>
      </c>
      <c r="N1156" s="82" t="s">
        <v>2177</v>
      </c>
      <c r="O1156" s="82" t="s">
        <v>2173</v>
      </c>
    </row>
    <row r="1157" spans="1:15" ht="15.75" hidden="1" x14ac:dyDescent="0.25">
      <c r="A1157" t="str">
        <f t="shared" si="18"/>
        <v>SMARTROAD_AID_SUDDEN_SLOWDOWN-Rallentamento improvviso</v>
      </c>
      <c r="C1157" s="82" t="s">
        <v>986</v>
      </c>
      <c r="D1157" s="82" t="s">
        <v>987</v>
      </c>
      <c r="E1157" s="82" t="s">
        <v>2163</v>
      </c>
      <c r="F1157" s="82" t="s">
        <v>986</v>
      </c>
      <c r="G1157" s="82" t="s">
        <v>1946</v>
      </c>
      <c r="H1157" s="82" t="s">
        <v>2165</v>
      </c>
      <c r="I1157" s="82" t="s">
        <v>24</v>
      </c>
      <c r="J1157" s="82" t="s">
        <v>2171</v>
      </c>
      <c r="K1157" s="82" t="s">
        <v>2167</v>
      </c>
      <c r="L1157" s="82" t="s">
        <v>2179</v>
      </c>
      <c r="M1157" s="82" t="s">
        <v>2176</v>
      </c>
      <c r="N1157" s="82" t="s">
        <v>2177</v>
      </c>
      <c r="O1157" s="82" t="s">
        <v>2173</v>
      </c>
    </row>
    <row r="1158" spans="1:15" ht="15.75" hidden="1" x14ac:dyDescent="0.25">
      <c r="A1158" t="str">
        <f t="shared" si="18"/>
        <v>SMARTROAD_AID_WRONG_DIRECTION-Contromano</v>
      </c>
      <c r="C1158" s="82" t="s">
        <v>989</v>
      </c>
      <c r="D1158" s="82" t="s">
        <v>990</v>
      </c>
      <c r="E1158" s="82" t="s">
        <v>2163</v>
      </c>
      <c r="F1158" s="82" t="s">
        <v>989</v>
      </c>
      <c r="G1158" s="82" t="s">
        <v>1946</v>
      </c>
      <c r="H1158" s="82" t="s">
        <v>2165</v>
      </c>
      <c r="I1158" s="82" t="s">
        <v>33</v>
      </c>
      <c r="J1158" s="82" t="s">
        <v>2174</v>
      </c>
      <c r="K1158" s="82" t="s">
        <v>2173</v>
      </c>
      <c r="L1158" s="82" t="s">
        <v>2175</v>
      </c>
      <c r="M1158" s="82" t="s">
        <v>2176</v>
      </c>
      <c r="N1158" s="82" t="s">
        <v>2177</v>
      </c>
      <c r="O1158" s="82" t="s">
        <v>2173</v>
      </c>
    </row>
    <row r="1159" spans="1:15" ht="15.75" hidden="1" x14ac:dyDescent="0.25">
      <c r="A1159" t="str">
        <f t="shared" si="18"/>
        <v>SMARTROAD_BUILDING-cantieri</v>
      </c>
      <c r="C1159" s="82" t="s">
        <v>2802</v>
      </c>
      <c r="D1159" s="82" t="s">
        <v>2802</v>
      </c>
      <c r="E1159" s="82" t="s">
        <v>2696</v>
      </c>
      <c r="F1159" s="82" t="s">
        <v>2803</v>
      </c>
      <c r="G1159" s="82" t="s">
        <v>1946</v>
      </c>
      <c r="H1159" s="82" t="s">
        <v>2165</v>
      </c>
      <c r="I1159" s="82" t="s">
        <v>157</v>
      </c>
      <c r="J1159" s="82" t="s">
        <v>2804</v>
      </c>
      <c r="K1159" s="82" t="s">
        <v>2167</v>
      </c>
      <c r="L1159" s="82" t="s">
        <v>1946</v>
      </c>
      <c r="M1159" s="82" t="s">
        <v>2252</v>
      </c>
      <c r="N1159" s="82" t="s">
        <v>1946</v>
      </c>
      <c r="O1159" s="82" t="s">
        <v>2173</v>
      </c>
    </row>
    <row r="1160" spans="1:15" ht="15.75" hidden="1" x14ac:dyDescent="0.25">
      <c r="A1160" t="str">
        <f t="shared" si="18"/>
        <v>SMARTROAD_BUILDING_BATTERY_PERCENTAGE-Batteria del dispositivo sotto il 30%</v>
      </c>
      <c r="C1160" s="82" t="s">
        <v>992</v>
      </c>
      <c r="D1160" s="82" t="s">
        <v>993</v>
      </c>
      <c r="E1160" s="82" t="s">
        <v>2163</v>
      </c>
      <c r="F1160" s="82" t="s">
        <v>992</v>
      </c>
      <c r="G1160" s="82" t="s">
        <v>1946</v>
      </c>
      <c r="H1160" s="82" t="s">
        <v>2165</v>
      </c>
      <c r="I1160" s="82" t="s">
        <v>24</v>
      </c>
      <c r="J1160" s="82" t="s">
        <v>2171</v>
      </c>
      <c r="K1160" s="82" t="s">
        <v>2167</v>
      </c>
      <c r="L1160" s="82" t="s">
        <v>1946</v>
      </c>
      <c r="M1160" s="82" t="s">
        <v>2090</v>
      </c>
      <c r="N1160" s="82" t="s">
        <v>1946</v>
      </c>
      <c r="O1160" s="82" t="s">
        <v>2173</v>
      </c>
    </row>
    <row r="1161" spans="1:15" ht="15.75" hidden="1" x14ac:dyDescent="0.25">
      <c r="A1161" t="str">
        <f t="shared" si="18"/>
        <v>SMARTROAD_BUILDING_OVERTURN-Dispositivo ribaltato</v>
      </c>
      <c r="C1161" s="82" t="s">
        <v>996</v>
      </c>
      <c r="D1161" s="82" t="s">
        <v>997</v>
      </c>
      <c r="E1161" s="82" t="s">
        <v>2163</v>
      </c>
      <c r="F1161" s="82" t="s">
        <v>996</v>
      </c>
      <c r="G1161" s="82" t="s">
        <v>1946</v>
      </c>
      <c r="H1161" s="82" t="s">
        <v>2165</v>
      </c>
      <c r="I1161" s="82" t="s">
        <v>24</v>
      </c>
      <c r="J1161" s="82" t="s">
        <v>2171</v>
      </c>
      <c r="K1161" s="82" t="s">
        <v>2167</v>
      </c>
      <c r="L1161" s="82" t="s">
        <v>1946</v>
      </c>
      <c r="M1161" s="82" t="s">
        <v>2090</v>
      </c>
      <c r="N1161" s="82" t="s">
        <v>1946</v>
      </c>
      <c r="O1161" s="82" t="s">
        <v>2173</v>
      </c>
    </row>
    <row r="1162" spans="1:15" ht="15.75" hidden="1" x14ac:dyDescent="0.25">
      <c r="A1162" t="str">
        <f t="shared" si="18"/>
        <v>SMARTROAD_BUILDING_SHIFT-Dispositivo spostato</v>
      </c>
      <c r="C1162" s="82" t="s">
        <v>998</v>
      </c>
      <c r="D1162" s="82" t="s">
        <v>999</v>
      </c>
      <c r="E1162" s="82" t="s">
        <v>2163</v>
      </c>
      <c r="F1162" s="82" t="s">
        <v>998</v>
      </c>
      <c r="G1162" s="82" t="s">
        <v>1946</v>
      </c>
      <c r="H1162" s="82" t="s">
        <v>2165</v>
      </c>
      <c r="I1162" s="82" t="s">
        <v>24</v>
      </c>
      <c r="J1162" s="82" t="s">
        <v>2171</v>
      </c>
      <c r="K1162" s="82" t="s">
        <v>2167</v>
      </c>
      <c r="L1162" s="82" t="s">
        <v>1946</v>
      </c>
      <c r="M1162" s="82" t="s">
        <v>2090</v>
      </c>
      <c r="N1162" s="82" t="s">
        <v>1946</v>
      </c>
      <c r="O1162" s="82" t="s">
        <v>2173</v>
      </c>
    </row>
    <row r="1163" spans="1:15" ht="15.75" hidden="1" x14ac:dyDescent="0.25">
      <c r="A1163" t="str">
        <f t="shared" si="18"/>
        <v>SMARTROAD_BUILDING_SHOCK-Dispositivo urtato</v>
      </c>
      <c r="C1163" s="82" t="s">
        <v>1000</v>
      </c>
      <c r="D1163" s="82" t="s">
        <v>1001</v>
      </c>
      <c r="E1163" s="82" t="s">
        <v>2163</v>
      </c>
      <c r="F1163" s="82" t="s">
        <v>1000</v>
      </c>
      <c r="G1163" s="82" t="s">
        <v>1946</v>
      </c>
      <c r="H1163" s="82" t="s">
        <v>2165</v>
      </c>
      <c r="I1163" s="82" t="s">
        <v>24</v>
      </c>
      <c r="J1163" s="82" t="s">
        <v>2171</v>
      </c>
      <c r="K1163" s="82" t="s">
        <v>2167</v>
      </c>
      <c r="L1163" s="82" t="s">
        <v>1946</v>
      </c>
      <c r="M1163" s="82" t="s">
        <v>2090</v>
      </c>
      <c r="N1163" s="82" t="s">
        <v>1946</v>
      </c>
      <c r="O1163" s="82" t="s">
        <v>2173</v>
      </c>
    </row>
    <row r="1164" spans="1:15" ht="15.75" hidden="1" x14ac:dyDescent="0.25">
      <c r="A1164" t="str">
        <f t="shared" si="18"/>
        <v>SMARTROAD_KEMLER_READ-Kemler code letto (merce pericolosa)</v>
      </c>
      <c r="C1164" s="82" t="s">
        <v>2805</v>
      </c>
      <c r="D1164" s="82" t="s">
        <v>2806</v>
      </c>
      <c r="E1164" s="82" t="s">
        <v>2163</v>
      </c>
      <c r="F1164" s="82" t="s">
        <v>2805</v>
      </c>
      <c r="G1164" s="82" t="s">
        <v>1946</v>
      </c>
      <c r="H1164" s="82" t="s">
        <v>2165</v>
      </c>
      <c r="I1164" s="82" t="s">
        <v>24</v>
      </c>
      <c r="J1164" s="82" t="s">
        <v>2171</v>
      </c>
      <c r="K1164" s="82" t="s">
        <v>2167</v>
      </c>
      <c r="L1164" s="82" t="s">
        <v>1946</v>
      </c>
      <c r="M1164" s="82" t="s">
        <v>2090</v>
      </c>
      <c r="N1164" s="82" t="s">
        <v>1946</v>
      </c>
      <c r="O1164" s="82" t="s">
        <v>2173</v>
      </c>
    </row>
    <row r="1165" spans="1:15" ht="15.75" hidden="1" x14ac:dyDescent="0.25">
      <c r="A1165" t="str">
        <f t="shared" si="18"/>
        <v>SMARTROAD_VEHICLES-posizione mezzo</v>
      </c>
      <c r="C1165" s="82" t="s">
        <v>2807</v>
      </c>
      <c r="D1165" s="82" t="s">
        <v>2807</v>
      </c>
      <c r="E1165" s="82" t="s">
        <v>2696</v>
      </c>
      <c r="F1165" s="82" t="s">
        <v>2808</v>
      </c>
      <c r="G1165" s="82" t="s">
        <v>1946</v>
      </c>
      <c r="H1165" s="82" t="s">
        <v>2165</v>
      </c>
      <c r="I1165" s="82" t="s">
        <v>157</v>
      </c>
      <c r="J1165" s="82" t="s">
        <v>2809</v>
      </c>
      <c r="K1165" s="82" t="s">
        <v>2167</v>
      </c>
      <c r="L1165" s="82" t="s">
        <v>1946</v>
      </c>
      <c r="M1165" s="82" t="s">
        <v>2252</v>
      </c>
      <c r="N1165" s="82" t="s">
        <v>1946</v>
      </c>
      <c r="O1165" s="82" t="s">
        <v>2173</v>
      </c>
    </row>
    <row r="1166" spans="1:15" ht="15.75" hidden="1" x14ac:dyDescent="0.25">
      <c r="A1166" t="str">
        <f t="shared" si="18"/>
        <v>SMARTROAD_WEATHER_BACKEND_CONNECTION_SLOW-Connessione con dispositivo lenta</v>
      </c>
      <c r="C1166" s="82" t="s">
        <v>2810</v>
      </c>
      <c r="D1166" s="82" t="s">
        <v>2811</v>
      </c>
      <c r="E1166" s="82" t="s">
        <v>2163</v>
      </c>
      <c r="F1166" s="82" t="s">
        <v>2810</v>
      </c>
      <c r="G1166" s="82" t="s">
        <v>1946</v>
      </c>
      <c r="H1166" s="82" t="s">
        <v>2165</v>
      </c>
      <c r="I1166" s="82" t="s">
        <v>24</v>
      </c>
      <c r="J1166" s="82" t="s">
        <v>2171</v>
      </c>
      <c r="K1166" s="82" t="s">
        <v>2167</v>
      </c>
      <c r="L1166" s="82" t="s">
        <v>1946</v>
      </c>
      <c r="M1166" s="82" t="s">
        <v>2090</v>
      </c>
      <c r="N1166" s="82" t="s">
        <v>1946</v>
      </c>
      <c r="O1166" s="82" t="s">
        <v>2173</v>
      </c>
    </row>
    <row r="1167" spans="1:15" ht="15.75" hidden="1" x14ac:dyDescent="0.25">
      <c r="A1167" t="str">
        <f t="shared" si="18"/>
        <v>SMARTROAD_WEATHER_BACKEND_CONNECTION_UNRELIABLE-Dispositivo non raggiungibile</v>
      </c>
      <c r="C1167" s="82" t="s">
        <v>2812</v>
      </c>
      <c r="D1167" s="82" t="s">
        <v>1470</v>
      </c>
      <c r="E1167" s="82" t="s">
        <v>2163</v>
      </c>
      <c r="F1167" s="82" t="s">
        <v>2812</v>
      </c>
      <c r="G1167" s="82" t="s">
        <v>1946</v>
      </c>
      <c r="H1167" s="82" t="s">
        <v>2165</v>
      </c>
      <c r="I1167" s="82" t="s">
        <v>24</v>
      </c>
      <c r="J1167" s="82" t="s">
        <v>2171</v>
      </c>
      <c r="K1167" s="82" t="s">
        <v>2167</v>
      </c>
      <c r="L1167" s="82" t="s">
        <v>1946</v>
      </c>
      <c r="M1167" s="82" t="s">
        <v>2090</v>
      </c>
      <c r="N1167" s="82" t="s">
        <v>1946</v>
      </c>
      <c r="O1167" s="82" t="s">
        <v>2173</v>
      </c>
    </row>
    <row r="1168" spans="1:15" ht="15.75" hidden="1" x14ac:dyDescent="0.25">
      <c r="A1168" t="str">
        <f t="shared" si="18"/>
        <v>SMARTROAD_WEATHER_CAMERA_CONNECTION_SLOW-Connessione con telecamera lenta</v>
      </c>
      <c r="C1168" s="82" t="s">
        <v>2813</v>
      </c>
      <c r="D1168" s="82" t="s">
        <v>2814</v>
      </c>
      <c r="E1168" s="82" t="s">
        <v>2163</v>
      </c>
      <c r="F1168" s="82" t="s">
        <v>2813</v>
      </c>
      <c r="G1168" s="82" t="s">
        <v>1946</v>
      </c>
      <c r="H1168" s="82" t="s">
        <v>2165</v>
      </c>
      <c r="I1168" s="82" t="s">
        <v>24</v>
      </c>
      <c r="J1168" s="82" t="s">
        <v>2171</v>
      </c>
      <c r="K1168" s="82" t="s">
        <v>2167</v>
      </c>
      <c r="L1168" s="82" t="s">
        <v>1946</v>
      </c>
      <c r="M1168" s="82" t="s">
        <v>2090</v>
      </c>
      <c r="N1168" s="82" t="s">
        <v>1946</v>
      </c>
      <c r="O1168" s="82" t="s">
        <v>2173</v>
      </c>
    </row>
    <row r="1169" spans="1:15" ht="15.75" hidden="1" x14ac:dyDescent="0.25">
      <c r="A1169" t="str">
        <f t="shared" si="18"/>
        <v>SMARTROAD_WEATHER_CAMERA_CONNECTION_UNRELIABLE-Telecamera non raggiungibile</v>
      </c>
      <c r="C1169" s="82" t="s">
        <v>2815</v>
      </c>
      <c r="D1169" s="82" t="s">
        <v>2816</v>
      </c>
      <c r="E1169" s="82" t="s">
        <v>2163</v>
      </c>
      <c r="F1169" s="82" t="s">
        <v>2815</v>
      </c>
      <c r="G1169" s="82" t="s">
        <v>1946</v>
      </c>
      <c r="H1169" s="82" t="s">
        <v>2165</v>
      </c>
      <c r="I1169" s="82" t="s">
        <v>24</v>
      </c>
      <c r="J1169" s="82" t="s">
        <v>2171</v>
      </c>
      <c r="K1169" s="82" t="s">
        <v>2167</v>
      </c>
      <c r="L1169" s="82" t="s">
        <v>1946</v>
      </c>
      <c r="M1169" s="82" t="s">
        <v>2090</v>
      </c>
      <c r="N1169" s="82" t="s">
        <v>1946</v>
      </c>
      <c r="O1169" s="82" t="s">
        <v>2173</v>
      </c>
    </row>
    <row r="1170" spans="1:15" ht="15.75" hidden="1" x14ac:dyDescent="0.25">
      <c r="A1170" t="str">
        <f t="shared" si="18"/>
        <v>SMARTROAD_WEATHER_FALLINGSNOW-Neve</v>
      </c>
      <c r="C1170" s="82" t="s">
        <v>1003</v>
      </c>
      <c r="D1170" s="82" t="s">
        <v>1004</v>
      </c>
      <c r="E1170" s="82" t="s">
        <v>2163</v>
      </c>
      <c r="F1170" s="82" t="s">
        <v>1003</v>
      </c>
      <c r="G1170" s="82" t="s">
        <v>1946</v>
      </c>
      <c r="H1170" s="82" t="s">
        <v>2165</v>
      </c>
      <c r="I1170" s="82" t="s">
        <v>157</v>
      </c>
      <c r="J1170" s="82" t="s">
        <v>2181</v>
      </c>
      <c r="K1170" s="82" t="s">
        <v>2167</v>
      </c>
      <c r="L1170" s="82" t="s">
        <v>2175</v>
      </c>
      <c r="M1170" s="82" t="s">
        <v>2176</v>
      </c>
      <c r="N1170" s="82" t="s">
        <v>2801</v>
      </c>
      <c r="O1170" s="82" t="s">
        <v>2173</v>
      </c>
    </row>
    <row r="1171" spans="1:15" ht="15.75" hidden="1" x14ac:dyDescent="0.25">
      <c r="A1171" t="str">
        <f t="shared" si="18"/>
        <v>SMARTROAD_WEATHER_FLOODED_ROAD-Strada allagata</v>
      </c>
      <c r="C1171" s="82" t="s">
        <v>2817</v>
      </c>
      <c r="D1171" s="82" t="s">
        <v>2818</v>
      </c>
      <c r="E1171" s="82" t="s">
        <v>2163</v>
      </c>
      <c r="F1171" s="82" t="s">
        <v>2817</v>
      </c>
      <c r="G1171" s="82" t="s">
        <v>1946</v>
      </c>
      <c r="H1171" s="82" t="s">
        <v>2165</v>
      </c>
      <c r="I1171" s="82" t="s">
        <v>24</v>
      </c>
      <c r="J1171" s="82" t="s">
        <v>2171</v>
      </c>
      <c r="K1171" s="82" t="s">
        <v>2167</v>
      </c>
      <c r="L1171" s="82" t="s">
        <v>1946</v>
      </c>
      <c r="M1171" s="82" t="s">
        <v>2090</v>
      </c>
      <c r="N1171" s="82" t="s">
        <v>1946</v>
      </c>
      <c r="O1171" s="82" t="s">
        <v>2173</v>
      </c>
    </row>
    <row r="1172" spans="1:15" ht="15.75" hidden="1" x14ac:dyDescent="0.25">
      <c r="A1172" t="str">
        <f t="shared" si="18"/>
        <v>SMARTROAD_WEATHER_FRAME_MOVE-Telecamera mossa</v>
      </c>
      <c r="C1172" s="82" t="s">
        <v>2819</v>
      </c>
      <c r="D1172" s="82" t="s">
        <v>2820</v>
      </c>
      <c r="E1172" s="82" t="s">
        <v>2163</v>
      </c>
      <c r="F1172" s="82" t="s">
        <v>2819</v>
      </c>
      <c r="G1172" s="82" t="s">
        <v>1946</v>
      </c>
      <c r="H1172" s="82" t="s">
        <v>2165</v>
      </c>
      <c r="I1172" s="82" t="s">
        <v>24</v>
      </c>
      <c r="J1172" s="82" t="s">
        <v>2171</v>
      </c>
      <c r="K1172" s="82" t="s">
        <v>2167</v>
      </c>
      <c r="L1172" s="82" t="s">
        <v>1946</v>
      </c>
      <c r="M1172" s="82" t="s">
        <v>2090</v>
      </c>
      <c r="N1172" s="82" t="s">
        <v>1946</v>
      </c>
      <c r="O1172" s="82" t="s">
        <v>2173</v>
      </c>
    </row>
    <row r="1173" spans="1:15" ht="15.75" hidden="1" x14ac:dyDescent="0.25">
      <c r="A1173" t="str">
        <f t="shared" si="18"/>
        <v>SMARTROAD_WEATHER_LAST_DATA-Connessione perduta</v>
      </c>
      <c r="C1173" s="82" t="s">
        <v>1005</v>
      </c>
      <c r="D1173" s="82" t="s">
        <v>1006</v>
      </c>
      <c r="E1173" s="82" t="s">
        <v>2163</v>
      </c>
      <c r="F1173" s="82" t="s">
        <v>1005</v>
      </c>
      <c r="G1173" s="82" t="s">
        <v>1946</v>
      </c>
      <c r="H1173" s="82" t="s">
        <v>2165</v>
      </c>
      <c r="I1173" s="82" t="s">
        <v>24</v>
      </c>
      <c r="J1173" s="82" t="s">
        <v>2171</v>
      </c>
      <c r="K1173" s="82" t="s">
        <v>2167</v>
      </c>
      <c r="L1173" s="82" t="s">
        <v>1946</v>
      </c>
      <c r="M1173" s="82" t="s">
        <v>2090</v>
      </c>
      <c r="N1173" s="82" t="s">
        <v>1946</v>
      </c>
      <c r="O1173" s="82" t="s">
        <v>2173</v>
      </c>
    </row>
    <row r="1174" spans="1:15" ht="15.75" hidden="1" x14ac:dyDescent="0.25">
      <c r="A1174" t="str">
        <f t="shared" si="18"/>
        <v>SMARTROAD_WEATHER_RAIN-Pioggia</v>
      </c>
      <c r="C1174" s="82" t="s">
        <v>1007</v>
      </c>
      <c r="D1174" s="82" t="s">
        <v>1008</v>
      </c>
      <c r="E1174" s="82" t="s">
        <v>2163</v>
      </c>
      <c r="F1174" s="82" t="s">
        <v>1007</v>
      </c>
      <c r="G1174" s="82" t="s">
        <v>1946</v>
      </c>
      <c r="H1174" s="82" t="s">
        <v>2165</v>
      </c>
      <c r="I1174" s="82" t="s">
        <v>157</v>
      </c>
      <c r="J1174" s="82" t="s">
        <v>2181</v>
      </c>
      <c r="K1174" s="82" t="s">
        <v>2167</v>
      </c>
      <c r="L1174" s="82" t="s">
        <v>2175</v>
      </c>
      <c r="M1174" s="82" t="s">
        <v>2176</v>
      </c>
      <c r="N1174" s="82" t="s">
        <v>2801</v>
      </c>
      <c r="O1174" s="82" t="s">
        <v>2173</v>
      </c>
    </row>
    <row r="1175" spans="1:15" ht="15.75" hidden="1" x14ac:dyDescent="0.25">
      <c r="A1175" t="str">
        <f t="shared" si="18"/>
        <v>SMARTROAD_WEATHER_SMOKE-Presenza di fumo</v>
      </c>
      <c r="C1175" s="82" t="s">
        <v>2821</v>
      </c>
      <c r="D1175" s="82" t="s">
        <v>2822</v>
      </c>
      <c r="E1175" s="82" t="s">
        <v>2163</v>
      </c>
      <c r="F1175" s="82" t="s">
        <v>2821</v>
      </c>
      <c r="G1175" s="82" t="s">
        <v>1946</v>
      </c>
      <c r="H1175" s="82" t="s">
        <v>2165</v>
      </c>
      <c r="I1175" s="82" t="s">
        <v>24</v>
      </c>
      <c r="J1175" s="82" t="s">
        <v>2171</v>
      </c>
      <c r="K1175" s="82" t="s">
        <v>2167</v>
      </c>
      <c r="L1175" s="82" t="s">
        <v>1946</v>
      </c>
      <c r="M1175" s="82" t="s">
        <v>2090</v>
      </c>
      <c r="N1175" s="82" t="s">
        <v>1946</v>
      </c>
      <c r="O1175" s="82" t="s">
        <v>2173</v>
      </c>
    </row>
    <row r="1176" spans="1:15" ht="15.75" hidden="1" x14ac:dyDescent="0.25">
      <c r="A1176" t="str">
        <f t="shared" si="18"/>
        <v>SMARTROAD_WEATHER_SNOWY_ROAD-Presenza di neve sulla strada</v>
      </c>
      <c r="C1176" s="82" t="s">
        <v>1009</v>
      </c>
      <c r="D1176" s="82" t="s">
        <v>1010</v>
      </c>
      <c r="E1176" s="82" t="s">
        <v>2163</v>
      </c>
      <c r="F1176" s="82" t="s">
        <v>1009</v>
      </c>
      <c r="G1176" s="82" t="s">
        <v>1946</v>
      </c>
      <c r="H1176" s="82" t="s">
        <v>2165</v>
      </c>
      <c r="I1176" s="82" t="s">
        <v>157</v>
      </c>
      <c r="J1176" s="82" t="s">
        <v>2181</v>
      </c>
      <c r="K1176" s="82" t="s">
        <v>2167</v>
      </c>
      <c r="L1176" s="82" t="s">
        <v>2175</v>
      </c>
      <c r="M1176" s="82" t="s">
        <v>2176</v>
      </c>
      <c r="N1176" s="82" t="s">
        <v>2801</v>
      </c>
      <c r="O1176" s="82" t="s">
        <v>2173</v>
      </c>
    </row>
    <row r="1177" spans="1:15" ht="15.75" hidden="1" x14ac:dyDescent="0.25">
      <c r="A1177" t="str">
        <f t="shared" si="18"/>
        <v>SMARTROAD_WEATHER_TEMPERATURE-Bassa temperatura</v>
      </c>
      <c r="C1177" s="82" t="s">
        <v>1011</v>
      </c>
      <c r="D1177" s="82" t="s">
        <v>1012</v>
      </c>
      <c r="E1177" s="82" t="s">
        <v>2163</v>
      </c>
      <c r="F1177" s="82" t="s">
        <v>1011</v>
      </c>
      <c r="G1177" s="82" t="s">
        <v>1946</v>
      </c>
      <c r="H1177" s="82" t="s">
        <v>2165</v>
      </c>
      <c r="I1177" s="82" t="s">
        <v>157</v>
      </c>
      <c r="J1177" s="82" t="s">
        <v>2181</v>
      </c>
      <c r="K1177" s="82" t="s">
        <v>2167</v>
      </c>
      <c r="L1177" s="82" t="s">
        <v>2175</v>
      </c>
      <c r="M1177" s="82" t="s">
        <v>2176</v>
      </c>
      <c r="N1177" s="82" t="s">
        <v>2801</v>
      </c>
      <c r="O1177" s="82" t="s">
        <v>2173</v>
      </c>
    </row>
    <row r="1178" spans="1:15" ht="15.75" hidden="1" x14ac:dyDescent="0.25">
      <c r="A1178" t="str">
        <f t="shared" si="18"/>
        <v>SMARTROAD_WEATHER_TOTAL_RAIN-Precipitazioni intense [mm]</v>
      </c>
      <c r="C1178" s="82" t="s">
        <v>1013</v>
      </c>
      <c r="D1178" s="82" t="s">
        <v>1014</v>
      </c>
      <c r="E1178" s="82" t="s">
        <v>2163</v>
      </c>
      <c r="F1178" s="82" t="s">
        <v>1013</v>
      </c>
      <c r="G1178" s="82" t="s">
        <v>1946</v>
      </c>
      <c r="H1178" s="82" t="s">
        <v>2165</v>
      </c>
      <c r="I1178" s="82" t="s">
        <v>157</v>
      </c>
      <c r="J1178" s="82" t="s">
        <v>2181</v>
      </c>
      <c r="K1178" s="82" t="s">
        <v>2167</v>
      </c>
      <c r="L1178" s="82" t="s">
        <v>2175</v>
      </c>
      <c r="M1178" s="82" t="s">
        <v>2176</v>
      </c>
      <c r="N1178" s="82" t="s">
        <v>2801</v>
      </c>
      <c r="O1178" s="82" t="s">
        <v>2173</v>
      </c>
    </row>
    <row r="1179" spans="1:15" ht="15.75" hidden="1" x14ac:dyDescent="0.25">
      <c r="A1179" t="str">
        <f t="shared" si="18"/>
        <v>SMARTROAD_WEATHER_VISIBILITY-Bassa visibilità</v>
      </c>
      <c r="C1179" s="82" t="s">
        <v>1015</v>
      </c>
      <c r="D1179" s="82" t="s">
        <v>1016</v>
      </c>
      <c r="E1179" s="82" t="s">
        <v>2163</v>
      </c>
      <c r="F1179" s="82" t="s">
        <v>1015</v>
      </c>
      <c r="G1179" s="82" t="s">
        <v>1946</v>
      </c>
      <c r="H1179" s="82" t="s">
        <v>2165</v>
      </c>
      <c r="I1179" s="82" t="s">
        <v>157</v>
      </c>
      <c r="J1179" s="82" t="s">
        <v>2181</v>
      </c>
      <c r="K1179" s="82" t="s">
        <v>2167</v>
      </c>
      <c r="L1179" s="82" t="s">
        <v>2175</v>
      </c>
      <c r="M1179" s="82" t="s">
        <v>2176</v>
      </c>
      <c r="N1179" s="82" t="s">
        <v>2801</v>
      </c>
      <c r="O1179" s="82" t="s">
        <v>2173</v>
      </c>
    </row>
    <row r="1180" spans="1:15" ht="15.75" hidden="1" x14ac:dyDescent="0.25">
      <c r="A1180" t="str">
        <f t="shared" si="18"/>
        <v>SMARTROAD_WEATHER_WET_ROAD-Strada bagnata</v>
      </c>
      <c r="C1180" s="82" t="s">
        <v>2823</v>
      </c>
      <c r="D1180" s="82" t="s">
        <v>2824</v>
      </c>
      <c r="E1180" s="82" t="s">
        <v>2163</v>
      </c>
      <c r="F1180" s="82" t="s">
        <v>2823</v>
      </c>
      <c r="G1180" s="82" t="s">
        <v>1946</v>
      </c>
      <c r="H1180" s="82" t="s">
        <v>2165</v>
      </c>
      <c r="I1180" s="82" t="s">
        <v>24</v>
      </c>
      <c r="J1180" s="82" t="s">
        <v>2171</v>
      </c>
      <c r="K1180" s="82" t="s">
        <v>2167</v>
      </c>
      <c r="L1180" s="82" t="s">
        <v>1946</v>
      </c>
      <c r="M1180" s="82" t="s">
        <v>2090</v>
      </c>
      <c r="N1180" s="82" t="s">
        <v>1946</v>
      </c>
      <c r="O1180" s="82" t="s">
        <v>2173</v>
      </c>
    </row>
    <row r="1181" spans="1:15" ht="15.75" hidden="1" x14ac:dyDescent="0.25">
      <c r="A1181" t="str">
        <f t="shared" si="18"/>
        <v>SOCCORSO-soccorso</v>
      </c>
      <c r="C1181" s="82" t="s">
        <v>2825</v>
      </c>
      <c r="D1181" s="82" t="s">
        <v>2826</v>
      </c>
      <c r="E1181" s="82" t="s">
        <v>2163</v>
      </c>
      <c r="F1181" s="82" t="s">
        <v>2825</v>
      </c>
      <c r="G1181" s="82" t="s">
        <v>1946</v>
      </c>
      <c r="H1181" s="82" t="s">
        <v>2165</v>
      </c>
      <c r="I1181" s="82" t="s">
        <v>24</v>
      </c>
      <c r="J1181" s="82" t="s">
        <v>2171</v>
      </c>
      <c r="K1181" s="82" t="s">
        <v>2167</v>
      </c>
      <c r="L1181" s="82" t="s">
        <v>1946</v>
      </c>
      <c r="M1181" s="82" t="s">
        <v>2090</v>
      </c>
      <c r="N1181" s="82" t="s">
        <v>1946</v>
      </c>
      <c r="O1181" s="82" t="s">
        <v>2173</v>
      </c>
    </row>
    <row r="1182" spans="1:15" ht="15.75" hidden="1" x14ac:dyDescent="0.25">
      <c r="A1182" t="str">
        <f t="shared" si="18"/>
        <v>SOVRASCRITTURA_DISPOSITIVO-Allarme sovrascrittura dispositivo</v>
      </c>
      <c r="C1182" s="82" t="s">
        <v>2827</v>
      </c>
      <c r="D1182" s="82" t="s">
        <v>2828</v>
      </c>
      <c r="E1182" s="82" t="s">
        <v>2163</v>
      </c>
      <c r="F1182" s="82" t="s">
        <v>2827</v>
      </c>
      <c r="G1182" s="82" t="s">
        <v>1946</v>
      </c>
      <c r="H1182" s="82" t="s">
        <v>2165</v>
      </c>
      <c r="I1182" s="82" t="s">
        <v>24</v>
      </c>
      <c r="J1182" s="82" t="s">
        <v>2171</v>
      </c>
      <c r="K1182" s="82" t="s">
        <v>2167</v>
      </c>
      <c r="L1182" s="82" t="s">
        <v>1946</v>
      </c>
      <c r="M1182" s="82" t="s">
        <v>2090</v>
      </c>
      <c r="N1182" s="82" t="s">
        <v>1946</v>
      </c>
      <c r="O1182" s="82" t="s">
        <v>2173</v>
      </c>
    </row>
    <row r="1183" spans="1:15" ht="15.75" hidden="1" x14ac:dyDescent="0.25">
      <c r="A1183" t="str">
        <f t="shared" si="18"/>
        <v>SS51_SMARTROAD_AID_QUEUE-Coda</v>
      </c>
      <c r="C1183" s="82" t="s">
        <v>2829</v>
      </c>
      <c r="D1183" s="82" t="s">
        <v>807</v>
      </c>
      <c r="E1183" s="82" t="s">
        <v>2163</v>
      </c>
      <c r="F1183" s="82" t="s">
        <v>2829</v>
      </c>
      <c r="G1183" s="82" t="s">
        <v>1946</v>
      </c>
      <c r="H1183" s="82" t="s">
        <v>2165</v>
      </c>
      <c r="I1183" s="82" t="s">
        <v>33</v>
      </c>
      <c r="J1183" s="82" t="s">
        <v>2174</v>
      </c>
      <c r="K1183" s="82" t="s">
        <v>2173</v>
      </c>
      <c r="L1183" s="82" t="s">
        <v>1946</v>
      </c>
      <c r="M1183" s="82" t="s">
        <v>2830</v>
      </c>
      <c r="N1183" s="82" t="s">
        <v>1946</v>
      </c>
      <c r="O1183" s="82" t="s">
        <v>2173</v>
      </c>
    </row>
    <row r="1184" spans="1:15" ht="15.75" hidden="1" x14ac:dyDescent="0.25">
      <c r="A1184" t="str">
        <f t="shared" si="18"/>
        <v>SS51_SMARTROAD_AID_STATIONARY_VEHICLE-Veicolo fermo</v>
      </c>
      <c r="C1184" s="82" t="s">
        <v>2831</v>
      </c>
      <c r="D1184" s="82" t="s">
        <v>985</v>
      </c>
      <c r="E1184" s="82" t="s">
        <v>2163</v>
      </c>
      <c r="F1184" s="82" t="s">
        <v>2831</v>
      </c>
      <c r="G1184" s="82" t="s">
        <v>1946</v>
      </c>
      <c r="H1184" s="82" t="s">
        <v>2165</v>
      </c>
      <c r="I1184" s="82" t="s">
        <v>33</v>
      </c>
      <c r="J1184" s="82" t="s">
        <v>2174</v>
      </c>
      <c r="K1184" s="82" t="s">
        <v>2173</v>
      </c>
      <c r="L1184" s="82" t="s">
        <v>1946</v>
      </c>
      <c r="M1184" s="82" t="s">
        <v>2830</v>
      </c>
      <c r="N1184" s="82" t="s">
        <v>1946</v>
      </c>
      <c r="O1184" s="82" t="s">
        <v>2173</v>
      </c>
    </row>
    <row r="1185" spans="1:15" ht="15.75" hidden="1" x14ac:dyDescent="0.25">
      <c r="A1185" t="str">
        <f t="shared" si="18"/>
        <v>STATE_DOWN-CANALE DISPONIBILE</v>
      </c>
      <c r="C1185" s="82" t="s">
        <v>2832</v>
      </c>
      <c r="D1185" s="82" t="s">
        <v>2833</v>
      </c>
      <c r="E1185" s="82" t="s">
        <v>2163</v>
      </c>
      <c r="F1185" s="82" t="s">
        <v>2834</v>
      </c>
      <c r="G1185" s="82" t="s">
        <v>1946</v>
      </c>
      <c r="H1185" s="82" t="s">
        <v>2165</v>
      </c>
      <c r="I1185" s="82" t="s">
        <v>33</v>
      </c>
      <c r="J1185" s="82" t="s">
        <v>2174</v>
      </c>
      <c r="K1185" s="82" t="s">
        <v>2173</v>
      </c>
      <c r="L1185" s="82" t="s">
        <v>1946</v>
      </c>
      <c r="M1185" s="82" t="s">
        <v>2090</v>
      </c>
      <c r="N1185" s="82" t="s">
        <v>1946</v>
      </c>
      <c r="O1185" s="82" t="s">
        <v>2167</v>
      </c>
    </row>
    <row r="1186" spans="1:15" ht="15.75" hidden="1" x14ac:dyDescent="0.25">
      <c r="A1186" t="str">
        <f t="shared" si="18"/>
        <v>STATE_NOT_DOWN-CANALE NON DISPONIBILE</v>
      </c>
      <c r="C1186" s="82" t="s">
        <v>2835</v>
      </c>
      <c r="D1186" s="82" t="s">
        <v>2836</v>
      </c>
      <c r="E1186" s="82" t="s">
        <v>2163</v>
      </c>
      <c r="F1186" s="82" t="s">
        <v>2837</v>
      </c>
      <c r="G1186" s="82" t="s">
        <v>1946</v>
      </c>
      <c r="H1186" s="82" t="s">
        <v>2165</v>
      </c>
      <c r="I1186" s="82" t="s">
        <v>33</v>
      </c>
      <c r="J1186" s="82" t="s">
        <v>2174</v>
      </c>
      <c r="K1186" s="82" t="s">
        <v>2173</v>
      </c>
      <c r="L1186" s="82" t="s">
        <v>1946</v>
      </c>
      <c r="M1186" s="82" t="s">
        <v>2090</v>
      </c>
      <c r="N1186" s="82" t="s">
        <v>1946</v>
      </c>
      <c r="O1186" s="82" t="s">
        <v>2167</v>
      </c>
    </row>
    <row r="1187" spans="1:15" ht="15.75" hidden="1" x14ac:dyDescent="0.25">
      <c r="A1187" t="str">
        <f t="shared" si="18"/>
        <v>STOCCAGGIO-stoccaggio</v>
      </c>
      <c r="C1187" s="82" t="s">
        <v>2838</v>
      </c>
      <c r="D1187" s="82" t="s">
        <v>2839</v>
      </c>
      <c r="E1187" s="82" t="s">
        <v>2163</v>
      </c>
      <c r="F1187" s="82" t="s">
        <v>2838</v>
      </c>
      <c r="G1187" s="82" t="s">
        <v>1946</v>
      </c>
      <c r="H1187" s="82" t="s">
        <v>2165</v>
      </c>
      <c r="I1187" s="82" t="s">
        <v>24</v>
      </c>
      <c r="J1187" s="82" t="s">
        <v>2171</v>
      </c>
      <c r="K1187" s="82" t="s">
        <v>2167</v>
      </c>
      <c r="L1187" s="82" t="s">
        <v>1946</v>
      </c>
      <c r="M1187" s="82" t="s">
        <v>2090</v>
      </c>
      <c r="N1187" s="82" t="s">
        <v>1946</v>
      </c>
      <c r="O1187" s="82" t="s">
        <v>2173</v>
      </c>
    </row>
    <row r="1188" spans="1:15" ht="15.75" hidden="1" x14ac:dyDescent="0.25">
      <c r="A1188" t="str">
        <f t="shared" si="18"/>
        <v>SVUOTAMENTO_RIFIUTI-Allarme svuotamento rifiuti</v>
      </c>
      <c r="C1188" s="82" t="s">
        <v>2840</v>
      </c>
      <c r="D1188" s="82" t="s">
        <v>2841</v>
      </c>
      <c r="E1188" s="82" t="s">
        <v>2163</v>
      </c>
      <c r="F1188" s="82" t="s">
        <v>2840</v>
      </c>
      <c r="G1188" s="82" t="s">
        <v>1946</v>
      </c>
      <c r="H1188" s="82" t="s">
        <v>2165</v>
      </c>
      <c r="I1188" s="82" t="s">
        <v>24</v>
      </c>
      <c r="J1188" s="82" t="s">
        <v>2171</v>
      </c>
      <c r="K1188" s="82" t="s">
        <v>2167</v>
      </c>
      <c r="L1188" s="82" t="s">
        <v>1946</v>
      </c>
      <c r="M1188" s="82" t="s">
        <v>2090</v>
      </c>
      <c r="N1188" s="82" t="s">
        <v>1946</v>
      </c>
      <c r="O1188" s="82" t="s">
        <v>2173</v>
      </c>
    </row>
    <row r="1189" spans="1:15" ht="15.75" hidden="1" x14ac:dyDescent="0.25">
      <c r="A1189" t="str">
        <f t="shared" si="18"/>
        <v>SYNTH_ALM_CRITICAL-ALLARME SISTEMA CUSTOM</v>
      </c>
      <c r="C1189" s="82" t="s">
        <v>2842</v>
      </c>
      <c r="D1189" s="82" t="s">
        <v>2843</v>
      </c>
      <c r="E1189" s="82" t="s">
        <v>2163</v>
      </c>
      <c r="F1189" s="82" t="s">
        <v>2844</v>
      </c>
      <c r="G1189" s="82" t="s">
        <v>1946</v>
      </c>
      <c r="H1189" s="82" t="s">
        <v>2165</v>
      </c>
      <c r="I1189" s="82" t="s">
        <v>33</v>
      </c>
      <c r="J1189" s="82" t="s">
        <v>2174</v>
      </c>
      <c r="K1189" s="82" t="s">
        <v>2173</v>
      </c>
      <c r="L1189" s="82" t="s">
        <v>1946</v>
      </c>
      <c r="M1189" s="82" t="s">
        <v>2090</v>
      </c>
      <c r="N1189" s="82" t="s">
        <v>1946</v>
      </c>
      <c r="O1189" s="82" t="s">
        <v>2167</v>
      </c>
    </row>
    <row r="1190" spans="1:15" ht="15.75" hidden="1" x14ac:dyDescent="0.25">
      <c r="A1190" t="str">
        <f t="shared" si="18"/>
        <v>SYNTH_ALM_MINOR-ALLARME SISTEMA CUSTOM</v>
      </c>
      <c r="C1190" s="82" t="s">
        <v>2845</v>
      </c>
      <c r="D1190" s="82" t="s">
        <v>2843</v>
      </c>
      <c r="E1190" s="82" t="s">
        <v>2163</v>
      </c>
      <c r="F1190" s="82" t="s">
        <v>2846</v>
      </c>
      <c r="G1190" s="82" t="s">
        <v>1946</v>
      </c>
      <c r="H1190" s="82" t="s">
        <v>2165</v>
      </c>
      <c r="I1190" s="82" t="s">
        <v>33</v>
      </c>
      <c r="J1190" s="82" t="s">
        <v>2174</v>
      </c>
      <c r="K1190" s="82" t="s">
        <v>2173</v>
      </c>
      <c r="L1190" s="82" t="s">
        <v>1946</v>
      </c>
      <c r="M1190" s="82" t="s">
        <v>2090</v>
      </c>
      <c r="N1190" s="82" t="s">
        <v>1946</v>
      </c>
      <c r="O1190" s="82" t="s">
        <v>2167</v>
      </c>
    </row>
    <row r="1191" spans="1:15" ht="15.75" hidden="1" x14ac:dyDescent="0.25">
      <c r="A1191" t="str">
        <f t="shared" si="18"/>
        <v>SYS_KO_ALIM1_ASTRO1_KO-ALIMENTAZIONE 1 NODO1</v>
      </c>
      <c r="C1191" s="82" t="s">
        <v>2847</v>
      </c>
      <c r="D1191" s="82" t="s">
        <v>2848</v>
      </c>
      <c r="E1191" s="82" t="s">
        <v>2163</v>
      </c>
      <c r="F1191" s="82" t="s">
        <v>2849</v>
      </c>
      <c r="G1191" s="82" t="s">
        <v>1946</v>
      </c>
      <c r="H1191" s="82" t="s">
        <v>2165</v>
      </c>
      <c r="I1191" s="82" t="s">
        <v>33</v>
      </c>
      <c r="J1191" s="82" t="s">
        <v>2174</v>
      </c>
      <c r="K1191" s="82" t="s">
        <v>2173</v>
      </c>
      <c r="L1191" s="82" t="s">
        <v>1946</v>
      </c>
      <c r="M1191" s="82" t="s">
        <v>2090</v>
      </c>
      <c r="N1191" s="82" t="s">
        <v>1946</v>
      </c>
      <c r="O1191" s="82" t="s">
        <v>2173</v>
      </c>
    </row>
    <row r="1192" spans="1:15" ht="15.75" hidden="1" x14ac:dyDescent="0.25">
      <c r="A1192" t="str">
        <f t="shared" si="18"/>
        <v>SYS_KO_ALIM1_ASTRO2_KO-ALIMENTAZIONE 1 NODO2</v>
      </c>
      <c r="C1192" s="82" t="s">
        <v>2850</v>
      </c>
      <c r="D1192" s="82" t="s">
        <v>2851</v>
      </c>
      <c r="E1192" s="82" t="s">
        <v>2163</v>
      </c>
      <c r="F1192" s="82" t="s">
        <v>2852</v>
      </c>
      <c r="G1192" s="82" t="s">
        <v>1946</v>
      </c>
      <c r="H1192" s="82" t="s">
        <v>2165</v>
      </c>
      <c r="I1192" s="82" t="s">
        <v>33</v>
      </c>
      <c r="J1192" s="82" t="s">
        <v>2174</v>
      </c>
      <c r="K1192" s="82" t="s">
        <v>2173</v>
      </c>
      <c r="L1192" s="82" t="s">
        <v>1946</v>
      </c>
      <c r="M1192" s="82" t="s">
        <v>2090</v>
      </c>
      <c r="N1192" s="82" t="s">
        <v>1946</v>
      </c>
      <c r="O1192" s="82" t="s">
        <v>2167</v>
      </c>
    </row>
    <row r="1193" spans="1:15" ht="15.75" hidden="1" x14ac:dyDescent="0.25">
      <c r="A1193" t="str">
        <f t="shared" si="18"/>
        <v>SYS_KO_ALIM2_ASTRO1_KO-ALIMENTAZIONE 2 NODO1</v>
      </c>
      <c r="C1193" s="82" t="s">
        <v>2853</v>
      </c>
      <c r="D1193" s="82" t="s">
        <v>2854</v>
      </c>
      <c r="E1193" s="82" t="s">
        <v>2163</v>
      </c>
      <c r="F1193" s="82" t="s">
        <v>2855</v>
      </c>
      <c r="G1193" s="82" t="s">
        <v>1946</v>
      </c>
      <c r="H1193" s="82" t="s">
        <v>2165</v>
      </c>
      <c r="I1193" s="82" t="s">
        <v>33</v>
      </c>
      <c r="J1193" s="82" t="s">
        <v>2174</v>
      </c>
      <c r="K1193" s="82" t="s">
        <v>2173</v>
      </c>
      <c r="L1193" s="82" t="s">
        <v>1946</v>
      </c>
      <c r="M1193" s="82" t="s">
        <v>2090</v>
      </c>
      <c r="N1193" s="82" t="s">
        <v>1946</v>
      </c>
      <c r="O1193" s="82" t="s">
        <v>2167</v>
      </c>
    </row>
    <row r="1194" spans="1:15" ht="15.75" hidden="1" x14ac:dyDescent="0.25">
      <c r="A1194" t="str">
        <f t="shared" si="18"/>
        <v>SYS_KO_ALIM2_ASTRO2_KO-ALIMENTAZIONE 2 NODO2</v>
      </c>
      <c r="C1194" s="82" t="s">
        <v>2856</v>
      </c>
      <c r="D1194" s="82" t="s">
        <v>2857</v>
      </c>
      <c r="E1194" s="82" t="s">
        <v>2163</v>
      </c>
      <c r="F1194" s="82" t="s">
        <v>2858</v>
      </c>
      <c r="G1194" s="82" t="s">
        <v>1946</v>
      </c>
      <c r="H1194" s="82" t="s">
        <v>2165</v>
      </c>
      <c r="I1194" s="82" t="s">
        <v>33</v>
      </c>
      <c r="J1194" s="82" t="s">
        <v>2174</v>
      </c>
      <c r="K1194" s="82" t="s">
        <v>2173</v>
      </c>
      <c r="L1194" s="82" t="s">
        <v>1946</v>
      </c>
      <c r="M1194" s="82" t="s">
        <v>2090</v>
      </c>
      <c r="N1194" s="82" t="s">
        <v>1946</v>
      </c>
      <c r="O1194" s="82" t="s">
        <v>2167</v>
      </c>
    </row>
    <row r="1195" spans="1:15" ht="15.75" hidden="1" x14ac:dyDescent="0.25">
      <c r="A1195" t="str">
        <f t="shared" si="18"/>
        <v>SYS_KO_ASTRO1KO-NODO1 FUORI SERVIZIO</v>
      </c>
      <c r="C1195" s="82" t="s">
        <v>2859</v>
      </c>
      <c r="D1195" s="82" t="s">
        <v>2860</v>
      </c>
      <c r="E1195" s="82" t="s">
        <v>2163</v>
      </c>
      <c r="F1195" s="82" t="s">
        <v>2861</v>
      </c>
      <c r="G1195" s="82" t="s">
        <v>1946</v>
      </c>
      <c r="H1195" s="82" t="s">
        <v>2165</v>
      </c>
      <c r="I1195" s="82" t="s">
        <v>33</v>
      </c>
      <c r="J1195" s="82" t="s">
        <v>2174</v>
      </c>
      <c r="K1195" s="82" t="s">
        <v>2173</v>
      </c>
      <c r="L1195" s="82" t="s">
        <v>1946</v>
      </c>
      <c r="M1195" s="82" t="s">
        <v>2090</v>
      </c>
      <c r="N1195" s="82" t="s">
        <v>1946</v>
      </c>
      <c r="O1195" s="82" t="s">
        <v>2167</v>
      </c>
    </row>
    <row r="1196" spans="1:15" ht="15.75" hidden="1" x14ac:dyDescent="0.25">
      <c r="A1196" t="str">
        <f t="shared" si="18"/>
        <v>SYS_KO_ASTRO2KO-NODO2 FUORI SERVIZIO</v>
      </c>
      <c r="C1196" s="82" t="s">
        <v>2862</v>
      </c>
      <c r="D1196" s="82" t="s">
        <v>2863</v>
      </c>
      <c r="E1196" s="82" t="s">
        <v>2163</v>
      </c>
      <c r="F1196" s="82" t="s">
        <v>2864</v>
      </c>
      <c r="G1196" s="82" t="s">
        <v>1946</v>
      </c>
      <c r="H1196" s="82" t="s">
        <v>2165</v>
      </c>
      <c r="I1196" s="82" t="s">
        <v>33</v>
      </c>
      <c r="J1196" s="82" t="s">
        <v>2174</v>
      </c>
      <c r="K1196" s="82" t="s">
        <v>2173</v>
      </c>
      <c r="L1196" s="82" t="s">
        <v>1946</v>
      </c>
      <c r="M1196" s="82" t="s">
        <v>2090</v>
      </c>
      <c r="N1196" s="82" t="s">
        <v>1946</v>
      </c>
      <c r="O1196" s="82" t="s">
        <v>2167</v>
      </c>
    </row>
    <row r="1197" spans="1:15" ht="15.75" hidden="1" x14ac:dyDescent="0.25">
      <c r="A1197" t="str">
        <f t="shared" si="18"/>
        <v>SYS_KO_ASTR_KO-PBX NON FUNZIONANTE</v>
      </c>
      <c r="C1197" s="82" t="s">
        <v>2865</v>
      </c>
      <c r="D1197" s="82" t="s">
        <v>2866</v>
      </c>
      <c r="E1197" s="82" t="s">
        <v>2163</v>
      </c>
      <c r="F1197" s="82" t="s">
        <v>2867</v>
      </c>
      <c r="G1197" s="82" t="s">
        <v>1946</v>
      </c>
      <c r="H1197" s="82" t="s">
        <v>2165</v>
      </c>
      <c r="I1197" s="82" t="s">
        <v>33</v>
      </c>
      <c r="J1197" s="82" t="s">
        <v>2174</v>
      </c>
      <c r="K1197" s="82" t="s">
        <v>2173</v>
      </c>
      <c r="L1197" s="82" t="s">
        <v>1946</v>
      </c>
      <c r="M1197" s="82" t="s">
        <v>2090</v>
      </c>
      <c r="N1197" s="82" t="s">
        <v>1946</v>
      </c>
      <c r="O1197" s="82" t="s">
        <v>2173</v>
      </c>
    </row>
    <row r="1198" spans="1:15" ht="15.75" hidden="1" x14ac:dyDescent="0.25">
      <c r="A1198" t="str">
        <f t="shared" si="18"/>
        <v>SYS_KO_DISK_FULL-DISCO PIENO</v>
      </c>
      <c r="C1198" s="82" t="s">
        <v>2868</v>
      </c>
      <c r="D1198" s="82" t="s">
        <v>2869</v>
      </c>
      <c r="E1198" s="82" t="s">
        <v>2163</v>
      </c>
      <c r="F1198" s="82" t="s">
        <v>2870</v>
      </c>
      <c r="G1198" s="82" t="s">
        <v>1946</v>
      </c>
      <c r="H1198" s="82" t="s">
        <v>2165</v>
      </c>
      <c r="I1198" s="82" t="s">
        <v>33</v>
      </c>
      <c r="J1198" s="82" t="s">
        <v>2174</v>
      </c>
      <c r="K1198" s="82" t="s">
        <v>2173</v>
      </c>
      <c r="L1198" s="82" t="s">
        <v>1946</v>
      </c>
      <c r="M1198" s="82" t="s">
        <v>2090</v>
      </c>
      <c r="N1198" s="82" t="s">
        <v>1946</v>
      </c>
      <c r="O1198" s="82" t="s">
        <v>2167</v>
      </c>
    </row>
    <row r="1199" spans="1:15" ht="15.75" hidden="1" x14ac:dyDescent="0.25">
      <c r="A1199" t="str">
        <f t="shared" si="18"/>
        <v>SYS_KO_HA_SERIALCABLE_KO-ANOMALIA LINK SERIALE</v>
      </c>
      <c r="C1199" s="82" t="s">
        <v>2871</v>
      </c>
      <c r="D1199" s="82" t="s">
        <v>2872</v>
      </c>
      <c r="E1199" s="82" t="s">
        <v>2163</v>
      </c>
      <c r="F1199" s="82" t="s">
        <v>2873</v>
      </c>
      <c r="G1199" s="82" t="s">
        <v>1946</v>
      </c>
      <c r="H1199" s="82" t="s">
        <v>2165</v>
      </c>
      <c r="I1199" s="82" t="s">
        <v>33</v>
      </c>
      <c r="J1199" s="82" t="s">
        <v>2174</v>
      </c>
      <c r="K1199" s="82" t="s">
        <v>2173</v>
      </c>
      <c r="L1199" s="82" t="s">
        <v>1946</v>
      </c>
      <c r="M1199" s="82" t="s">
        <v>2090</v>
      </c>
      <c r="N1199" s="82" t="s">
        <v>1946</v>
      </c>
      <c r="O1199" s="82" t="s">
        <v>2167</v>
      </c>
    </row>
    <row r="1200" spans="1:15" ht="15.75" hidden="1" x14ac:dyDescent="0.25">
      <c r="A1200" t="str">
        <f t="shared" si="18"/>
        <v>SYS_KO_OUTSERV-CTS FUORI SERVIZIO</v>
      </c>
      <c r="C1200" s="82" t="s">
        <v>2874</v>
      </c>
      <c r="D1200" s="82" t="s">
        <v>2875</v>
      </c>
      <c r="E1200" s="82" t="s">
        <v>2163</v>
      </c>
      <c r="F1200" s="82" t="s">
        <v>2876</v>
      </c>
      <c r="G1200" s="82" t="s">
        <v>1946</v>
      </c>
      <c r="H1200" s="82" t="s">
        <v>2165</v>
      </c>
      <c r="I1200" s="82" t="s">
        <v>33</v>
      </c>
      <c r="J1200" s="82" t="s">
        <v>2174</v>
      </c>
      <c r="K1200" s="82" t="s">
        <v>2173</v>
      </c>
      <c r="L1200" s="82" t="s">
        <v>1946</v>
      </c>
      <c r="M1200" s="82" t="s">
        <v>2090</v>
      </c>
      <c r="N1200" s="82" t="s">
        <v>1946</v>
      </c>
      <c r="O1200" s="82" t="s">
        <v>2167</v>
      </c>
    </row>
    <row r="1201" spans="1:15" ht="15.75" hidden="1" x14ac:dyDescent="0.25">
      <c r="A1201" t="str">
        <f t="shared" si="18"/>
        <v>SYS_KO_RAID_ASTRO1_KO-HD NODO1</v>
      </c>
      <c r="C1201" s="82" t="s">
        <v>2877</v>
      </c>
      <c r="D1201" s="82" t="s">
        <v>2878</v>
      </c>
      <c r="E1201" s="82" t="s">
        <v>2163</v>
      </c>
      <c r="F1201" s="82" t="s">
        <v>2879</v>
      </c>
      <c r="G1201" s="82" t="s">
        <v>1946</v>
      </c>
      <c r="H1201" s="82" t="s">
        <v>2165</v>
      </c>
      <c r="I1201" s="82" t="s">
        <v>33</v>
      </c>
      <c r="J1201" s="82" t="s">
        <v>2174</v>
      </c>
      <c r="K1201" s="82" t="s">
        <v>2173</v>
      </c>
      <c r="L1201" s="82" t="s">
        <v>1946</v>
      </c>
      <c r="M1201" s="82" t="s">
        <v>2090</v>
      </c>
      <c r="N1201" s="82" t="s">
        <v>1946</v>
      </c>
      <c r="O1201" s="82" t="s">
        <v>2167</v>
      </c>
    </row>
    <row r="1202" spans="1:15" ht="15.75" hidden="1" x14ac:dyDescent="0.25">
      <c r="A1202" t="str">
        <f t="shared" si="18"/>
        <v>SYS_KO_RAID_ASTRO2_KO-HD NODO2</v>
      </c>
      <c r="C1202" s="82" t="s">
        <v>2880</v>
      </c>
      <c r="D1202" s="82" t="s">
        <v>2881</v>
      </c>
      <c r="E1202" s="82" t="s">
        <v>2163</v>
      </c>
      <c r="F1202" s="82" t="s">
        <v>2882</v>
      </c>
      <c r="G1202" s="82" t="s">
        <v>1946</v>
      </c>
      <c r="H1202" s="82" t="s">
        <v>2165</v>
      </c>
      <c r="I1202" s="82" t="s">
        <v>33</v>
      </c>
      <c r="J1202" s="82" t="s">
        <v>2174</v>
      </c>
      <c r="K1202" s="82" t="s">
        <v>2173</v>
      </c>
      <c r="L1202" s="82" t="s">
        <v>1946</v>
      </c>
      <c r="M1202" s="82" t="s">
        <v>2090</v>
      </c>
      <c r="N1202" s="82" t="s">
        <v>1946</v>
      </c>
      <c r="O1202" s="82" t="s">
        <v>2167</v>
      </c>
    </row>
    <row r="1203" spans="1:15" ht="15.75" hidden="1" x14ac:dyDescent="0.25">
      <c r="A1203" t="str">
        <f t="shared" si="18"/>
        <v>SYS_KO_RECDISK_FULL-DISCO REGISTR. PIENO</v>
      </c>
      <c r="C1203" s="82" t="s">
        <v>2883</v>
      </c>
      <c r="D1203" s="82" t="s">
        <v>2884</v>
      </c>
      <c r="E1203" s="82" t="s">
        <v>2163</v>
      </c>
      <c r="F1203" s="82" t="s">
        <v>2885</v>
      </c>
      <c r="G1203" s="82" t="s">
        <v>1946</v>
      </c>
      <c r="H1203" s="82" t="s">
        <v>2165</v>
      </c>
      <c r="I1203" s="82" t="s">
        <v>33</v>
      </c>
      <c r="J1203" s="82" t="s">
        <v>2174</v>
      </c>
      <c r="K1203" s="82" t="s">
        <v>2173</v>
      </c>
      <c r="L1203" s="82" t="s">
        <v>1946</v>
      </c>
      <c r="M1203" s="82" t="s">
        <v>2090</v>
      </c>
      <c r="N1203" s="82" t="s">
        <v>1946</v>
      </c>
      <c r="O1203" s="82" t="s">
        <v>2167</v>
      </c>
    </row>
    <row r="1204" spans="1:15" ht="15.75" hidden="1" x14ac:dyDescent="0.25">
      <c r="A1204" t="str">
        <f t="shared" si="18"/>
        <v>SYS_KO_VIDEOKO-VIDEO FUORI SERVIZIO</v>
      </c>
      <c r="C1204" s="82" t="s">
        <v>2886</v>
      </c>
      <c r="D1204" s="82" t="s">
        <v>2887</v>
      </c>
      <c r="E1204" s="82" t="s">
        <v>2163</v>
      </c>
      <c r="F1204" s="82" t="s">
        <v>2888</v>
      </c>
      <c r="G1204" s="82" t="s">
        <v>1946</v>
      </c>
      <c r="H1204" s="82" t="s">
        <v>2165</v>
      </c>
      <c r="I1204" s="82" t="s">
        <v>33</v>
      </c>
      <c r="J1204" s="82" t="s">
        <v>2174</v>
      </c>
      <c r="K1204" s="82" t="s">
        <v>2173</v>
      </c>
      <c r="L1204" s="82" t="s">
        <v>1946</v>
      </c>
      <c r="M1204" s="82" t="s">
        <v>2090</v>
      </c>
      <c r="N1204" s="82" t="s">
        <v>1946</v>
      </c>
      <c r="O1204" s="82" t="s">
        <v>2167</v>
      </c>
    </row>
    <row r="1205" spans="1:15" ht="15.75" hidden="1" x14ac:dyDescent="0.25">
      <c r="A1205" t="str">
        <f t="shared" si="18"/>
        <v>TELECAMERA_SPOSTATA-Allarme telecamera spostata</v>
      </c>
      <c r="C1205" s="82" t="s">
        <v>1801</v>
      </c>
      <c r="D1205" s="82" t="s">
        <v>1802</v>
      </c>
      <c r="E1205" s="82" t="s">
        <v>2163</v>
      </c>
      <c r="F1205" s="82" t="s">
        <v>1801</v>
      </c>
      <c r="G1205" s="82" t="s">
        <v>1946</v>
      </c>
      <c r="H1205" s="82" t="s">
        <v>2165</v>
      </c>
      <c r="I1205" s="82" t="s">
        <v>157</v>
      </c>
      <c r="J1205" s="82" t="s">
        <v>2181</v>
      </c>
      <c r="K1205" s="82" t="s">
        <v>2167</v>
      </c>
      <c r="L1205" s="82" t="s">
        <v>1946</v>
      </c>
      <c r="M1205" s="82" t="s">
        <v>2176</v>
      </c>
      <c r="N1205" s="82" t="s">
        <v>2889</v>
      </c>
      <c r="O1205" s="82" t="s">
        <v>2173</v>
      </c>
    </row>
    <row r="1206" spans="1:15" ht="15.75" hidden="1" x14ac:dyDescent="0.25">
      <c r="A1206" t="str">
        <f t="shared" si="18"/>
        <v>TELECAMERA_SPOSTATA_CORSIA_1-Allarme telecamera spostata corsia di emergenza</v>
      </c>
      <c r="C1206" s="82" t="s">
        <v>1018</v>
      </c>
      <c r="D1206" s="82" t="s">
        <v>1019</v>
      </c>
      <c r="E1206" s="82" t="s">
        <v>2163</v>
      </c>
      <c r="F1206" s="82" t="s">
        <v>1018</v>
      </c>
      <c r="G1206" s="82" t="s">
        <v>1946</v>
      </c>
      <c r="H1206" s="82" t="s">
        <v>2165</v>
      </c>
      <c r="I1206" s="82" t="s">
        <v>157</v>
      </c>
      <c r="J1206" s="82" t="s">
        <v>2181</v>
      </c>
      <c r="K1206" s="82" t="s">
        <v>2167</v>
      </c>
      <c r="L1206" s="82" t="s">
        <v>1946</v>
      </c>
      <c r="M1206" s="82" t="s">
        <v>2176</v>
      </c>
      <c r="N1206" s="82" t="s">
        <v>2889</v>
      </c>
      <c r="O1206" s="82" t="s">
        <v>2173</v>
      </c>
    </row>
    <row r="1207" spans="1:15" ht="15.75" hidden="1" x14ac:dyDescent="0.25">
      <c r="A1207" t="str">
        <f t="shared" si="18"/>
        <v>TELECAMERA_SPOSTATA_CORSIA_2-Allarme telecamera spostata corsia di marcia</v>
      </c>
      <c r="C1207" s="82" t="s">
        <v>1020</v>
      </c>
      <c r="D1207" s="82" t="s">
        <v>1021</v>
      </c>
      <c r="E1207" s="82" t="s">
        <v>2163</v>
      </c>
      <c r="F1207" s="82" t="s">
        <v>1020</v>
      </c>
      <c r="G1207" s="82" t="s">
        <v>1946</v>
      </c>
      <c r="H1207" s="82" t="s">
        <v>2165</v>
      </c>
      <c r="I1207" s="82" t="s">
        <v>157</v>
      </c>
      <c r="J1207" s="82" t="s">
        <v>2181</v>
      </c>
      <c r="K1207" s="82" t="s">
        <v>2167</v>
      </c>
      <c r="L1207" s="82" t="s">
        <v>1946</v>
      </c>
      <c r="M1207" s="82" t="s">
        <v>2176</v>
      </c>
      <c r="N1207" s="82" t="s">
        <v>2889</v>
      </c>
      <c r="O1207" s="82" t="s">
        <v>2173</v>
      </c>
    </row>
    <row r="1208" spans="1:15" ht="15.75" hidden="1" x14ac:dyDescent="0.25">
      <c r="A1208" t="str">
        <f t="shared" si="18"/>
        <v>TELECAMERA_SPOSTATA_CORSIA_3-Allarme telecamera spostata corsia veloce</v>
      </c>
      <c r="C1208" s="82" t="s">
        <v>1022</v>
      </c>
      <c r="D1208" s="82" t="s">
        <v>1023</v>
      </c>
      <c r="E1208" s="82" t="s">
        <v>2163</v>
      </c>
      <c r="F1208" s="82" t="s">
        <v>1022</v>
      </c>
      <c r="G1208" s="82" t="s">
        <v>1946</v>
      </c>
      <c r="H1208" s="82" t="s">
        <v>2165</v>
      </c>
      <c r="I1208" s="82" t="s">
        <v>157</v>
      </c>
      <c r="J1208" s="82" t="s">
        <v>2181</v>
      </c>
      <c r="K1208" s="82" t="s">
        <v>2167</v>
      </c>
      <c r="L1208" s="82" t="s">
        <v>1946</v>
      </c>
      <c r="M1208" s="82" t="s">
        <v>2176</v>
      </c>
      <c r="N1208" s="82" t="s">
        <v>2889</v>
      </c>
      <c r="O1208" s="82" t="s">
        <v>2173</v>
      </c>
    </row>
    <row r="1209" spans="1:15" ht="15.75" hidden="1" x14ac:dyDescent="0.25">
      <c r="A1209" t="str">
        <f t="shared" si="18"/>
        <v>TELECAMERA_SPOSTATA_DIR_NORD-Allarme telecamera spostata dir. Nord</v>
      </c>
      <c r="C1209" s="82" t="s">
        <v>1803</v>
      </c>
      <c r="D1209" s="82" t="s">
        <v>1804</v>
      </c>
      <c r="E1209" s="82" t="s">
        <v>2163</v>
      </c>
      <c r="F1209" s="82" t="s">
        <v>1803</v>
      </c>
      <c r="G1209" s="82" t="s">
        <v>1946</v>
      </c>
      <c r="H1209" s="82" t="s">
        <v>2165</v>
      </c>
      <c r="I1209" s="82" t="s">
        <v>157</v>
      </c>
      <c r="J1209" s="82" t="s">
        <v>2181</v>
      </c>
      <c r="K1209" s="82" t="s">
        <v>2167</v>
      </c>
      <c r="L1209" s="82" t="s">
        <v>1946</v>
      </c>
      <c r="M1209" s="82" t="s">
        <v>2176</v>
      </c>
      <c r="N1209" s="82" t="s">
        <v>2889</v>
      </c>
      <c r="O1209" s="82" t="s">
        <v>2173</v>
      </c>
    </row>
    <row r="1210" spans="1:15" ht="15.75" hidden="1" x14ac:dyDescent="0.25">
      <c r="A1210" t="str">
        <f t="shared" si="18"/>
        <v>TELECAMERA_SPOSTATA_DIR_SUD-Allarme telecamera spostata dir. Sud</v>
      </c>
      <c r="C1210" s="82" t="s">
        <v>1805</v>
      </c>
      <c r="D1210" s="82" t="s">
        <v>1806</v>
      </c>
      <c r="E1210" s="82" t="s">
        <v>2163</v>
      </c>
      <c r="F1210" s="82" t="s">
        <v>1805</v>
      </c>
      <c r="G1210" s="82" t="s">
        <v>1946</v>
      </c>
      <c r="H1210" s="82" t="s">
        <v>2165</v>
      </c>
      <c r="I1210" s="82" t="s">
        <v>157</v>
      </c>
      <c r="J1210" s="82" t="s">
        <v>2181</v>
      </c>
      <c r="K1210" s="82" t="s">
        <v>2167</v>
      </c>
      <c r="L1210" s="82" t="s">
        <v>1946</v>
      </c>
      <c r="M1210" s="82" t="s">
        <v>2176</v>
      </c>
      <c r="N1210" s="82" t="s">
        <v>2889</v>
      </c>
      <c r="O1210" s="82" t="s">
        <v>2173</v>
      </c>
    </row>
    <row r="1211" spans="1:15" ht="15.75" hidden="1" x14ac:dyDescent="0.25">
      <c r="A1211" t="str">
        <f t="shared" si="18"/>
        <v>TEMPERATURA-Allarme temperatura</v>
      </c>
      <c r="C1211" s="82" t="s">
        <v>1024</v>
      </c>
      <c r="D1211" s="82" t="s">
        <v>1025</v>
      </c>
      <c r="E1211" s="82" t="s">
        <v>2163</v>
      </c>
      <c r="F1211" s="82" t="s">
        <v>1024</v>
      </c>
      <c r="G1211" s="82" t="s">
        <v>1946</v>
      </c>
      <c r="H1211" s="82" t="s">
        <v>2165</v>
      </c>
      <c r="I1211" s="82" t="s">
        <v>24</v>
      </c>
      <c r="J1211" s="82" t="s">
        <v>2171</v>
      </c>
      <c r="K1211" s="82" t="s">
        <v>2167</v>
      </c>
      <c r="L1211" s="82" t="s">
        <v>1946</v>
      </c>
      <c r="M1211" s="82" t="s">
        <v>2090</v>
      </c>
      <c r="N1211" s="82" t="s">
        <v>1946</v>
      </c>
      <c r="O1211" s="82" t="s">
        <v>2173</v>
      </c>
    </row>
    <row r="1212" spans="1:15" ht="15.75" hidden="1" x14ac:dyDescent="0.25">
      <c r="A1212" t="str">
        <f t="shared" si="18"/>
        <v>TERMOSTATO_ZERO_GRADI-Allarme termostato zero gradi</v>
      </c>
      <c r="C1212" s="82" t="s">
        <v>2890</v>
      </c>
      <c r="D1212" s="82" t="s">
        <v>2891</v>
      </c>
      <c r="E1212" s="82" t="s">
        <v>2163</v>
      </c>
      <c r="F1212" s="82" t="s">
        <v>2890</v>
      </c>
      <c r="G1212" s="82" t="s">
        <v>1946</v>
      </c>
      <c r="H1212" s="82" t="s">
        <v>2165</v>
      </c>
      <c r="I1212" s="82" t="s">
        <v>24</v>
      </c>
      <c r="J1212" s="82" t="s">
        <v>2171</v>
      </c>
      <c r="K1212" s="82" t="s">
        <v>2167</v>
      </c>
      <c r="L1212" s="82" t="s">
        <v>1946</v>
      </c>
      <c r="M1212" s="82" t="s">
        <v>2090</v>
      </c>
      <c r="N1212" s="82" t="s">
        <v>1946</v>
      </c>
      <c r="O1212" s="82" t="s">
        <v>2173</v>
      </c>
    </row>
    <row r="1213" spans="1:15" ht="15.75" hidden="1" x14ac:dyDescent="0.25">
      <c r="A1213" t="str">
        <f t="shared" si="18"/>
        <v>TRAF-IMP-Allarmi traffico</v>
      </c>
      <c r="C1213" s="82" t="s">
        <v>2892</v>
      </c>
      <c r="D1213" s="82" t="s">
        <v>2893</v>
      </c>
      <c r="E1213" s="82" t="s">
        <v>2163</v>
      </c>
      <c r="F1213" s="82" t="s">
        <v>2894</v>
      </c>
      <c r="G1213" s="82" t="s">
        <v>1946</v>
      </c>
      <c r="H1213" s="82" t="s">
        <v>2165</v>
      </c>
      <c r="I1213" s="82" t="s">
        <v>24</v>
      </c>
      <c r="J1213" s="82" t="s">
        <v>2171</v>
      </c>
      <c r="K1213" s="82" t="s">
        <v>2167</v>
      </c>
      <c r="L1213" s="82" t="s">
        <v>1946</v>
      </c>
      <c r="M1213" s="82" t="s">
        <v>2090</v>
      </c>
      <c r="N1213" s="82" t="s">
        <v>1946</v>
      </c>
      <c r="O1213" s="82" t="s">
        <v>2173</v>
      </c>
    </row>
    <row r="1214" spans="1:15" ht="15.75" hidden="1" x14ac:dyDescent="0.25">
      <c r="A1214" t="str">
        <f t="shared" si="18"/>
        <v>TRAFFICO_BLOCCATO_DIR_NORD-Allarme traffico bloccato direzione Nord</v>
      </c>
      <c r="C1214" s="82" t="s">
        <v>1807</v>
      </c>
      <c r="D1214" s="82" t="s">
        <v>1808</v>
      </c>
      <c r="E1214" s="82" t="s">
        <v>2163</v>
      </c>
      <c r="F1214" s="82" t="s">
        <v>1807</v>
      </c>
      <c r="G1214" s="82" t="s">
        <v>1946</v>
      </c>
      <c r="H1214" s="82" t="s">
        <v>2165</v>
      </c>
      <c r="I1214" s="82" t="s">
        <v>33</v>
      </c>
      <c r="J1214" s="82" t="s">
        <v>2174</v>
      </c>
      <c r="K1214" s="82" t="s">
        <v>2173</v>
      </c>
      <c r="L1214" s="82" t="s">
        <v>1946</v>
      </c>
      <c r="M1214" s="82" t="s">
        <v>2176</v>
      </c>
      <c r="N1214" s="82" t="s">
        <v>2180</v>
      </c>
      <c r="O1214" s="82" t="s">
        <v>2173</v>
      </c>
    </row>
    <row r="1215" spans="1:15" ht="15.75" hidden="1" x14ac:dyDescent="0.25">
      <c r="A1215" t="str">
        <f t="shared" si="18"/>
        <v>TRAFFICO_BLOCCATO_DIR_SUD-Allarme traffico bloccato direzione Sud</v>
      </c>
      <c r="C1215" s="82" t="s">
        <v>1810</v>
      </c>
      <c r="D1215" s="82" t="s">
        <v>1811</v>
      </c>
      <c r="E1215" s="82" t="s">
        <v>2163</v>
      </c>
      <c r="F1215" s="82" t="s">
        <v>1810</v>
      </c>
      <c r="G1215" s="82" t="s">
        <v>1946</v>
      </c>
      <c r="H1215" s="82" t="s">
        <v>2165</v>
      </c>
      <c r="I1215" s="82" t="s">
        <v>33</v>
      </c>
      <c r="J1215" s="82" t="s">
        <v>2174</v>
      </c>
      <c r="K1215" s="82" t="s">
        <v>2173</v>
      </c>
      <c r="L1215" s="82" t="s">
        <v>1946</v>
      </c>
      <c r="M1215" s="82" t="s">
        <v>2176</v>
      </c>
      <c r="N1215" s="82" t="s">
        <v>2180</v>
      </c>
      <c r="O1215" s="82" t="s">
        <v>2173</v>
      </c>
    </row>
    <row r="1216" spans="1:15" ht="15.75" hidden="1" x14ac:dyDescent="0.25">
      <c r="A1216" t="str">
        <f t="shared" si="18"/>
        <v>TRAFFICO_RALLENTATO-Allarme traffico rallentato</v>
      </c>
      <c r="C1216" s="82" t="s">
        <v>1026</v>
      </c>
      <c r="D1216" s="82" t="s">
        <v>1027</v>
      </c>
      <c r="E1216" s="82" t="s">
        <v>2163</v>
      </c>
      <c r="F1216" s="82" t="s">
        <v>1026</v>
      </c>
      <c r="G1216" s="82" t="s">
        <v>1946</v>
      </c>
      <c r="H1216" s="82" t="s">
        <v>2165</v>
      </c>
      <c r="I1216" s="82" t="s">
        <v>24</v>
      </c>
      <c r="J1216" s="82" t="s">
        <v>2171</v>
      </c>
      <c r="K1216" s="82" t="s">
        <v>2167</v>
      </c>
      <c r="L1216" s="82" t="s">
        <v>2179</v>
      </c>
      <c r="M1216" s="82" t="s">
        <v>2176</v>
      </c>
      <c r="N1216" s="82" t="s">
        <v>2177</v>
      </c>
      <c r="O1216" s="82" t="s">
        <v>2173</v>
      </c>
    </row>
    <row r="1217" spans="1:15" ht="15.75" hidden="1" x14ac:dyDescent="0.25">
      <c r="A1217" t="str">
        <f t="shared" si="18"/>
        <v>UNDEFINED_SCADA_ALARM-UNDEFINED_SCADA_ALARM</v>
      </c>
      <c r="C1217" s="82" t="s">
        <v>2895</v>
      </c>
      <c r="D1217" s="82" t="s">
        <v>2895</v>
      </c>
      <c r="E1217" s="82" t="s">
        <v>2163</v>
      </c>
      <c r="F1217" s="82" t="s">
        <v>2895</v>
      </c>
      <c r="G1217" s="82" t="s">
        <v>1946</v>
      </c>
      <c r="H1217" s="82" t="s">
        <v>2165</v>
      </c>
      <c r="I1217" s="82" t="s">
        <v>24</v>
      </c>
      <c r="J1217" s="82" t="s">
        <v>2171</v>
      </c>
      <c r="K1217" s="82" t="s">
        <v>2167</v>
      </c>
      <c r="L1217" s="82" t="s">
        <v>1946</v>
      </c>
      <c r="M1217" s="82" t="s">
        <v>2090</v>
      </c>
      <c r="N1217" s="82" t="s">
        <v>1946</v>
      </c>
      <c r="O1217" s="82" t="s">
        <v>2173</v>
      </c>
    </row>
    <row r="1218" spans="1:15" ht="15.75" hidden="1" x14ac:dyDescent="0.25">
      <c r="A1218" t="str">
        <f t="shared" si="18"/>
        <v>VEICOLO_CONTROMANO-Allarme veicolo contromano</v>
      </c>
      <c r="C1218" s="82" t="s">
        <v>1028</v>
      </c>
      <c r="D1218" s="82" t="s">
        <v>1029</v>
      </c>
      <c r="E1218" s="82" t="s">
        <v>2163</v>
      </c>
      <c r="F1218" s="82" t="s">
        <v>1028</v>
      </c>
      <c r="G1218" s="82" t="s">
        <v>1946</v>
      </c>
      <c r="H1218" s="82" t="s">
        <v>2165</v>
      </c>
      <c r="I1218" s="82" t="s">
        <v>33</v>
      </c>
      <c r="J1218" s="82" t="s">
        <v>2174</v>
      </c>
      <c r="K1218" s="82" t="s">
        <v>2173</v>
      </c>
      <c r="L1218" s="82" t="s">
        <v>2175</v>
      </c>
      <c r="M1218" s="82" t="s">
        <v>2176</v>
      </c>
      <c r="N1218" s="82" t="s">
        <v>2177</v>
      </c>
      <c r="O1218" s="82" t="s">
        <v>2173</v>
      </c>
    </row>
    <row r="1219" spans="1:15" ht="15.75" hidden="1" x14ac:dyDescent="0.25">
      <c r="A1219" t="str">
        <f t="shared" ref="A1219:A1282" si="19">CONCATENATE(F1219,"-",D1219)</f>
        <v>VEICOLO_CONTROMANO_CORSIA_1-Allarme veicolo contromano corsia di emergenza</v>
      </c>
      <c r="C1219" s="82" t="s">
        <v>1030</v>
      </c>
      <c r="D1219" s="82" t="s">
        <v>1031</v>
      </c>
      <c r="E1219" s="82" t="s">
        <v>2163</v>
      </c>
      <c r="F1219" s="82" t="s">
        <v>1030</v>
      </c>
      <c r="G1219" s="82" t="s">
        <v>1946</v>
      </c>
      <c r="H1219" s="82" t="s">
        <v>2165</v>
      </c>
      <c r="I1219" s="82" t="s">
        <v>33</v>
      </c>
      <c r="J1219" s="82" t="s">
        <v>2174</v>
      </c>
      <c r="K1219" s="82" t="s">
        <v>2173</v>
      </c>
      <c r="L1219" s="82" t="s">
        <v>2175</v>
      </c>
      <c r="M1219" s="82" t="s">
        <v>2176</v>
      </c>
      <c r="N1219" s="82" t="s">
        <v>2177</v>
      </c>
      <c r="O1219" s="82" t="s">
        <v>2173</v>
      </c>
    </row>
    <row r="1220" spans="1:15" ht="15.75" hidden="1" x14ac:dyDescent="0.25">
      <c r="A1220" t="str">
        <f t="shared" si="19"/>
        <v>VEICOLO_CONTROMANO_CORSIA_2-Allarme veicolo contromano corsia di marcia</v>
      </c>
      <c r="C1220" s="82" t="s">
        <v>1032</v>
      </c>
      <c r="D1220" s="82" t="s">
        <v>1033</v>
      </c>
      <c r="E1220" s="82" t="s">
        <v>2163</v>
      </c>
      <c r="F1220" s="82" t="s">
        <v>1032</v>
      </c>
      <c r="G1220" s="82" t="s">
        <v>1946</v>
      </c>
      <c r="H1220" s="82" t="s">
        <v>2165</v>
      </c>
      <c r="I1220" s="82" t="s">
        <v>33</v>
      </c>
      <c r="J1220" s="82" t="s">
        <v>2174</v>
      </c>
      <c r="K1220" s="82" t="s">
        <v>2173</v>
      </c>
      <c r="L1220" s="82" t="s">
        <v>2175</v>
      </c>
      <c r="M1220" s="82" t="s">
        <v>2176</v>
      </c>
      <c r="N1220" s="82" t="s">
        <v>2177</v>
      </c>
      <c r="O1220" s="82" t="s">
        <v>2173</v>
      </c>
    </row>
    <row r="1221" spans="1:15" ht="15.75" hidden="1" x14ac:dyDescent="0.25">
      <c r="A1221" t="str">
        <f t="shared" si="19"/>
        <v>VEICOLO_CONTROMANO_CORSIA_3-Allarme veicolo contromano corsia veloce</v>
      </c>
      <c r="C1221" s="82" t="s">
        <v>1034</v>
      </c>
      <c r="D1221" s="82" t="s">
        <v>1035</v>
      </c>
      <c r="E1221" s="82" t="s">
        <v>2163</v>
      </c>
      <c r="F1221" s="82" t="s">
        <v>1034</v>
      </c>
      <c r="G1221" s="82" t="s">
        <v>1946</v>
      </c>
      <c r="H1221" s="82" t="s">
        <v>2165</v>
      </c>
      <c r="I1221" s="82" t="s">
        <v>33</v>
      </c>
      <c r="J1221" s="82" t="s">
        <v>2174</v>
      </c>
      <c r="K1221" s="82" t="s">
        <v>2173</v>
      </c>
      <c r="L1221" s="82" t="s">
        <v>2175</v>
      </c>
      <c r="M1221" s="82" t="s">
        <v>2176</v>
      </c>
      <c r="N1221" s="82" t="s">
        <v>2177</v>
      </c>
      <c r="O1221" s="82" t="s">
        <v>2173</v>
      </c>
    </row>
    <row r="1222" spans="1:15" ht="15.75" hidden="1" x14ac:dyDescent="0.25">
      <c r="A1222" t="str">
        <f t="shared" si="19"/>
        <v>VEICOLO_CONTROMANO_CORSIA_LENTA-Allarme veicolo contromano corsia lenta</v>
      </c>
      <c r="C1222" s="82" t="s">
        <v>1812</v>
      </c>
      <c r="D1222" s="82" t="s">
        <v>1813</v>
      </c>
      <c r="E1222" s="82" t="s">
        <v>2163</v>
      </c>
      <c r="F1222" s="82" t="s">
        <v>1812</v>
      </c>
      <c r="G1222" s="82" t="s">
        <v>1946</v>
      </c>
      <c r="H1222" s="82" t="s">
        <v>2165</v>
      </c>
      <c r="I1222" s="82" t="s">
        <v>33</v>
      </c>
      <c r="J1222" s="82" t="s">
        <v>2174</v>
      </c>
      <c r="K1222" s="82" t="s">
        <v>2173</v>
      </c>
      <c r="L1222" s="82" t="s">
        <v>2175</v>
      </c>
      <c r="M1222" s="82" t="s">
        <v>2176</v>
      </c>
      <c r="N1222" s="82" t="s">
        <v>2177</v>
      </c>
      <c r="O1222" s="82" t="s">
        <v>2173</v>
      </c>
    </row>
    <row r="1223" spans="1:15" ht="15.75" hidden="1" x14ac:dyDescent="0.25">
      <c r="A1223" t="str">
        <f t="shared" si="19"/>
        <v>VEICOLO_CONTROMANO_CORSIA_MARCIA_NORD-Allarme veicolo contromano corsia di marcia nord</v>
      </c>
      <c r="C1223" s="82" t="s">
        <v>1814</v>
      </c>
      <c r="D1223" s="82" t="s">
        <v>1815</v>
      </c>
      <c r="E1223" s="82" t="s">
        <v>2163</v>
      </c>
      <c r="F1223" s="82" t="s">
        <v>1814</v>
      </c>
      <c r="G1223" s="82" t="s">
        <v>1946</v>
      </c>
      <c r="H1223" s="82" t="s">
        <v>2165</v>
      </c>
      <c r="I1223" s="82" t="s">
        <v>33</v>
      </c>
      <c r="J1223" s="82" t="s">
        <v>2174</v>
      </c>
      <c r="K1223" s="82" t="s">
        <v>2173</v>
      </c>
      <c r="L1223" s="82" t="s">
        <v>2175</v>
      </c>
      <c r="M1223" s="82" t="s">
        <v>2176</v>
      </c>
      <c r="N1223" s="82" t="s">
        <v>2177</v>
      </c>
      <c r="O1223" s="82" t="s">
        <v>2173</v>
      </c>
    </row>
    <row r="1224" spans="1:15" ht="15.75" hidden="1" x14ac:dyDescent="0.25">
      <c r="A1224" t="str">
        <f t="shared" si="19"/>
        <v>VEICOLO_CONTROMANO_CORSIA_MARCIA_SUD-Allarme veicolo contromano corsia di marcia sud</v>
      </c>
      <c r="C1224" s="82" t="s">
        <v>1816</v>
      </c>
      <c r="D1224" s="82" t="s">
        <v>1817</v>
      </c>
      <c r="E1224" s="82" t="s">
        <v>2163</v>
      </c>
      <c r="F1224" s="82" t="s">
        <v>1816</v>
      </c>
      <c r="G1224" s="82" t="s">
        <v>1946</v>
      </c>
      <c r="H1224" s="82" t="s">
        <v>2165</v>
      </c>
      <c r="I1224" s="82" t="s">
        <v>33</v>
      </c>
      <c r="J1224" s="82" t="s">
        <v>2174</v>
      </c>
      <c r="K1224" s="82" t="s">
        <v>2173</v>
      </c>
      <c r="L1224" s="82" t="s">
        <v>2175</v>
      </c>
      <c r="M1224" s="82" t="s">
        <v>2176</v>
      </c>
      <c r="N1224" s="82" t="s">
        <v>2177</v>
      </c>
      <c r="O1224" s="82" t="s">
        <v>2173</v>
      </c>
    </row>
    <row r="1225" spans="1:15" ht="15.75" hidden="1" x14ac:dyDescent="0.25">
      <c r="A1225" t="str">
        <f t="shared" si="19"/>
        <v>VEICOLO_FERMO-Allarme veicolo fermo</v>
      </c>
      <c r="C1225" s="82" t="s">
        <v>1036</v>
      </c>
      <c r="D1225" s="82" t="s">
        <v>1037</v>
      </c>
      <c r="E1225" s="82" t="s">
        <v>2163</v>
      </c>
      <c r="F1225" s="82" t="s">
        <v>1036</v>
      </c>
      <c r="G1225" s="82" t="s">
        <v>1946</v>
      </c>
      <c r="H1225" s="82" t="s">
        <v>2165</v>
      </c>
      <c r="I1225" s="82" t="s">
        <v>33</v>
      </c>
      <c r="J1225" s="82" t="s">
        <v>2174</v>
      </c>
      <c r="K1225" s="82" t="s">
        <v>2173</v>
      </c>
      <c r="L1225" s="82" t="s">
        <v>2175</v>
      </c>
      <c r="M1225" s="82" t="s">
        <v>2176</v>
      </c>
      <c r="N1225" s="82" t="s">
        <v>2177</v>
      </c>
      <c r="O1225" s="82" t="s">
        <v>2173</v>
      </c>
    </row>
    <row r="1226" spans="1:15" ht="15.75" hidden="1" x14ac:dyDescent="0.25">
      <c r="A1226" t="str">
        <f t="shared" si="19"/>
        <v>VEICOLO_FERMO_CORSIA_1-Allarme veicolo fermo corsia di emergenza</v>
      </c>
      <c r="C1226" s="82" t="s">
        <v>1038</v>
      </c>
      <c r="D1226" s="82" t="s">
        <v>1039</v>
      </c>
      <c r="E1226" s="82" t="s">
        <v>2163</v>
      </c>
      <c r="F1226" s="82" t="s">
        <v>1038</v>
      </c>
      <c r="G1226" s="82" t="s">
        <v>1946</v>
      </c>
      <c r="H1226" s="82" t="s">
        <v>2165</v>
      </c>
      <c r="I1226" s="82" t="s">
        <v>33</v>
      </c>
      <c r="J1226" s="82" t="s">
        <v>2174</v>
      </c>
      <c r="K1226" s="82" t="s">
        <v>2173</v>
      </c>
      <c r="L1226" s="82" t="s">
        <v>2179</v>
      </c>
      <c r="M1226" s="82" t="s">
        <v>2176</v>
      </c>
      <c r="N1226" s="82" t="s">
        <v>2177</v>
      </c>
      <c r="O1226" s="82" t="s">
        <v>2173</v>
      </c>
    </row>
    <row r="1227" spans="1:15" ht="15.75" hidden="1" x14ac:dyDescent="0.25">
      <c r="A1227" t="str">
        <f t="shared" si="19"/>
        <v>VEICOLO_FERMO_CORSIA_2-Allarme veicolo fermo corsia di marcia</v>
      </c>
      <c r="C1227" s="82" t="s">
        <v>1040</v>
      </c>
      <c r="D1227" s="82" t="s">
        <v>1041</v>
      </c>
      <c r="E1227" s="82" t="s">
        <v>2163</v>
      </c>
      <c r="F1227" s="82" t="s">
        <v>1040</v>
      </c>
      <c r="G1227" s="82" t="s">
        <v>1946</v>
      </c>
      <c r="H1227" s="82" t="s">
        <v>2165</v>
      </c>
      <c r="I1227" s="82" t="s">
        <v>33</v>
      </c>
      <c r="J1227" s="82" t="s">
        <v>2174</v>
      </c>
      <c r="K1227" s="82" t="s">
        <v>2173</v>
      </c>
      <c r="L1227" s="82" t="s">
        <v>2175</v>
      </c>
      <c r="M1227" s="82" t="s">
        <v>2176</v>
      </c>
      <c r="N1227" s="82" t="s">
        <v>2177</v>
      </c>
      <c r="O1227" s="82" t="s">
        <v>2173</v>
      </c>
    </row>
    <row r="1228" spans="1:15" ht="15.75" hidden="1" x14ac:dyDescent="0.25">
      <c r="A1228" t="str">
        <f t="shared" si="19"/>
        <v>VEICOLO_FERMO_CORSIA_3-Allarme veicolo fermo corsia veloce</v>
      </c>
      <c r="C1228" s="82" t="s">
        <v>1042</v>
      </c>
      <c r="D1228" s="82" t="s">
        <v>1043</v>
      </c>
      <c r="E1228" s="82" t="s">
        <v>2163</v>
      </c>
      <c r="F1228" s="82" t="s">
        <v>1042</v>
      </c>
      <c r="G1228" s="82" t="s">
        <v>1946</v>
      </c>
      <c r="H1228" s="82" t="s">
        <v>2165</v>
      </c>
      <c r="I1228" s="82" t="s">
        <v>33</v>
      </c>
      <c r="J1228" s="82" t="s">
        <v>2174</v>
      </c>
      <c r="K1228" s="82" t="s">
        <v>2173</v>
      </c>
      <c r="L1228" s="82" t="s">
        <v>2175</v>
      </c>
      <c r="M1228" s="82" t="s">
        <v>2176</v>
      </c>
      <c r="N1228" s="82" t="s">
        <v>2177</v>
      </c>
      <c r="O1228" s="82" t="s">
        <v>2173</v>
      </c>
    </row>
    <row r="1229" spans="1:15" ht="15.75" hidden="1" x14ac:dyDescent="0.25">
      <c r="A1229" t="str">
        <f t="shared" si="19"/>
        <v>VEICOLO_FERMO_CORSIA_LENTA-Allarme veicolo fermo corsia lenta</v>
      </c>
      <c r="C1229" s="82" t="s">
        <v>1818</v>
      </c>
      <c r="D1229" s="82" t="s">
        <v>1819</v>
      </c>
      <c r="E1229" s="82" t="s">
        <v>2163</v>
      </c>
      <c r="F1229" s="82" t="s">
        <v>1818</v>
      </c>
      <c r="G1229" s="82" t="s">
        <v>1946</v>
      </c>
      <c r="H1229" s="82" t="s">
        <v>2165</v>
      </c>
      <c r="I1229" s="82" t="s">
        <v>33</v>
      </c>
      <c r="J1229" s="82" t="s">
        <v>2174</v>
      </c>
      <c r="K1229" s="82" t="s">
        <v>2173</v>
      </c>
      <c r="L1229" s="82" t="s">
        <v>2175</v>
      </c>
      <c r="M1229" s="82" t="s">
        <v>2176</v>
      </c>
      <c r="N1229" s="82" t="s">
        <v>2177</v>
      </c>
      <c r="O1229" s="82" t="s">
        <v>2173</v>
      </c>
    </row>
    <row r="1230" spans="1:15" ht="15.75" hidden="1" x14ac:dyDescent="0.25">
      <c r="A1230" t="str">
        <f t="shared" si="19"/>
        <v>VEICOLO_FERMO_CORSIA_MARCIA_NORD-Allarme veicolo fermo corsia di marcia nord</v>
      </c>
      <c r="C1230" s="82" t="s">
        <v>1820</v>
      </c>
      <c r="D1230" s="82" t="s">
        <v>1821</v>
      </c>
      <c r="E1230" s="82" t="s">
        <v>2163</v>
      </c>
      <c r="F1230" s="82" t="s">
        <v>1820</v>
      </c>
      <c r="G1230" s="82" t="s">
        <v>1946</v>
      </c>
      <c r="H1230" s="82" t="s">
        <v>2165</v>
      </c>
      <c r="I1230" s="82" t="s">
        <v>33</v>
      </c>
      <c r="J1230" s="82" t="s">
        <v>2174</v>
      </c>
      <c r="K1230" s="82" t="s">
        <v>2173</v>
      </c>
      <c r="L1230" s="82" t="s">
        <v>2175</v>
      </c>
      <c r="M1230" s="82" t="s">
        <v>2176</v>
      </c>
      <c r="N1230" s="82" t="s">
        <v>2177</v>
      </c>
      <c r="O1230" s="82" t="s">
        <v>2173</v>
      </c>
    </row>
    <row r="1231" spans="1:15" ht="15.75" hidden="1" x14ac:dyDescent="0.25">
      <c r="A1231" t="str">
        <f t="shared" si="19"/>
        <v>VEICOLO_FERMO_CORSIA_MARCIA_SUD-Allarme veicolo fermo corsia di marcia sud</v>
      </c>
      <c r="C1231" s="82" t="s">
        <v>1822</v>
      </c>
      <c r="D1231" s="82" t="s">
        <v>1823</v>
      </c>
      <c r="E1231" s="82" t="s">
        <v>2163</v>
      </c>
      <c r="F1231" s="82" t="s">
        <v>1822</v>
      </c>
      <c r="G1231" s="82" t="s">
        <v>1946</v>
      </c>
      <c r="H1231" s="82" t="s">
        <v>2165</v>
      </c>
      <c r="I1231" s="82" t="s">
        <v>33</v>
      </c>
      <c r="J1231" s="82" t="s">
        <v>2174</v>
      </c>
      <c r="K1231" s="82" t="s">
        <v>2173</v>
      </c>
      <c r="L1231" s="82" t="s">
        <v>2175</v>
      </c>
      <c r="M1231" s="82" t="s">
        <v>2176</v>
      </c>
      <c r="N1231" s="82" t="s">
        <v>2177</v>
      </c>
      <c r="O1231" s="82" t="s">
        <v>2173</v>
      </c>
    </row>
    <row r="1232" spans="1:15" ht="15.75" hidden="1" x14ac:dyDescent="0.25">
      <c r="A1232" t="str">
        <f t="shared" si="19"/>
        <v>VEICOLO_FERMO_DIR_NORD-Allarme Veicolo Fermo direzione Nord</v>
      </c>
      <c r="C1232" s="82" t="s">
        <v>1824</v>
      </c>
      <c r="D1232" s="82" t="s">
        <v>1825</v>
      </c>
      <c r="E1232" s="82" t="s">
        <v>2163</v>
      </c>
      <c r="F1232" s="82" t="s">
        <v>1824</v>
      </c>
      <c r="G1232" s="82" t="s">
        <v>1946</v>
      </c>
      <c r="H1232" s="82" t="s">
        <v>2165</v>
      </c>
      <c r="I1232" s="82" t="s">
        <v>33</v>
      </c>
      <c r="J1232" s="82" t="s">
        <v>2174</v>
      </c>
      <c r="K1232" s="82" t="s">
        <v>2173</v>
      </c>
      <c r="L1232" s="82" t="s">
        <v>2175</v>
      </c>
      <c r="M1232" s="82" t="s">
        <v>2176</v>
      </c>
      <c r="N1232" s="82" t="s">
        <v>2177</v>
      </c>
      <c r="O1232" s="82" t="s">
        <v>2173</v>
      </c>
    </row>
    <row r="1233" spans="1:15" ht="15.75" hidden="1" x14ac:dyDescent="0.25">
      <c r="A1233" t="str">
        <f t="shared" si="19"/>
        <v>VEICOLO_FERMO_DIR_SUD-Allarme Veicolo Fermo direzione Sud</v>
      </c>
      <c r="C1233" s="82" t="s">
        <v>1826</v>
      </c>
      <c r="D1233" s="82" t="s">
        <v>1827</v>
      </c>
      <c r="E1233" s="82" t="s">
        <v>2163</v>
      </c>
      <c r="F1233" s="82" t="s">
        <v>1826</v>
      </c>
      <c r="G1233" s="82" t="s">
        <v>1946</v>
      </c>
      <c r="H1233" s="82" t="s">
        <v>2165</v>
      </c>
      <c r="I1233" s="82" t="s">
        <v>33</v>
      </c>
      <c r="J1233" s="82" t="s">
        <v>2174</v>
      </c>
      <c r="K1233" s="82" t="s">
        <v>2173</v>
      </c>
      <c r="L1233" s="82" t="s">
        <v>2175</v>
      </c>
      <c r="M1233" s="82" t="s">
        <v>2176</v>
      </c>
      <c r="N1233" s="82" t="s">
        <v>2177</v>
      </c>
      <c r="O1233" s="82" t="s">
        <v>2173</v>
      </c>
    </row>
    <row r="1234" spans="1:15" ht="15.75" hidden="1" x14ac:dyDescent="0.25">
      <c r="A1234" t="str">
        <f t="shared" si="19"/>
        <v>VEICOLO_FERMO_PIAZZOLA-Allarme veicolo fermo in piazzola</v>
      </c>
      <c r="C1234" s="82" t="s">
        <v>1044</v>
      </c>
      <c r="D1234" s="82" t="s">
        <v>1045</v>
      </c>
      <c r="E1234" s="82" t="s">
        <v>2163</v>
      </c>
      <c r="F1234" s="82" t="s">
        <v>1044</v>
      </c>
      <c r="G1234" s="82" t="s">
        <v>1946</v>
      </c>
      <c r="H1234" s="82" t="s">
        <v>2165</v>
      </c>
      <c r="I1234" s="82" t="s">
        <v>33</v>
      </c>
      <c r="J1234" s="82" t="s">
        <v>2174</v>
      </c>
      <c r="K1234" s="82" t="s">
        <v>2173</v>
      </c>
      <c r="L1234" s="82" t="s">
        <v>2179</v>
      </c>
      <c r="M1234" s="82" t="s">
        <v>2176</v>
      </c>
      <c r="N1234" s="82" t="s">
        <v>2177</v>
      </c>
      <c r="O1234" s="82" t="s">
        <v>2173</v>
      </c>
    </row>
    <row r="1235" spans="1:15" ht="15.75" hidden="1" x14ac:dyDescent="0.25">
      <c r="A1235" t="str">
        <f t="shared" si="19"/>
        <v>VEICOLO_INVERSIONE-Allarme inversione in galleria</v>
      </c>
      <c r="C1235" s="82" t="s">
        <v>2896</v>
      </c>
      <c r="D1235" s="82" t="s">
        <v>2897</v>
      </c>
      <c r="E1235" s="82" t="s">
        <v>2163</v>
      </c>
      <c r="F1235" s="82" t="s">
        <v>2896</v>
      </c>
      <c r="G1235" s="82" t="s">
        <v>1946</v>
      </c>
      <c r="H1235" s="82" t="s">
        <v>2165</v>
      </c>
      <c r="I1235" s="82" t="s">
        <v>24</v>
      </c>
      <c r="J1235" s="82" t="s">
        <v>2171</v>
      </c>
      <c r="K1235" s="82" t="s">
        <v>2167</v>
      </c>
      <c r="L1235" s="82" t="s">
        <v>1946</v>
      </c>
      <c r="M1235" s="82" t="s">
        <v>2090</v>
      </c>
      <c r="N1235" s="82" t="s">
        <v>1946</v>
      </c>
      <c r="O1235" s="82" t="s">
        <v>2173</v>
      </c>
    </row>
    <row r="1236" spans="1:15" ht="15.75" hidden="1" x14ac:dyDescent="0.25">
      <c r="A1236" t="str">
        <f t="shared" si="19"/>
        <v>VEICOLO_INVERSIONE_CORSIA_1-Allarme inversione in corsia emergenza</v>
      </c>
      <c r="C1236" s="82" t="s">
        <v>1046</v>
      </c>
      <c r="D1236" s="82" t="s">
        <v>1047</v>
      </c>
      <c r="E1236" s="82" t="s">
        <v>2163</v>
      </c>
      <c r="F1236" s="82" t="s">
        <v>1046</v>
      </c>
      <c r="G1236" s="82" t="s">
        <v>1946</v>
      </c>
      <c r="H1236" s="82" t="s">
        <v>2165</v>
      </c>
      <c r="I1236" s="82" t="s">
        <v>33</v>
      </c>
      <c r="J1236" s="82" t="s">
        <v>2174</v>
      </c>
      <c r="K1236" s="82" t="s">
        <v>2173</v>
      </c>
      <c r="L1236" s="82" t="s">
        <v>2175</v>
      </c>
      <c r="M1236" s="82" t="s">
        <v>2176</v>
      </c>
      <c r="N1236" s="82" t="s">
        <v>2177</v>
      </c>
      <c r="O1236" s="82" t="s">
        <v>2173</v>
      </c>
    </row>
    <row r="1237" spans="1:15" ht="15.75" hidden="1" x14ac:dyDescent="0.25">
      <c r="A1237" t="str">
        <f t="shared" si="19"/>
        <v>VEICOLO_INVERSIONE_CORSIA_2-Allarme inversione in corsia marcia</v>
      </c>
      <c r="C1237" s="82" t="s">
        <v>1048</v>
      </c>
      <c r="D1237" s="82" t="s">
        <v>1049</v>
      </c>
      <c r="E1237" s="82" t="s">
        <v>2163</v>
      </c>
      <c r="F1237" s="82" t="s">
        <v>1048</v>
      </c>
      <c r="G1237" s="82" t="s">
        <v>1946</v>
      </c>
      <c r="H1237" s="82" t="s">
        <v>2165</v>
      </c>
      <c r="I1237" s="82" t="s">
        <v>33</v>
      </c>
      <c r="J1237" s="82" t="s">
        <v>2174</v>
      </c>
      <c r="K1237" s="82" t="s">
        <v>2173</v>
      </c>
      <c r="L1237" s="82" t="s">
        <v>2175</v>
      </c>
      <c r="M1237" s="82" t="s">
        <v>2176</v>
      </c>
      <c r="N1237" s="82" t="s">
        <v>2177</v>
      </c>
      <c r="O1237" s="82" t="s">
        <v>2173</v>
      </c>
    </row>
    <row r="1238" spans="1:15" ht="15.75" hidden="1" x14ac:dyDescent="0.25">
      <c r="A1238" t="str">
        <f t="shared" si="19"/>
        <v>VEICOLO_INVERSIONE_CORSIA_3-Allarme inversione in corsia sorpasso</v>
      </c>
      <c r="C1238" s="82" t="s">
        <v>1050</v>
      </c>
      <c r="D1238" s="82" t="s">
        <v>1051</v>
      </c>
      <c r="E1238" s="82" t="s">
        <v>2163</v>
      </c>
      <c r="F1238" s="82" t="s">
        <v>1050</v>
      </c>
      <c r="G1238" s="82" t="s">
        <v>1946</v>
      </c>
      <c r="H1238" s="82" t="s">
        <v>2165</v>
      </c>
      <c r="I1238" s="82" t="s">
        <v>33</v>
      </c>
      <c r="J1238" s="82" t="s">
        <v>2174</v>
      </c>
      <c r="K1238" s="82" t="s">
        <v>2173</v>
      </c>
      <c r="L1238" s="82" t="s">
        <v>2175</v>
      </c>
      <c r="M1238" s="82" t="s">
        <v>2176</v>
      </c>
      <c r="N1238" s="82" t="s">
        <v>2177</v>
      </c>
      <c r="O1238" s="82" t="s">
        <v>2173</v>
      </c>
    </row>
    <row r="1239" spans="1:15" ht="15.75" hidden="1" x14ac:dyDescent="0.25">
      <c r="A1239" t="str">
        <f t="shared" si="19"/>
        <v>VEICOLO_LENTO-Allarme veicolo lento</v>
      </c>
      <c r="C1239" s="82" t="s">
        <v>1828</v>
      </c>
      <c r="D1239" s="82" t="s">
        <v>1829</v>
      </c>
      <c r="E1239" s="82" t="s">
        <v>2163</v>
      </c>
      <c r="F1239" s="82" t="s">
        <v>1828</v>
      </c>
      <c r="G1239" s="82" t="s">
        <v>1946</v>
      </c>
      <c r="H1239" s="82" t="s">
        <v>2165</v>
      </c>
      <c r="I1239" s="82" t="s">
        <v>24</v>
      </c>
      <c r="J1239" s="82" t="s">
        <v>2171</v>
      </c>
      <c r="K1239" s="82" t="s">
        <v>2167</v>
      </c>
      <c r="L1239" s="82" t="s">
        <v>2175</v>
      </c>
      <c r="M1239" s="82" t="s">
        <v>2176</v>
      </c>
      <c r="N1239" s="82" t="s">
        <v>2177</v>
      </c>
      <c r="O1239" s="82" t="s">
        <v>2173</v>
      </c>
    </row>
    <row r="1240" spans="1:15" ht="15.75" hidden="1" x14ac:dyDescent="0.25">
      <c r="A1240" t="str">
        <f t="shared" si="19"/>
        <v>VEICOLO_LENTO_CORSIA_1-Allarme veicolo lento corsia di emergenza</v>
      </c>
      <c r="C1240" s="82" t="s">
        <v>1052</v>
      </c>
      <c r="D1240" s="82" t="s">
        <v>1053</v>
      </c>
      <c r="E1240" s="82" t="s">
        <v>2163</v>
      </c>
      <c r="F1240" s="82" t="s">
        <v>1052</v>
      </c>
      <c r="G1240" s="82" t="s">
        <v>1946</v>
      </c>
      <c r="H1240" s="82" t="s">
        <v>2165</v>
      </c>
      <c r="I1240" s="82" t="s">
        <v>24</v>
      </c>
      <c r="J1240" s="82" t="s">
        <v>2171</v>
      </c>
      <c r="K1240" s="82" t="s">
        <v>2167</v>
      </c>
      <c r="L1240" s="82" t="s">
        <v>2175</v>
      </c>
      <c r="M1240" s="82" t="s">
        <v>2176</v>
      </c>
      <c r="N1240" s="82" t="s">
        <v>2177</v>
      </c>
      <c r="O1240" s="82" t="s">
        <v>2173</v>
      </c>
    </row>
    <row r="1241" spans="1:15" ht="15.75" hidden="1" x14ac:dyDescent="0.25">
      <c r="A1241" t="str">
        <f t="shared" si="19"/>
        <v>VEICOLO_LENTO_CORSIA_2-Allarme veicolo lento corsia di marcia</v>
      </c>
      <c r="C1241" s="82" t="s">
        <v>1054</v>
      </c>
      <c r="D1241" s="82" t="s">
        <v>1055</v>
      </c>
      <c r="E1241" s="82" t="s">
        <v>2163</v>
      </c>
      <c r="F1241" s="82" t="s">
        <v>1054</v>
      </c>
      <c r="G1241" s="82" t="s">
        <v>1946</v>
      </c>
      <c r="H1241" s="82" t="s">
        <v>2165</v>
      </c>
      <c r="I1241" s="82" t="s">
        <v>24</v>
      </c>
      <c r="J1241" s="82" t="s">
        <v>2171</v>
      </c>
      <c r="K1241" s="82" t="s">
        <v>2167</v>
      </c>
      <c r="L1241" s="82" t="s">
        <v>2175</v>
      </c>
      <c r="M1241" s="82" t="s">
        <v>2176</v>
      </c>
      <c r="N1241" s="82" t="s">
        <v>2177</v>
      </c>
      <c r="O1241" s="82" t="s">
        <v>2173</v>
      </c>
    </row>
    <row r="1242" spans="1:15" ht="15.75" hidden="1" x14ac:dyDescent="0.25">
      <c r="A1242" t="str">
        <f t="shared" si="19"/>
        <v>VEICOLO_LENTO_CORSIA_3-Allarme veicolo lento corsia veloce</v>
      </c>
      <c r="C1242" s="82" t="s">
        <v>1056</v>
      </c>
      <c r="D1242" s="82" t="s">
        <v>1057</v>
      </c>
      <c r="E1242" s="82" t="s">
        <v>2163</v>
      </c>
      <c r="F1242" s="82" t="s">
        <v>1056</v>
      </c>
      <c r="G1242" s="82" t="s">
        <v>1946</v>
      </c>
      <c r="H1242" s="82" t="s">
        <v>2165</v>
      </c>
      <c r="I1242" s="82" t="s">
        <v>24</v>
      </c>
      <c r="J1242" s="82" t="s">
        <v>2171</v>
      </c>
      <c r="K1242" s="82" t="s">
        <v>2167</v>
      </c>
      <c r="L1242" s="82" t="s">
        <v>2175</v>
      </c>
      <c r="M1242" s="82" t="s">
        <v>2176</v>
      </c>
      <c r="N1242" s="82" t="s">
        <v>2177</v>
      </c>
      <c r="O1242" s="82" t="s">
        <v>2173</v>
      </c>
    </row>
    <row r="1243" spans="1:15" ht="15.75" hidden="1" x14ac:dyDescent="0.25">
      <c r="A1243" t="str">
        <f t="shared" si="19"/>
        <v>VEICOLO_LENTO_CORSIA_MARCIA_NORD-Allarme veicolo lento corsia di marcia nord</v>
      </c>
      <c r="C1243" s="82" t="s">
        <v>1830</v>
      </c>
      <c r="D1243" s="82" t="s">
        <v>1831</v>
      </c>
      <c r="E1243" s="82" t="s">
        <v>2163</v>
      </c>
      <c r="F1243" s="82" t="s">
        <v>1830</v>
      </c>
      <c r="G1243" s="82" t="s">
        <v>1946</v>
      </c>
      <c r="H1243" s="82" t="s">
        <v>2165</v>
      </c>
      <c r="I1243" s="82" t="s">
        <v>24</v>
      </c>
      <c r="J1243" s="82" t="s">
        <v>2171</v>
      </c>
      <c r="K1243" s="82" t="s">
        <v>2167</v>
      </c>
      <c r="L1243" s="82" t="s">
        <v>2175</v>
      </c>
      <c r="M1243" s="82" t="s">
        <v>2176</v>
      </c>
      <c r="N1243" s="82" t="s">
        <v>2177</v>
      </c>
      <c r="O1243" s="82" t="s">
        <v>2173</v>
      </c>
    </row>
    <row r="1244" spans="1:15" ht="15.75" hidden="1" x14ac:dyDescent="0.25">
      <c r="A1244" t="str">
        <f t="shared" si="19"/>
        <v>VEICOLO_LENTO_CORSIA_MARCIA_SUD-Allarme veicolo lento corsia di marcia sud</v>
      </c>
      <c r="C1244" s="82" t="s">
        <v>1832</v>
      </c>
      <c r="D1244" s="82" t="s">
        <v>1833</v>
      </c>
      <c r="E1244" s="82" t="s">
        <v>2163</v>
      </c>
      <c r="F1244" s="82" t="s">
        <v>1832</v>
      </c>
      <c r="G1244" s="82" t="s">
        <v>1946</v>
      </c>
      <c r="H1244" s="82" t="s">
        <v>2165</v>
      </c>
      <c r="I1244" s="82" t="s">
        <v>24</v>
      </c>
      <c r="J1244" s="82" t="s">
        <v>2171</v>
      </c>
      <c r="K1244" s="82" t="s">
        <v>2167</v>
      </c>
      <c r="L1244" s="82" t="s">
        <v>2175</v>
      </c>
      <c r="M1244" s="82" t="s">
        <v>2176</v>
      </c>
      <c r="N1244" s="82" t="s">
        <v>2177</v>
      </c>
      <c r="O1244" s="82" t="s">
        <v>2173</v>
      </c>
    </row>
    <row r="1245" spans="1:15" ht="15.75" hidden="1" x14ac:dyDescent="0.25">
      <c r="A1245" t="str">
        <f t="shared" si="19"/>
        <v>VEL_ZERO-Allarme velocita' zero</v>
      </c>
      <c r="C1245" s="82" t="s">
        <v>2898</v>
      </c>
      <c r="D1245" s="82" t="s">
        <v>2899</v>
      </c>
      <c r="E1245" s="82" t="s">
        <v>2163</v>
      </c>
      <c r="F1245" s="82" t="s">
        <v>2898</v>
      </c>
      <c r="G1245" s="82" t="s">
        <v>1946</v>
      </c>
      <c r="H1245" s="82" t="s">
        <v>2165</v>
      </c>
      <c r="I1245" s="82" t="s">
        <v>24</v>
      </c>
      <c r="J1245" s="82" t="s">
        <v>2171</v>
      </c>
      <c r="K1245" s="82" t="s">
        <v>2167</v>
      </c>
      <c r="L1245" s="82" t="s">
        <v>1946</v>
      </c>
      <c r="M1245" s="82" t="s">
        <v>2090</v>
      </c>
      <c r="N1245" s="82" t="s">
        <v>1946</v>
      </c>
      <c r="O1245" s="82" t="s">
        <v>2173</v>
      </c>
    </row>
    <row r="1246" spans="1:15" ht="15.75" hidden="1" x14ac:dyDescent="0.25">
      <c r="A1246" t="str">
        <f t="shared" si="19"/>
        <v>VENTILATORE_IN_ANOMALIA-Allarme ventilatore</v>
      </c>
      <c r="C1246" s="82" t="s">
        <v>1058</v>
      </c>
      <c r="D1246" s="82" t="s">
        <v>662</v>
      </c>
      <c r="E1246" s="82" t="s">
        <v>2163</v>
      </c>
      <c r="F1246" s="82" t="s">
        <v>1058</v>
      </c>
      <c r="G1246" s="82" t="s">
        <v>1946</v>
      </c>
      <c r="H1246" s="82" t="s">
        <v>2165</v>
      </c>
      <c r="I1246" s="82" t="s">
        <v>24</v>
      </c>
      <c r="J1246" s="82" t="s">
        <v>2171</v>
      </c>
      <c r="K1246" s="82" t="s">
        <v>2167</v>
      </c>
      <c r="L1246" s="82" t="s">
        <v>1946</v>
      </c>
      <c r="M1246" s="82" t="s">
        <v>2090</v>
      </c>
      <c r="N1246" s="82" t="s">
        <v>1946</v>
      </c>
      <c r="O1246" s="82" t="s">
        <v>2173</v>
      </c>
    </row>
    <row r="1247" spans="1:15" ht="15.75" hidden="1" x14ac:dyDescent="0.25">
      <c r="A1247" t="str">
        <f t="shared" si="19"/>
        <v>abnormalLoad-Veicolo adibito a trasporti eccezionali</v>
      </c>
      <c r="C1247" s="82" t="s">
        <v>2900</v>
      </c>
      <c r="D1247" s="82" t="s">
        <v>2901</v>
      </c>
      <c r="E1247" s="82" t="s">
        <v>2163</v>
      </c>
      <c r="F1247" s="82" t="s">
        <v>2900</v>
      </c>
      <c r="G1247" s="82" t="s">
        <v>1946</v>
      </c>
      <c r="H1247" s="82" t="s">
        <v>2165</v>
      </c>
      <c r="I1247" s="82" t="s">
        <v>24</v>
      </c>
      <c r="J1247" s="82" t="s">
        <v>2171</v>
      </c>
      <c r="K1247" s="82" t="s">
        <v>2167</v>
      </c>
      <c r="L1247" s="82" t="s">
        <v>1946</v>
      </c>
      <c r="M1247" s="82" t="s">
        <v>2090</v>
      </c>
      <c r="N1247" s="82" t="s">
        <v>1946</v>
      </c>
      <c r="O1247" s="82" t="s">
        <v>2173</v>
      </c>
    </row>
    <row r="1248" spans="1:15" ht="15.75" hidden="1" x14ac:dyDescent="0.25">
      <c r="A1248" t="str">
        <f t="shared" si="19"/>
        <v>brokenDownVehicle-Veicolo guasto sulla carreggiata</v>
      </c>
      <c r="C1248" s="82" t="s">
        <v>2902</v>
      </c>
      <c r="D1248" s="82" t="s">
        <v>2903</v>
      </c>
      <c r="E1248" s="82" t="s">
        <v>2163</v>
      </c>
      <c r="F1248" s="82" t="s">
        <v>2902</v>
      </c>
      <c r="G1248" s="82" t="s">
        <v>1946</v>
      </c>
      <c r="H1248" s="82" t="s">
        <v>2165</v>
      </c>
      <c r="I1248" s="82" t="s">
        <v>24</v>
      </c>
      <c r="J1248" s="82" t="s">
        <v>2171</v>
      </c>
      <c r="K1248" s="82" t="s">
        <v>2167</v>
      </c>
      <c r="L1248" s="82" t="s">
        <v>1946</v>
      </c>
      <c r="M1248" s="82" t="s">
        <v>2090</v>
      </c>
      <c r="N1248" s="82" t="s">
        <v>1946</v>
      </c>
      <c r="O1248" s="82" t="s">
        <v>2173</v>
      </c>
    </row>
    <row r="1249" spans="1:15" ht="15.75" hidden="1" x14ac:dyDescent="0.25">
      <c r="A1249" t="str">
        <f t="shared" si="19"/>
        <v>fog-Nebbia con visibilità superiore a 50 metri</v>
      </c>
      <c r="C1249" s="82" t="s">
        <v>2904</v>
      </c>
      <c r="D1249" s="82" t="s">
        <v>2905</v>
      </c>
      <c r="E1249" s="82" t="s">
        <v>2163</v>
      </c>
      <c r="F1249" s="82" t="s">
        <v>2904</v>
      </c>
      <c r="G1249" s="82" t="s">
        <v>1946</v>
      </c>
      <c r="H1249" s="82" t="s">
        <v>2165</v>
      </c>
      <c r="I1249" s="82" t="s">
        <v>24</v>
      </c>
      <c r="J1249" s="82" t="s">
        <v>2171</v>
      </c>
      <c r="K1249" s="82" t="s">
        <v>2167</v>
      </c>
      <c r="L1249" s="82" t="s">
        <v>1946</v>
      </c>
      <c r="M1249" s="82" t="s">
        <v>2090</v>
      </c>
      <c r="N1249" s="82" t="s">
        <v>1946</v>
      </c>
      <c r="O1249" s="82" t="s">
        <v>2173</v>
      </c>
    </row>
    <row r="1250" spans="1:15" ht="15.75" hidden="1" x14ac:dyDescent="0.25">
      <c r="A1250" t="str">
        <f t="shared" si="19"/>
        <v>generic-Generico</v>
      </c>
      <c r="C1250" s="82" t="s">
        <v>2906</v>
      </c>
      <c r="D1250" s="82" t="s">
        <v>2907</v>
      </c>
      <c r="E1250" s="82" t="s">
        <v>2163</v>
      </c>
      <c r="F1250" s="82" t="s">
        <v>2908</v>
      </c>
      <c r="G1250" s="82" t="s">
        <v>1946</v>
      </c>
      <c r="H1250" s="82" t="s">
        <v>2165</v>
      </c>
      <c r="I1250" s="82" t="s">
        <v>33</v>
      </c>
      <c r="J1250" s="82" t="s">
        <v>2909</v>
      </c>
      <c r="K1250" s="82" t="s">
        <v>2167</v>
      </c>
      <c r="L1250" s="82" t="s">
        <v>1946</v>
      </c>
      <c r="M1250" s="82" t="s">
        <v>2910</v>
      </c>
      <c r="N1250" s="82" t="s">
        <v>1946</v>
      </c>
      <c r="O1250" s="82" t="s">
        <v>2173</v>
      </c>
    </row>
    <row r="1251" spans="1:15" ht="15.75" hidden="1" x14ac:dyDescent="0.25">
      <c r="A1251" t="str">
        <f t="shared" si="19"/>
        <v>hail-Grandine</v>
      </c>
      <c r="C1251" s="82" t="s">
        <v>2911</v>
      </c>
      <c r="D1251" s="82" t="s">
        <v>2912</v>
      </c>
      <c r="E1251" s="82" t="s">
        <v>2163</v>
      </c>
      <c r="F1251" s="82" t="s">
        <v>2911</v>
      </c>
      <c r="G1251" s="82" t="s">
        <v>1946</v>
      </c>
      <c r="H1251" s="82" t="s">
        <v>2165</v>
      </c>
      <c r="I1251" s="82" t="s">
        <v>24</v>
      </c>
      <c r="J1251" s="82" t="s">
        <v>2171</v>
      </c>
      <c r="K1251" s="82" t="s">
        <v>2167</v>
      </c>
      <c r="L1251" s="82" t="s">
        <v>1946</v>
      </c>
      <c r="M1251" s="82" t="s">
        <v>2090</v>
      </c>
      <c r="N1251" s="82" t="s">
        <v>1946</v>
      </c>
      <c r="O1251" s="82" t="s">
        <v>2173</v>
      </c>
    </row>
    <row r="1252" spans="1:15" ht="15.75" hidden="1" x14ac:dyDescent="0.25">
      <c r="A1252" t="str">
        <f t="shared" si="19"/>
        <v>heavyTaffic-Traffico intenso</v>
      </c>
      <c r="C1252" s="82" t="s">
        <v>2913</v>
      </c>
      <c r="D1252" s="82" t="s">
        <v>2914</v>
      </c>
      <c r="E1252" s="82" t="s">
        <v>2163</v>
      </c>
      <c r="F1252" s="82" t="s">
        <v>2913</v>
      </c>
      <c r="G1252" s="82" t="s">
        <v>1946</v>
      </c>
      <c r="H1252" s="82" t="s">
        <v>2165</v>
      </c>
      <c r="I1252" s="82" t="s">
        <v>24</v>
      </c>
      <c r="J1252" s="82" t="s">
        <v>2171</v>
      </c>
      <c r="K1252" s="82" t="s">
        <v>2167</v>
      </c>
      <c r="L1252" s="82" t="s">
        <v>1946</v>
      </c>
      <c r="M1252" s="82" t="s">
        <v>2090</v>
      </c>
      <c r="N1252" s="82" t="s">
        <v>1946</v>
      </c>
      <c r="O1252" s="82" t="s">
        <v>2173</v>
      </c>
    </row>
    <row r="1253" spans="1:15" ht="15.75" hidden="1" x14ac:dyDescent="0.25">
      <c r="A1253" t="str">
        <f t="shared" si="19"/>
        <v>incident-Incidente</v>
      </c>
      <c r="C1253" s="82" t="s">
        <v>2915</v>
      </c>
      <c r="D1253" s="82" t="s">
        <v>2916</v>
      </c>
      <c r="E1253" s="82" t="s">
        <v>2163</v>
      </c>
      <c r="F1253" s="82" t="s">
        <v>2915</v>
      </c>
      <c r="G1253" s="82" t="s">
        <v>1946</v>
      </c>
      <c r="H1253" s="82" t="s">
        <v>2165</v>
      </c>
      <c r="I1253" s="82" t="s">
        <v>24</v>
      </c>
      <c r="J1253" s="82" t="s">
        <v>2171</v>
      </c>
      <c r="K1253" s="82" t="s">
        <v>2167</v>
      </c>
      <c r="L1253" s="82" t="s">
        <v>1946</v>
      </c>
      <c r="M1253" s="82" t="s">
        <v>2090</v>
      </c>
      <c r="N1253" s="82" t="s">
        <v>1946</v>
      </c>
      <c r="O1253" s="82" t="s">
        <v>2173</v>
      </c>
    </row>
    <row r="1254" spans="1:15" ht="15.75" hidden="1" x14ac:dyDescent="0.25">
      <c r="A1254" t="str">
        <f t="shared" si="19"/>
        <v>obstructionOnTheRoad-Ostruzione non specificata sulla carreggiata</v>
      </c>
      <c r="C1254" s="82" t="s">
        <v>2917</v>
      </c>
      <c r="D1254" s="82" t="s">
        <v>2918</v>
      </c>
      <c r="E1254" s="82" t="s">
        <v>2163</v>
      </c>
      <c r="F1254" s="82" t="s">
        <v>2917</v>
      </c>
      <c r="G1254" s="82" t="s">
        <v>1946</v>
      </c>
      <c r="H1254" s="82" t="s">
        <v>2165</v>
      </c>
      <c r="I1254" s="82" t="s">
        <v>24</v>
      </c>
      <c r="J1254" s="82" t="s">
        <v>2171</v>
      </c>
      <c r="K1254" s="82" t="s">
        <v>2167</v>
      </c>
      <c r="L1254" s="82" t="s">
        <v>1946</v>
      </c>
      <c r="M1254" s="82" t="s">
        <v>2090</v>
      </c>
      <c r="N1254" s="82" t="s">
        <v>1946</v>
      </c>
      <c r="O1254" s="82" t="s">
        <v>2173</v>
      </c>
    </row>
    <row r="1255" spans="1:15" ht="15.75" hidden="1" x14ac:dyDescent="0.25">
      <c r="A1255" t="str">
        <f t="shared" si="19"/>
        <v>other-Altro tipo di anomalia non elencato</v>
      </c>
      <c r="C1255" s="82" t="s">
        <v>2919</v>
      </c>
      <c r="D1255" s="82" t="s">
        <v>2920</v>
      </c>
      <c r="E1255" s="82" t="s">
        <v>2163</v>
      </c>
      <c r="F1255" s="82" t="s">
        <v>2919</v>
      </c>
      <c r="G1255" s="82" t="s">
        <v>1946</v>
      </c>
      <c r="H1255" s="82" t="s">
        <v>2165</v>
      </c>
      <c r="I1255" s="82" t="s">
        <v>24</v>
      </c>
      <c r="J1255" s="82" t="s">
        <v>2171</v>
      </c>
      <c r="K1255" s="82" t="s">
        <v>2167</v>
      </c>
      <c r="L1255" s="82" t="s">
        <v>1946</v>
      </c>
      <c r="M1255" s="82" t="s">
        <v>2090</v>
      </c>
      <c r="N1255" s="82" t="s">
        <v>1946</v>
      </c>
      <c r="O1255" s="82" t="s">
        <v>2173</v>
      </c>
    </row>
    <row r="1256" spans="1:15" ht="15.75" hidden="1" x14ac:dyDescent="0.25">
      <c r="A1256" t="str">
        <f t="shared" si="19"/>
        <v>patchyFog-Banchi di nebbia</v>
      </c>
      <c r="C1256" s="82" t="s">
        <v>2921</v>
      </c>
      <c r="D1256" s="82" t="s">
        <v>2922</v>
      </c>
      <c r="E1256" s="82" t="s">
        <v>2163</v>
      </c>
      <c r="F1256" s="82" t="s">
        <v>2921</v>
      </c>
      <c r="G1256" s="82" t="s">
        <v>1946</v>
      </c>
      <c r="H1256" s="82" t="s">
        <v>2165</v>
      </c>
      <c r="I1256" s="82" t="s">
        <v>24</v>
      </c>
      <c r="J1256" s="82" t="s">
        <v>2171</v>
      </c>
      <c r="K1256" s="82" t="s">
        <v>2167</v>
      </c>
      <c r="L1256" s="82" t="s">
        <v>1946</v>
      </c>
      <c r="M1256" s="82" t="s">
        <v>2090</v>
      </c>
      <c r="N1256" s="82" t="s">
        <v>1946</v>
      </c>
      <c r="O1256" s="82" t="s">
        <v>2173</v>
      </c>
    </row>
    <row r="1257" spans="1:15" ht="15.75" hidden="1" x14ac:dyDescent="0.25">
      <c r="A1257" t="str">
        <f t="shared" si="19"/>
        <v>peopleOnRoadway-Persone sulla strada</v>
      </c>
      <c r="C1257" s="82" t="s">
        <v>2923</v>
      </c>
      <c r="D1257" s="82" t="s">
        <v>2924</v>
      </c>
      <c r="E1257" s="82" t="s">
        <v>2163</v>
      </c>
      <c r="F1257" s="82" t="s">
        <v>2923</v>
      </c>
      <c r="G1257" s="82" t="s">
        <v>1946</v>
      </c>
      <c r="H1257" s="82" t="s">
        <v>2165</v>
      </c>
      <c r="I1257" s="82" t="s">
        <v>24</v>
      </c>
      <c r="J1257" s="82" t="s">
        <v>2171</v>
      </c>
      <c r="K1257" s="82" t="s">
        <v>2167</v>
      </c>
      <c r="L1257" s="82" t="s">
        <v>1946</v>
      </c>
      <c r="M1257" s="82" t="s">
        <v>2090</v>
      </c>
      <c r="N1257" s="82" t="s">
        <v>1946</v>
      </c>
      <c r="O1257" s="82" t="s">
        <v>2173</v>
      </c>
    </row>
    <row r="1258" spans="1:15" ht="15.75" hidden="1" x14ac:dyDescent="0.25">
      <c r="A1258" t="str">
        <f t="shared" si="19"/>
        <v>plantcode-Categoria Allarmi Impianti</v>
      </c>
      <c r="C1258" s="82" t="s">
        <v>2925</v>
      </c>
      <c r="D1258" s="82" t="s">
        <v>2925</v>
      </c>
      <c r="E1258" s="82" t="s">
        <v>2163</v>
      </c>
      <c r="F1258" s="82" t="s">
        <v>2926</v>
      </c>
      <c r="G1258" s="82" t="s">
        <v>1946</v>
      </c>
      <c r="H1258" s="82" t="s">
        <v>2165</v>
      </c>
      <c r="I1258" s="82" t="s">
        <v>24</v>
      </c>
      <c r="J1258" s="82" t="s">
        <v>2171</v>
      </c>
      <c r="K1258" s="82" t="s">
        <v>2167</v>
      </c>
      <c r="L1258" s="82" t="s">
        <v>1946</v>
      </c>
      <c r="M1258" s="82" t="s">
        <v>2090</v>
      </c>
      <c r="N1258" s="82" t="s">
        <v>1946</v>
      </c>
      <c r="O1258" s="82" t="s">
        <v>2173</v>
      </c>
    </row>
    <row r="1259" spans="1:15" ht="15.75" hidden="1" x14ac:dyDescent="0.25">
      <c r="A1259" t="str">
        <f t="shared" si="19"/>
        <v>prova-prova</v>
      </c>
      <c r="C1259" s="82" t="s">
        <v>2927</v>
      </c>
      <c r="D1259" s="82" t="s">
        <v>2927</v>
      </c>
      <c r="E1259" s="82" t="s">
        <v>2163</v>
      </c>
      <c r="F1259" s="82" t="s">
        <v>2927</v>
      </c>
      <c r="G1259" s="82" t="s">
        <v>2182</v>
      </c>
      <c r="H1259" s="82" t="s">
        <v>2165</v>
      </c>
      <c r="I1259" s="82" t="s">
        <v>45</v>
      </c>
      <c r="J1259" s="82" t="s">
        <v>2182</v>
      </c>
      <c r="K1259" s="82" t="s">
        <v>2173</v>
      </c>
      <c r="L1259" s="82" t="s">
        <v>2182</v>
      </c>
      <c r="M1259" s="82" t="s">
        <v>2928</v>
      </c>
      <c r="N1259" s="82" t="s">
        <v>1946</v>
      </c>
      <c r="O1259" s="82" t="s">
        <v>2167</v>
      </c>
    </row>
    <row r="1260" spans="1:15" ht="15.75" hidden="1" x14ac:dyDescent="0.25">
      <c r="A1260" t="str">
        <f t="shared" si="19"/>
        <v>queuingTraffic-Traffico in coda ma con ancora qualche movimento</v>
      </c>
      <c r="C1260" s="82" t="s">
        <v>2929</v>
      </c>
      <c r="D1260" s="82" t="s">
        <v>2930</v>
      </c>
      <c r="E1260" s="82" t="s">
        <v>2163</v>
      </c>
      <c r="F1260" s="82" t="s">
        <v>2929</v>
      </c>
      <c r="G1260" s="82" t="s">
        <v>1946</v>
      </c>
      <c r="H1260" s="82" t="s">
        <v>2165</v>
      </c>
      <c r="I1260" s="82" t="s">
        <v>24</v>
      </c>
      <c r="J1260" s="82" t="s">
        <v>2171</v>
      </c>
      <c r="K1260" s="82" t="s">
        <v>2167</v>
      </c>
      <c r="L1260" s="82" t="s">
        <v>1946</v>
      </c>
      <c r="M1260" s="82" t="s">
        <v>2090</v>
      </c>
      <c r="N1260" s="82" t="s">
        <v>1946</v>
      </c>
      <c r="O1260" s="82" t="s">
        <v>2173</v>
      </c>
    </row>
    <row r="1261" spans="1:15" ht="15.75" hidden="1" x14ac:dyDescent="0.25">
      <c r="A1261" t="str">
        <f t="shared" si="19"/>
        <v>rain-Pioggia con visibilità superiore a 50 metri</v>
      </c>
      <c r="C1261" s="82" t="s">
        <v>2931</v>
      </c>
      <c r="D1261" s="82" t="s">
        <v>2932</v>
      </c>
      <c r="E1261" s="82" t="s">
        <v>2163</v>
      </c>
      <c r="F1261" s="82" t="s">
        <v>2931</v>
      </c>
      <c r="G1261" s="82" t="s">
        <v>1946</v>
      </c>
      <c r="H1261" s="82" t="s">
        <v>2165</v>
      </c>
      <c r="I1261" s="82" t="s">
        <v>24</v>
      </c>
      <c r="J1261" s="82" t="s">
        <v>2171</v>
      </c>
      <c r="K1261" s="82" t="s">
        <v>2167</v>
      </c>
      <c r="L1261" s="82" t="s">
        <v>1946</v>
      </c>
      <c r="M1261" s="82" t="s">
        <v>2090</v>
      </c>
      <c r="N1261" s="82" t="s">
        <v>1946</v>
      </c>
      <c r="O1261" s="82" t="s">
        <v>2173</v>
      </c>
    </row>
    <row r="1262" spans="1:15" ht="15.75" hidden="1" x14ac:dyDescent="0.25">
      <c r="A1262" t="str">
        <f t="shared" si="19"/>
        <v>rescueAndRecoveryWork-Attività dei servizi di emergenza</v>
      </c>
      <c r="C1262" s="82" t="s">
        <v>2933</v>
      </c>
      <c r="D1262" s="82" t="s">
        <v>2934</v>
      </c>
      <c r="E1262" s="82" t="s">
        <v>2163</v>
      </c>
      <c r="F1262" s="82" t="s">
        <v>2933</v>
      </c>
      <c r="G1262" s="82" t="s">
        <v>1946</v>
      </c>
      <c r="H1262" s="82" t="s">
        <v>2165</v>
      </c>
      <c r="I1262" s="82" t="s">
        <v>24</v>
      </c>
      <c r="J1262" s="82" t="s">
        <v>2171</v>
      </c>
      <c r="K1262" s="82" t="s">
        <v>2167</v>
      </c>
      <c r="L1262" s="82" t="s">
        <v>1946</v>
      </c>
      <c r="M1262" s="82" t="s">
        <v>2090</v>
      </c>
      <c r="N1262" s="82" t="s">
        <v>1946</v>
      </c>
      <c r="O1262" s="82" t="s">
        <v>2173</v>
      </c>
    </row>
    <row r="1263" spans="1:15" ht="15.75" hidden="1" x14ac:dyDescent="0.25">
      <c r="A1263" t="str">
        <f t="shared" si="19"/>
        <v>shedLoad-Dispersioni di merci trasportate sulla carreggiata</v>
      </c>
      <c r="C1263" s="82" t="s">
        <v>2935</v>
      </c>
      <c r="D1263" s="82" t="s">
        <v>2936</v>
      </c>
      <c r="E1263" s="82" t="s">
        <v>2163</v>
      </c>
      <c r="F1263" s="82" t="s">
        <v>2935</v>
      </c>
      <c r="G1263" s="82" t="s">
        <v>1946</v>
      </c>
      <c r="H1263" s="82" t="s">
        <v>2165</v>
      </c>
      <c r="I1263" s="82" t="s">
        <v>24</v>
      </c>
      <c r="J1263" s="82" t="s">
        <v>2171</v>
      </c>
      <c r="K1263" s="82" t="s">
        <v>2167</v>
      </c>
      <c r="L1263" s="82" t="s">
        <v>1946</v>
      </c>
      <c r="M1263" s="82" t="s">
        <v>2090</v>
      </c>
      <c r="N1263" s="82" t="s">
        <v>1946</v>
      </c>
      <c r="O1263" s="82" t="s">
        <v>2173</v>
      </c>
    </row>
    <row r="1264" spans="1:15" ht="15.75" hidden="1" x14ac:dyDescent="0.25">
      <c r="A1264" t="str">
        <f t="shared" si="19"/>
        <v>sleet-Nevischio</v>
      </c>
      <c r="C1264" s="82" t="s">
        <v>2937</v>
      </c>
      <c r="D1264" s="82" t="s">
        <v>2938</v>
      </c>
      <c r="E1264" s="82" t="s">
        <v>2163</v>
      </c>
      <c r="F1264" s="82" t="s">
        <v>2937</v>
      </c>
      <c r="G1264" s="82" t="s">
        <v>1946</v>
      </c>
      <c r="H1264" s="82" t="s">
        <v>2165</v>
      </c>
      <c r="I1264" s="82" t="s">
        <v>24</v>
      </c>
      <c r="J1264" s="82" t="s">
        <v>2171</v>
      </c>
      <c r="K1264" s="82" t="s">
        <v>2167</v>
      </c>
      <c r="L1264" s="82" t="s">
        <v>1946</v>
      </c>
      <c r="M1264" s="82" t="s">
        <v>2090</v>
      </c>
      <c r="N1264" s="82" t="s">
        <v>1946</v>
      </c>
      <c r="O1264" s="82" t="s">
        <v>2173</v>
      </c>
    </row>
    <row r="1265" spans="1:15" ht="15.75" hidden="1" x14ac:dyDescent="0.25">
      <c r="A1265" t="str">
        <f t="shared" si="19"/>
        <v>slowTraffic-Traffico rallentato che non forma coda</v>
      </c>
      <c r="C1265" s="82" t="s">
        <v>2939</v>
      </c>
      <c r="D1265" s="82" t="s">
        <v>2940</v>
      </c>
      <c r="E1265" s="82" t="s">
        <v>2163</v>
      </c>
      <c r="F1265" s="82" t="s">
        <v>2939</v>
      </c>
      <c r="G1265" s="82" t="s">
        <v>1946</v>
      </c>
      <c r="H1265" s="82" t="s">
        <v>2165</v>
      </c>
      <c r="I1265" s="82" t="s">
        <v>24</v>
      </c>
      <c r="J1265" s="82" t="s">
        <v>2171</v>
      </c>
      <c r="K1265" s="82" t="s">
        <v>2167</v>
      </c>
      <c r="L1265" s="82" t="s">
        <v>1946</v>
      </c>
      <c r="M1265" s="82" t="s">
        <v>2090</v>
      </c>
      <c r="N1265" s="82" t="s">
        <v>1946</v>
      </c>
      <c r="O1265" s="82" t="s">
        <v>2173</v>
      </c>
    </row>
    <row r="1266" spans="1:15" ht="15.75" hidden="1" x14ac:dyDescent="0.25">
      <c r="A1266" t="str">
        <f t="shared" si="19"/>
        <v>slowVehicle-Veicolo che viaggia ad una velocità inferiore</v>
      </c>
      <c r="C1266" s="82" t="s">
        <v>2941</v>
      </c>
      <c r="D1266" s="82" t="s">
        <v>2942</v>
      </c>
      <c r="E1266" s="82" t="s">
        <v>2163</v>
      </c>
      <c r="F1266" s="82" t="s">
        <v>2941</v>
      </c>
      <c r="G1266" s="82" t="s">
        <v>1946</v>
      </c>
      <c r="H1266" s="82" t="s">
        <v>2165</v>
      </c>
      <c r="I1266" s="82" t="s">
        <v>24</v>
      </c>
      <c r="J1266" s="82" t="s">
        <v>2171</v>
      </c>
      <c r="K1266" s="82" t="s">
        <v>2167</v>
      </c>
      <c r="L1266" s="82" t="s">
        <v>1946</v>
      </c>
      <c r="M1266" s="82" t="s">
        <v>2090</v>
      </c>
      <c r="N1266" s="82" t="s">
        <v>1946</v>
      </c>
      <c r="O1266" s="82" t="s">
        <v>2173</v>
      </c>
    </row>
    <row r="1267" spans="1:15" ht="15.75" hidden="1" x14ac:dyDescent="0.25">
      <c r="A1267" t="str">
        <f t="shared" si="19"/>
        <v>smokeHazard-Fumo sparso sulla carreggiata visibilità notevolmente ridotta</v>
      </c>
      <c r="C1267" s="82" t="s">
        <v>2943</v>
      </c>
      <c r="D1267" s="82" t="s">
        <v>2944</v>
      </c>
      <c r="E1267" s="82" t="s">
        <v>2163</v>
      </c>
      <c r="F1267" s="82" t="s">
        <v>2943</v>
      </c>
      <c r="G1267" s="82" t="s">
        <v>1946</v>
      </c>
      <c r="H1267" s="82" t="s">
        <v>2165</v>
      </c>
      <c r="I1267" s="82" t="s">
        <v>24</v>
      </c>
      <c r="J1267" s="82" t="s">
        <v>2171</v>
      </c>
      <c r="K1267" s="82" t="s">
        <v>2167</v>
      </c>
      <c r="L1267" s="82" t="s">
        <v>1946</v>
      </c>
      <c r="M1267" s="82" t="s">
        <v>2090</v>
      </c>
      <c r="N1267" s="82" t="s">
        <v>1946</v>
      </c>
      <c r="O1267" s="82" t="s">
        <v>2173</v>
      </c>
    </row>
    <row r="1268" spans="1:15" ht="15.75" hidden="1" x14ac:dyDescent="0.25">
      <c r="A1268" t="str">
        <f t="shared" si="19"/>
        <v>snowfall-Nevicata con una visibilità superiore a 50m</v>
      </c>
      <c r="C1268" s="82" t="s">
        <v>2945</v>
      </c>
      <c r="D1268" s="82" t="s">
        <v>2946</v>
      </c>
      <c r="E1268" s="82" t="s">
        <v>2163</v>
      </c>
      <c r="F1268" s="82" t="s">
        <v>2945</v>
      </c>
      <c r="G1268" s="82" t="s">
        <v>1946</v>
      </c>
      <c r="H1268" s="82" t="s">
        <v>2165</v>
      </c>
      <c r="I1268" s="82" t="s">
        <v>24</v>
      </c>
      <c r="J1268" s="82" t="s">
        <v>2171</v>
      </c>
      <c r="K1268" s="82" t="s">
        <v>2167</v>
      </c>
      <c r="L1268" s="82" t="s">
        <v>1946</v>
      </c>
      <c r="M1268" s="82" t="s">
        <v>2090</v>
      </c>
      <c r="N1268" s="82" t="s">
        <v>1946</v>
      </c>
      <c r="O1268" s="82" t="s">
        <v>2173</v>
      </c>
    </row>
    <row r="1269" spans="1:15" ht="15.75" hidden="1" x14ac:dyDescent="0.25">
      <c r="A1269" t="str">
        <f t="shared" si="19"/>
        <v>spillageOnTheRoad-Oggetti sulla carreggiata a causa di un incidente precedente</v>
      </c>
      <c r="C1269" s="82" t="s">
        <v>2947</v>
      </c>
      <c r="D1269" s="82" t="s">
        <v>2948</v>
      </c>
      <c r="E1269" s="82" t="s">
        <v>2163</v>
      </c>
      <c r="F1269" s="82" t="s">
        <v>2947</v>
      </c>
      <c r="G1269" s="82" t="s">
        <v>1946</v>
      </c>
      <c r="H1269" s="82" t="s">
        <v>2165</v>
      </c>
      <c r="I1269" s="82" t="s">
        <v>24</v>
      </c>
      <c r="J1269" s="82" t="s">
        <v>2171</v>
      </c>
      <c r="K1269" s="82" t="s">
        <v>2167</v>
      </c>
      <c r="L1269" s="82" t="s">
        <v>1946</v>
      </c>
      <c r="M1269" s="82" t="s">
        <v>2090</v>
      </c>
      <c r="N1269" s="82" t="s">
        <v>1946</v>
      </c>
      <c r="O1269" s="82" t="s">
        <v>2173</v>
      </c>
    </row>
    <row r="1270" spans="1:15" ht="15.75" hidden="1" x14ac:dyDescent="0.25">
      <c r="A1270" t="str">
        <f t="shared" si="19"/>
        <v>stationaryTraffic-Traffico fermo o quasi fermo</v>
      </c>
      <c r="C1270" s="82" t="s">
        <v>2949</v>
      </c>
      <c r="D1270" s="82" t="s">
        <v>2950</v>
      </c>
      <c r="E1270" s="82" t="s">
        <v>2163</v>
      </c>
      <c r="F1270" s="82" t="s">
        <v>2949</v>
      </c>
      <c r="G1270" s="82" t="s">
        <v>1946</v>
      </c>
      <c r="H1270" s="82" t="s">
        <v>2165</v>
      </c>
      <c r="I1270" s="82" t="s">
        <v>24</v>
      </c>
      <c r="J1270" s="82" t="s">
        <v>2171</v>
      </c>
      <c r="K1270" s="82" t="s">
        <v>2167</v>
      </c>
      <c r="L1270" s="82" t="s">
        <v>1946</v>
      </c>
      <c r="M1270" s="82" t="s">
        <v>2090</v>
      </c>
      <c r="N1270" s="82" t="s">
        <v>1946</v>
      </c>
      <c r="O1270" s="82" t="s">
        <v>2173</v>
      </c>
    </row>
    <row r="1271" spans="1:15" ht="15.75" hidden="1" x14ac:dyDescent="0.25">
      <c r="A1271" t="str">
        <f t="shared" si="19"/>
        <v>strongWinds-Venti tra i 40 km/h e 60 km/h</v>
      </c>
      <c r="C1271" s="82" t="s">
        <v>2951</v>
      </c>
      <c r="D1271" s="82" t="s">
        <v>2952</v>
      </c>
      <c r="E1271" s="82" t="s">
        <v>2163</v>
      </c>
      <c r="F1271" s="82" t="s">
        <v>2951</v>
      </c>
      <c r="G1271" s="82" t="s">
        <v>1946</v>
      </c>
      <c r="H1271" s="82" t="s">
        <v>2165</v>
      </c>
      <c r="I1271" s="82" t="s">
        <v>24</v>
      </c>
      <c r="J1271" s="82" t="s">
        <v>2171</v>
      </c>
      <c r="K1271" s="82" t="s">
        <v>2167</v>
      </c>
      <c r="L1271" s="82" t="s">
        <v>1946</v>
      </c>
      <c r="M1271" s="82" t="s">
        <v>2090</v>
      </c>
      <c r="N1271" s="82" t="s">
        <v>1946</v>
      </c>
      <c r="O1271" s="82" t="s">
        <v>2173</v>
      </c>
    </row>
    <row r="1272" spans="1:15" ht="15.75" hidden="1" x14ac:dyDescent="0.25">
      <c r="A1272" t="str">
        <f t="shared" si="19"/>
        <v>tasiacode-Categoria Allarmi Tasia</v>
      </c>
      <c r="C1272" s="82" t="s">
        <v>2953</v>
      </c>
      <c r="D1272" s="82" t="s">
        <v>2953</v>
      </c>
      <c r="E1272" s="82" t="s">
        <v>2163</v>
      </c>
      <c r="F1272" s="82" t="s">
        <v>2954</v>
      </c>
      <c r="G1272" s="82" t="s">
        <v>1946</v>
      </c>
      <c r="H1272" s="82" t="s">
        <v>2165</v>
      </c>
      <c r="I1272" s="82" t="s">
        <v>24</v>
      </c>
      <c r="J1272" s="82" t="s">
        <v>2171</v>
      </c>
      <c r="K1272" s="82" t="s">
        <v>2167</v>
      </c>
      <c r="L1272" s="82" t="s">
        <v>1946</v>
      </c>
      <c r="M1272" s="82" t="s">
        <v>2090</v>
      </c>
      <c r="N1272" s="82" t="s">
        <v>1946</v>
      </c>
      <c r="O1272" s="82" t="s">
        <v>2173</v>
      </c>
    </row>
    <row r="1273" spans="1:15" ht="15.75" hidden="1" x14ac:dyDescent="0.25">
      <c r="A1273" t="str">
        <f t="shared" si="19"/>
        <v>test-tttt</v>
      </c>
      <c r="C1273" s="82" t="s">
        <v>2955</v>
      </c>
      <c r="D1273" s="82" t="s">
        <v>2956</v>
      </c>
      <c r="E1273" s="82" t="s">
        <v>2163</v>
      </c>
      <c r="F1273" s="82" t="s">
        <v>2955</v>
      </c>
      <c r="G1273" s="82" t="s">
        <v>2182</v>
      </c>
      <c r="H1273" s="82" t="s">
        <v>2165</v>
      </c>
      <c r="I1273" s="82" t="s">
        <v>24</v>
      </c>
      <c r="J1273" s="82" t="s">
        <v>2182</v>
      </c>
      <c r="K1273" s="82" t="s">
        <v>2167</v>
      </c>
      <c r="L1273" s="82" t="s">
        <v>1946</v>
      </c>
      <c r="M1273" s="82" t="s">
        <v>2928</v>
      </c>
      <c r="N1273" s="82" t="s">
        <v>1946</v>
      </c>
      <c r="O1273" s="82" t="s">
        <v>2167</v>
      </c>
    </row>
    <row r="1274" spans="1:15" ht="15.75" hidden="1" x14ac:dyDescent="0.25">
      <c r="A1274" t="str">
        <f t="shared" si="19"/>
        <v>test15-test15</v>
      </c>
      <c r="C1274" s="82" t="s">
        <v>2957</v>
      </c>
      <c r="D1274" s="82" t="s">
        <v>2957</v>
      </c>
      <c r="E1274" s="82" t="s">
        <v>2163</v>
      </c>
      <c r="F1274" s="82" t="s">
        <v>2957</v>
      </c>
      <c r="G1274" s="82" t="s">
        <v>280</v>
      </c>
      <c r="H1274" s="82" t="s">
        <v>2165</v>
      </c>
      <c r="I1274" s="82" t="s">
        <v>45</v>
      </c>
      <c r="J1274" s="82" t="s">
        <v>2182</v>
      </c>
      <c r="K1274" s="82" t="s">
        <v>2167</v>
      </c>
      <c r="L1274" s="82" t="s">
        <v>1946</v>
      </c>
      <c r="M1274" s="82" t="s">
        <v>2928</v>
      </c>
      <c r="N1274" s="82" t="s">
        <v>1946</v>
      </c>
      <c r="O1274" s="82" t="s">
        <v>2167</v>
      </c>
    </row>
    <row r="1275" spans="1:15" ht="15.75" hidden="1" x14ac:dyDescent="0.25">
      <c r="A1275" t="str">
        <f t="shared" si="19"/>
        <v>test21-test21</v>
      </c>
      <c r="C1275" s="82" t="s">
        <v>2958</v>
      </c>
      <c r="D1275" s="82" t="s">
        <v>2958</v>
      </c>
      <c r="E1275" s="82" t="s">
        <v>2163</v>
      </c>
      <c r="F1275" s="82" t="s">
        <v>2958</v>
      </c>
      <c r="G1275" s="82" t="s">
        <v>2959</v>
      </c>
      <c r="H1275" s="82" t="s">
        <v>2165</v>
      </c>
      <c r="I1275" s="82" t="s">
        <v>157</v>
      </c>
      <c r="J1275" s="82" t="s">
        <v>2182</v>
      </c>
      <c r="K1275" s="82" t="s">
        <v>2167</v>
      </c>
      <c r="L1275" s="82" t="s">
        <v>1946</v>
      </c>
      <c r="M1275" s="82" t="s">
        <v>2960</v>
      </c>
      <c r="N1275" s="82" t="s">
        <v>1946</v>
      </c>
      <c r="O1275" s="82" t="s">
        <v>2167</v>
      </c>
    </row>
    <row r="1276" spans="1:15" ht="15.75" hidden="1" x14ac:dyDescent="0.25">
      <c r="A1276" t="str">
        <f t="shared" si="19"/>
        <v>thunderstorms-Temporale con pioggia forte</v>
      </c>
      <c r="C1276" s="82" t="s">
        <v>2961</v>
      </c>
      <c r="D1276" s="82" t="s">
        <v>2962</v>
      </c>
      <c r="E1276" s="82" t="s">
        <v>2163</v>
      </c>
      <c r="F1276" s="82" t="s">
        <v>2961</v>
      </c>
      <c r="G1276" s="82" t="s">
        <v>1946</v>
      </c>
      <c r="H1276" s="82" t="s">
        <v>2165</v>
      </c>
      <c r="I1276" s="82" t="s">
        <v>24</v>
      </c>
      <c r="J1276" s="82" t="s">
        <v>2171</v>
      </c>
      <c r="K1276" s="82" t="s">
        <v>2167</v>
      </c>
      <c r="L1276" s="82" t="s">
        <v>1946</v>
      </c>
      <c r="M1276" s="82" t="s">
        <v>2090</v>
      </c>
      <c r="N1276" s="82" t="s">
        <v>1946</v>
      </c>
      <c r="O1276" s="82" t="s">
        <v>2173</v>
      </c>
    </row>
    <row r="1277" spans="1:15" ht="15.75" hidden="1" x14ac:dyDescent="0.25">
      <c r="A1277" t="str">
        <f t="shared" si="19"/>
        <v>trafficFlowNormal-Traffico normale</v>
      </c>
      <c r="C1277" s="82" t="s">
        <v>2963</v>
      </c>
      <c r="D1277" s="82" t="s">
        <v>2964</v>
      </c>
      <c r="E1277" s="82" t="s">
        <v>2163</v>
      </c>
      <c r="F1277" s="82" t="s">
        <v>2965</v>
      </c>
      <c r="G1277" s="82" t="s">
        <v>1946</v>
      </c>
      <c r="H1277" s="82" t="s">
        <v>2165</v>
      </c>
      <c r="I1277" s="82" t="s">
        <v>24</v>
      </c>
      <c r="J1277" s="82" t="s">
        <v>2171</v>
      </c>
      <c r="K1277" s="82" t="s">
        <v>2167</v>
      </c>
      <c r="L1277" s="82" t="s">
        <v>1946</v>
      </c>
      <c r="M1277" s="82" t="s">
        <v>2090</v>
      </c>
      <c r="N1277" s="82" t="s">
        <v>1946</v>
      </c>
      <c r="O1277" s="82" t="s">
        <v>2173</v>
      </c>
    </row>
    <row r="1278" spans="1:15" ht="15.75" hidden="1" x14ac:dyDescent="0.25">
      <c r="A1278" t="str">
        <f t="shared" si="19"/>
        <v>trafficHeavierThanNormal-Alta densita' di traffico</v>
      </c>
      <c r="C1278" s="82" t="s">
        <v>2966</v>
      </c>
      <c r="D1278" s="82" t="s">
        <v>2967</v>
      </c>
      <c r="E1278" s="82" t="s">
        <v>2163</v>
      </c>
      <c r="F1278" s="82" t="s">
        <v>2968</v>
      </c>
      <c r="G1278" s="82" t="s">
        <v>1946</v>
      </c>
      <c r="H1278" s="82" t="s">
        <v>2165</v>
      </c>
      <c r="I1278" s="82" t="s">
        <v>24</v>
      </c>
      <c r="J1278" s="82" t="s">
        <v>2171</v>
      </c>
      <c r="K1278" s="82" t="s">
        <v>2167</v>
      </c>
      <c r="L1278" s="82" t="s">
        <v>1946</v>
      </c>
      <c r="M1278" s="82" t="s">
        <v>2090</v>
      </c>
      <c r="N1278" s="82" t="s">
        <v>1946</v>
      </c>
      <c r="O1278" s="82" t="s">
        <v>2173</v>
      </c>
    </row>
    <row r="1279" spans="1:15" ht="15.75" hidden="1" x14ac:dyDescent="0.25">
      <c r="A1279" t="str">
        <f t="shared" si="19"/>
        <v>trafficLighterThanNormal-Traffico lievemente superiore alla norma</v>
      </c>
      <c r="C1279" s="82" t="s">
        <v>2969</v>
      </c>
      <c r="D1279" s="82" t="s">
        <v>2970</v>
      </c>
      <c r="E1279" s="82" t="s">
        <v>2163</v>
      </c>
      <c r="F1279" s="82" t="s">
        <v>2971</v>
      </c>
      <c r="G1279" s="82" t="s">
        <v>1946</v>
      </c>
      <c r="H1279" s="82" t="s">
        <v>2165</v>
      </c>
      <c r="I1279" s="82" t="s">
        <v>24</v>
      </c>
      <c r="J1279" s="82" t="s">
        <v>2171</v>
      </c>
      <c r="K1279" s="82" t="s">
        <v>2167</v>
      </c>
      <c r="L1279" s="82" t="s">
        <v>1946</v>
      </c>
      <c r="M1279" s="82" t="s">
        <v>2090</v>
      </c>
      <c r="N1279" s="82" t="s">
        <v>1946</v>
      </c>
      <c r="O1279" s="82" t="s">
        <v>2173</v>
      </c>
    </row>
    <row r="1280" spans="1:15" ht="15.75" hidden="1" x14ac:dyDescent="0.25">
      <c r="A1280" t="str">
        <f t="shared" si="19"/>
        <v>trafficVeryMuchHeavierThanNormal-Altissima densita' di traffico</v>
      </c>
      <c r="C1280" s="82" t="s">
        <v>2972</v>
      </c>
      <c r="D1280" s="82" t="s">
        <v>2973</v>
      </c>
      <c r="E1280" s="82" t="s">
        <v>2163</v>
      </c>
      <c r="F1280" s="82" t="s">
        <v>2974</v>
      </c>
      <c r="G1280" s="82" t="s">
        <v>1946</v>
      </c>
      <c r="H1280" s="82" t="s">
        <v>2165</v>
      </c>
      <c r="I1280" s="82" t="s">
        <v>24</v>
      </c>
      <c r="J1280" s="82" t="s">
        <v>2171</v>
      </c>
      <c r="K1280" s="82" t="s">
        <v>2167</v>
      </c>
      <c r="L1280" s="82" t="s">
        <v>1946</v>
      </c>
      <c r="M1280" s="82" t="s">
        <v>2090</v>
      </c>
      <c r="N1280" s="82" t="s">
        <v>1946</v>
      </c>
      <c r="O1280" s="82" t="s">
        <v>2173</v>
      </c>
    </row>
    <row r="1281" spans="1:15" ht="15.75" hidden="1" x14ac:dyDescent="0.25">
      <c r="A1281" t="str">
        <f t="shared" si="19"/>
        <v>trafficVeryMuchLighterThanNormal-Traffico sensibilmente superiore alla norma</v>
      </c>
      <c r="C1281" s="82" t="s">
        <v>2975</v>
      </c>
      <c r="D1281" s="82" t="s">
        <v>2976</v>
      </c>
      <c r="E1281" s="82" t="s">
        <v>2163</v>
      </c>
      <c r="F1281" s="82" t="s">
        <v>2977</v>
      </c>
      <c r="G1281" s="82" t="s">
        <v>1946</v>
      </c>
      <c r="H1281" s="82" t="s">
        <v>2165</v>
      </c>
      <c r="I1281" s="82" t="s">
        <v>24</v>
      </c>
      <c r="J1281" s="82" t="s">
        <v>2171</v>
      </c>
      <c r="K1281" s="82" t="s">
        <v>2167</v>
      </c>
      <c r="L1281" s="82" t="s">
        <v>1946</v>
      </c>
      <c r="M1281" s="82" t="s">
        <v>2090</v>
      </c>
      <c r="N1281" s="82" t="s">
        <v>1946</v>
      </c>
      <c r="O1281" s="82" t="s">
        <v>2173</v>
      </c>
    </row>
    <row r="1282" spans="1:15" ht="15.75" hidden="1" x14ac:dyDescent="0.25">
      <c r="A1282" t="str">
        <f t="shared" si="19"/>
        <v>undefined-Allarme non categorizzato</v>
      </c>
      <c r="C1282" s="82" t="s">
        <v>2978</v>
      </c>
      <c r="D1282" s="82" t="s">
        <v>2979</v>
      </c>
      <c r="E1282" s="82" t="s">
        <v>2163</v>
      </c>
      <c r="F1282" s="82" t="s">
        <v>2980</v>
      </c>
      <c r="G1282" s="82" t="s">
        <v>1946</v>
      </c>
      <c r="H1282" s="82" t="s">
        <v>2165</v>
      </c>
      <c r="I1282" s="82" t="s">
        <v>24</v>
      </c>
      <c r="J1282" s="82" t="s">
        <v>2171</v>
      </c>
      <c r="K1282" s="82" t="s">
        <v>2167</v>
      </c>
      <c r="L1282" s="82" t="s">
        <v>1946</v>
      </c>
      <c r="M1282" s="82" t="s">
        <v>2090</v>
      </c>
      <c r="N1282" s="82" t="s">
        <v>1946</v>
      </c>
      <c r="O1282" s="82" t="s">
        <v>2173</v>
      </c>
    </row>
    <row r="1283" spans="1:15" ht="15.75" hidden="1" x14ac:dyDescent="0.25">
      <c r="A1283" t="str">
        <f t="shared" ref="A1283:A1285" si="20">CONCATENATE(F1283,"-",D1283)</f>
        <v>vehicleOnFire-Veicolo che è o è stato in fiamme</v>
      </c>
      <c r="C1283" s="82" t="s">
        <v>2981</v>
      </c>
      <c r="D1283" s="82" t="s">
        <v>2982</v>
      </c>
      <c r="E1283" s="82" t="s">
        <v>2163</v>
      </c>
      <c r="F1283" s="82" t="s">
        <v>2981</v>
      </c>
      <c r="G1283" s="82" t="s">
        <v>1946</v>
      </c>
      <c r="H1283" s="82" t="s">
        <v>2165</v>
      </c>
      <c r="I1283" s="82" t="s">
        <v>24</v>
      </c>
      <c r="J1283" s="82" t="s">
        <v>2171</v>
      </c>
      <c r="K1283" s="82" t="s">
        <v>2167</v>
      </c>
      <c r="L1283" s="82" t="s">
        <v>1946</v>
      </c>
      <c r="M1283" s="82" t="s">
        <v>2090</v>
      </c>
      <c r="N1283" s="82" t="s">
        <v>1946</v>
      </c>
      <c r="O1283" s="82" t="s">
        <v>2173</v>
      </c>
    </row>
    <row r="1284" spans="1:15" ht="15.75" hidden="1" x14ac:dyDescent="0.25">
      <c r="A1284" t="str">
        <f t="shared" si="20"/>
        <v>vehicleOnWrongCarriageway-Veicolo contromano</v>
      </c>
      <c r="C1284" s="82" t="s">
        <v>2983</v>
      </c>
      <c r="D1284" s="82" t="s">
        <v>2984</v>
      </c>
      <c r="E1284" s="82" t="s">
        <v>2163</v>
      </c>
      <c r="F1284" s="82" t="s">
        <v>2983</v>
      </c>
      <c r="G1284" s="82" t="s">
        <v>1946</v>
      </c>
      <c r="H1284" s="82" t="s">
        <v>2165</v>
      </c>
      <c r="I1284" s="82" t="s">
        <v>24</v>
      </c>
      <c r="J1284" s="82" t="s">
        <v>2171</v>
      </c>
      <c r="K1284" s="82" t="s">
        <v>2167</v>
      </c>
      <c r="L1284" s="82" t="s">
        <v>1946</v>
      </c>
      <c r="M1284" s="82" t="s">
        <v>2090</v>
      </c>
      <c r="N1284" s="82" t="s">
        <v>1946</v>
      </c>
      <c r="O1284" s="82" t="s">
        <v>2173</v>
      </c>
    </row>
    <row r="1285" spans="1:15" ht="15.75" hidden="1" x14ac:dyDescent="0.25">
      <c r="A1285" t="str">
        <f t="shared" si="20"/>
        <v>vehicleStuck-Veicolo fermo a causa di condizioni ambientali</v>
      </c>
      <c r="C1285" s="82" t="s">
        <v>2985</v>
      </c>
      <c r="D1285" s="82" t="s">
        <v>2986</v>
      </c>
      <c r="E1285" s="82" t="s">
        <v>2163</v>
      </c>
      <c r="F1285" s="82" t="s">
        <v>2985</v>
      </c>
      <c r="G1285" s="82" t="s">
        <v>1946</v>
      </c>
      <c r="H1285" s="82" t="s">
        <v>2165</v>
      </c>
      <c r="I1285" s="82" t="s">
        <v>24</v>
      </c>
      <c r="J1285" s="82" t="s">
        <v>2171</v>
      </c>
      <c r="K1285" s="82" t="s">
        <v>2167</v>
      </c>
      <c r="L1285" s="82" t="s">
        <v>1946</v>
      </c>
      <c r="M1285" s="82" t="s">
        <v>2090</v>
      </c>
      <c r="N1285" s="82" t="s">
        <v>1946</v>
      </c>
      <c r="O1285" s="82" t="s">
        <v>2173</v>
      </c>
    </row>
  </sheetData>
  <autoFilter ref="A1:O1285" xr:uid="{4027C4D1-16FE-4FFD-B025-DB136A363AFB}">
    <filterColumn colId="5">
      <filters>
        <filter val="ALR_DISPOSITIVO_BLOCCATO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568B-9FF0-4FBF-A976-24EAC75CF666}">
  <sheetPr>
    <tabColor theme="1"/>
  </sheetPr>
  <dimension ref="A2:G48"/>
  <sheetViews>
    <sheetView showGridLines="0" workbookViewId="0"/>
  </sheetViews>
  <sheetFormatPr defaultRowHeight="15" x14ac:dyDescent="0.25"/>
  <cols>
    <col min="1" max="1" width="39.5703125" bestFit="1" customWidth="1"/>
    <col min="2" max="2" width="13.7109375" bestFit="1" customWidth="1"/>
    <col min="3" max="3" width="25.5703125" bestFit="1" customWidth="1"/>
    <col min="4" max="4" width="15.28515625" bestFit="1" customWidth="1"/>
    <col min="5" max="5" width="20.28515625" bestFit="1" customWidth="1"/>
    <col min="6" max="6" width="18.5703125" bestFit="1" customWidth="1"/>
    <col min="7" max="7" width="19.7109375" bestFit="1" customWidth="1"/>
  </cols>
  <sheetData>
    <row r="2" spans="1:7" ht="48" thickBot="1" x14ac:dyDescent="0.3">
      <c r="A2" s="4" t="s">
        <v>1990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7" x14ac:dyDescent="0.25">
      <c r="A3" s="7" t="s">
        <v>70</v>
      </c>
      <c r="B3" s="19" t="s">
        <v>31</v>
      </c>
      <c r="C3" s="1" t="s">
        <v>32</v>
      </c>
      <c r="D3" s="19">
        <v>1</v>
      </c>
      <c r="E3" s="19" t="s">
        <v>45</v>
      </c>
      <c r="F3" s="19" t="s">
        <v>46</v>
      </c>
      <c r="G3" s="19" t="s">
        <v>31</v>
      </c>
    </row>
    <row r="4" spans="1:7" x14ac:dyDescent="0.25">
      <c r="A4" s="9" t="s">
        <v>298</v>
      </c>
      <c r="B4" s="19" t="s">
        <v>21</v>
      </c>
      <c r="C4" s="1" t="s">
        <v>22</v>
      </c>
      <c r="D4" s="19">
        <v>2</v>
      </c>
      <c r="E4" s="19" t="s">
        <v>33</v>
      </c>
      <c r="F4" s="19" t="s">
        <v>34</v>
      </c>
      <c r="G4" s="19" t="s">
        <v>21</v>
      </c>
    </row>
    <row r="5" spans="1:7" x14ac:dyDescent="0.25">
      <c r="A5" s="9" t="s">
        <v>271</v>
      </c>
      <c r="B5" s="20"/>
      <c r="C5" s="20"/>
      <c r="D5" s="19">
        <v>3</v>
      </c>
      <c r="E5" s="19" t="s">
        <v>157</v>
      </c>
      <c r="F5" s="19" t="s">
        <v>158</v>
      </c>
      <c r="G5" s="20"/>
    </row>
    <row r="6" spans="1:7" x14ac:dyDescent="0.25">
      <c r="A6" s="9" t="s">
        <v>576</v>
      </c>
      <c r="B6" s="20"/>
      <c r="C6" s="20"/>
      <c r="D6" s="19">
        <v>4</v>
      </c>
      <c r="E6" s="19" t="s">
        <v>24</v>
      </c>
      <c r="F6" s="19" t="s">
        <v>25</v>
      </c>
      <c r="G6" s="20"/>
    </row>
    <row r="7" spans="1:7" x14ac:dyDescent="0.25">
      <c r="A7" s="9" t="s">
        <v>468</v>
      </c>
      <c r="B7" s="20"/>
      <c r="C7" s="20"/>
      <c r="D7" s="19">
        <v>5</v>
      </c>
      <c r="E7" s="20"/>
      <c r="F7" s="20"/>
      <c r="G7" s="20"/>
    </row>
    <row r="8" spans="1:7" x14ac:dyDescent="0.25">
      <c r="A8" s="9" t="s">
        <v>968</v>
      </c>
      <c r="B8" s="20"/>
      <c r="C8" s="20"/>
      <c r="D8" s="19" t="s">
        <v>23</v>
      </c>
      <c r="E8" s="20"/>
      <c r="F8" s="20"/>
      <c r="G8" s="20"/>
    </row>
    <row r="9" spans="1:7" x14ac:dyDescent="0.25">
      <c r="A9" s="9" t="s">
        <v>431</v>
      </c>
    </row>
    <row r="10" spans="1:7" x14ac:dyDescent="0.25">
      <c r="A10" s="9" t="s">
        <v>807</v>
      </c>
    </row>
    <row r="11" spans="1:7" x14ac:dyDescent="0.25">
      <c r="A11" s="9" t="s">
        <v>249</v>
      </c>
    </row>
    <row r="12" spans="1:7" x14ac:dyDescent="0.25">
      <c r="A12" s="9" t="s">
        <v>836</v>
      </c>
    </row>
    <row r="13" spans="1:7" x14ac:dyDescent="0.25">
      <c r="A13" s="9" t="s">
        <v>369</v>
      </c>
    </row>
    <row r="14" spans="1:7" x14ac:dyDescent="0.25">
      <c r="A14" s="9" t="s">
        <v>847</v>
      </c>
    </row>
    <row r="15" spans="1:7" x14ac:dyDescent="0.25">
      <c r="A15" s="9" t="s">
        <v>1109</v>
      </c>
    </row>
    <row r="16" spans="1:7" x14ac:dyDescent="0.25">
      <c r="A16" s="9" t="s">
        <v>40</v>
      </c>
    </row>
    <row r="17" spans="1:1" x14ac:dyDescent="0.25">
      <c r="A17" s="9" t="s">
        <v>213</v>
      </c>
    </row>
    <row r="18" spans="1:1" x14ac:dyDescent="0.25">
      <c r="A18" s="9" t="s">
        <v>454</v>
      </c>
    </row>
    <row r="19" spans="1:1" x14ac:dyDescent="0.25">
      <c r="A19" s="9" t="s">
        <v>1002</v>
      </c>
    </row>
    <row r="20" spans="1:1" x14ac:dyDescent="0.25">
      <c r="A20" s="9" t="s">
        <v>528</v>
      </c>
    </row>
    <row r="21" spans="1:1" x14ac:dyDescent="0.25">
      <c r="A21" s="9" t="s">
        <v>471</v>
      </c>
    </row>
    <row r="22" spans="1:1" x14ac:dyDescent="0.25">
      <c r="A22" s="9" t="s">
        <v>47</v>
      </c>
    </row>
    <row r="23" spans="1:1" x14ac:dyDescent="0.25">
      <c r="A23" s="9" t="s">
        <v>822</v>
      </c>
    </row>
    <row r="24" spans="1:1" x14ac:dyDescent="0.25">
      <c r="A24" s="9" t="s">
        <v>26</v>
      </c>
    </row>
    <row r="25" spans="1:1" x14ac:dyDescent="0.25">
      <c r="A25" s="9" t="s">
        <v>878</v>
      </c>
    </row>
    <row r="26" spans="1:1" x14ac:dyDescent="0.25">
      <c r="A26" s="9" t="s">
        <v>1017</v>
      </c>
    </row>
    <row r="27" spans="1:1" x14ac:dyDescent="0.25">
      <c r="A27" s="9" t="s">
        <v>988</v>
      </c>
    </row>
    <row r="28" spans="1:1" x14ac:dyDescent="0.25">
      <c r="A28" s="9" t="s">
        <v>983</v>
      </c>
    </row>
    <row r="29" spans="1:1" x14ac:dyDescent="0.25">
      <c r="A29" s="9" t="s">
        <v>979</v>
      </c>
    </row>
    <row r="30" spans="1:1" x14ac:dyDescent="0.25">
      <c r="A30" s="9" t="s">
        <v>962</v>
      </c>
    </row>
    <row r="31" spans="1:1" ht="15.75" thickBot="1" x14ac:dyDescent="0.3">
      <c r="A31" s="11" t="s">
        <v>280</v>
      </c>
    </row>
    <row r="32" spans="1:1" x14ac:dyDescent="0.25">
      <c r="A32" s="13" t="s">
        <v>954</v>
      </c>
    </row>
    <row r="33" spans="1:1" x14ac:dyDescent="0.25">
      <c r="A33" s="14" t="s">
        <v>35</v>
      </c>
    </row>
    <row r="34" spans="1:1" x14ac:dyDescent="0.25">
      <c r="A34" s="14" t="s">
        <v>863</v>
      </c>
    </row>
    <row r="35" spans="1:1" x14ac:dyDescent="0.25">
      <c r="A35" s="14" t="s">
        <v>382</v>
      </c>
    </row>
    <row r="36" spans="1:1" x14ac:dyDescent="0.25">
      <c r="A36" s="14" t="s">
        <v>109</v>
      </c>
    </row>
    <row r="37" spans="1:1" x14ac:dyDescent="0.25">
      <c r="A37" s="14" t="s">
        <v>991</v>
      </c>
    </row>
    <row r="38" spans="1:1" x14ac:dyDescent="0.25">
      <c r="A38" s="14" t="s">
        <v>1541</v>
      </c>
    </row>
    <row r="39" spans="1:1" x14ac:dyDescent="0.25">
      <c r="A39" s="14" t="s">
        <v>115</v>
      </c>
    </row>
    <row r="40" spans="1:1" x14ac:dyDescent="0.25">
      <c r="A40" s="14" t="s">
        <v>53</v>
      </c>
    </row>
    <row r="41" spans="1:1" x14ac:dyDescent="0.25">
      <c r="A41" s="14" t="s">
        <v>1108</v>
      </c>
    </row>
    <row r="42" spans="1:1" x14ac:dyDescent="0.25">
      <c r="A42" s="14" t="s">
        <v>16</v>
      </c>
    </row>
    <row r="43" spans="1:1" x14ac:dyDescent="0.25">
      <c r="A43" s="14" t="s">
        <v>105</v>
      </c>
    </row>
    <row r="44" spans="1:1" x14ac:dyDescent="0.25">
      <c r="A44" s="14" t="s">
        <v>89</v>
      </c>
    </row>
    <row r="45" spans="1:1" x14ac:dyDescent="0.25">
      <c r="A45" s="14" t="s">
        <v>1088</v>
      </c>
    </row>
    <row r="46" spans="1:1" x14ac:dyDescent="0.25">
      <c r="A46" s="14" t="s">
        <v>1201</v>
      </c>
    </row>
    <row r="47" spans="1:1" x14ac:dyDescent="0.25">
      <c r="A47" s="14" t="s">
        <v>85</v>
      </c>
    </row>
    <row r="48" spans="1:1" ht="15.75" thickBot="1" x14ac:dyDescent="0.3">
      <c r="A48" s="15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34115271334644ADE709074D3870D0" ma:contentTypeVersion="21" ma:contentTypeDescription="Creare un nuovo documento." ma:contentTypeScope="" ma:versionID="49f8c7414914bc23112b8a8000052178">
  <xsd:schema xmlns:xsd="http://www.w3.org/2001/XMLSchema" xmlns:xs="http://www.w3.org/2001/XMLSchema" xmlns:p="http://schemas.microsoft.com/office/2006/metadata/properties" xmlns:ns2="c975cbae-e90c-45af-8aab-baf33a106700" xmlns:ns3="7f776045-a8e1-4255-8dbc-8e304c679298" targetNamespace="http://schemas.microsoft.com/office/2006/metadata/properties" ma:root="true" ma:fieldsID="29bbe571a8cb5a2ce6d9557072b3765a" ns2:_="" ns3:_="">
    <xsd:import namespace="c975cbae-e90c-45af-8aab-baf33a106700"/>
    <xsd:import namespace="7f776045-a8e1-4255-8dbc-8e304c67929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5cbae-e90c-45af-8aab-baf33a106700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Tag immagine_0" ma:hidden="true" ma:internalName="lcf76f155ced4ddcb4097134ff3c332f0" ma:readOnly="false">
      <xsd:simpleType>
        <xsd:restriction base="dms:Note"/>
      </xsd:simpleType>
    </xsd:element>
    <xsd:element name="MigrationWizIdPermissionLevels" ma:index="12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3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4" nillable="true" ma:displayName="MigrationWizIdSecurityGroups" ma:internalName="MigrationWizIdSecurityGroups">
      <xsd:simpleType>
        <xsd:restriction base="dms:Text"/>
      </xsd:simpleType>
    </xsd:element>
    <xsd:element name="lcf76f155ced4ddcb4097134ff3c332f1" ma:index="15" nillable="true" ma:displayName="Tag immagine_0" ma:hidden="true" ma:internalName="lcf76f155ced4ddcb4097134ff3c332f1" ma:readOnly="false">
      <xsd:simpleType>
        <xsd:restriction base="dms:Note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8639025c-8231-466c-824a-4db0d97fce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76045-a8e1-4255-8dbc-8e304c67929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7fac97b-ada2-413e-9f27-c3154ed846d7}" ma:internalName="TaxCatchAll" ma:showField="CatchAllData" ma:web="7f776045-a8e1-4255-8dbc-8e304c6792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75cbae-e90c-45af-8aab-baf33a106700">
      <Terms xmlns="http://schemas.microsoft.com/office/infopath/2007/PartnerControls"/>
    </lcf76f155ced4ddcb4097134ff3c332f>
    <MigrationWizIdPermissions xmlns="c975cbae-e90c-45af-8aab-baf33a106700" xsi:nil="true"/>
    <MigrationWizIdPermissionLevels xmlns="c975cbae-e90c-45af-8aab-baf33a106700" xsi:nil="true"/>
    <MigrationWizIdSecurityGroups xmlns="c975cbae-e90c-45af-8aab-baf33a106700" xsi:nil="true"/>
    <MigrationWizIdVersion xmlns="c975cbae-e90c-45af-8aab-baf33a106700" xsi:nil="true"/>
    <TaxCatchAll xmlns="7f776045-a8e1-4255-8dbc-8e304c679298" xsi:nil="true"/>
    <MigrationWizId xmlns="c975cbae-e90c-45af-8aab-baf33a106700" xsi:nil="true"/>
    <MigrationWizIdDocumentLibraryPermissions xmlns="c975cbae-e90c-45af-8aab-baf33a106700" xsi:nil="true"/>
    <lcf76f155ced4ddcb4097134ff3c332f1 xmlns="c975cbae-e90c-45af-8aab-baf33a106700" xsi:nil="true"/>
    <lcf76f155ced4ddcb4097134ff3c332f0 xmlns="c975cbae-e90c-45af-8aab-baf33a106700" xsi:nil="true"/>
  </documentManagement>
</p:properties>
</file>

<file path=customXml/itemProps1.xml><?xml version="1.0" encoding="utf-8"?>
<ds:datastoreItem xmlns:ds="http://schemas.openxmlformats.org/officeDocument/2006/customXml" ds:itemID="{8BA16790-D331-4809-99B6-6021974B01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DF74B4-E9F4-4A40-AAEF-BD4398584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75cbae-e90c-45af-8aab-baf33a106700"/>
    <ds:schemaRef ds:uri="7f776045-a8e1-4255-8dbc-8e304c6792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8ADAA2-1B4E-48E5-A648-DE390CA01E9C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7f776045-a8e1-4255-8dbc-8e304c679298"/>
    <ds:schemaRef ds:uri="c975cbae-e90c-45af-8aab-baf33a10670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1</vt:i4>
      </vt:variant>
    </vt:vector>
  </HeadingPairs>
  <TitlesOfParts>
    <vt:vector size="8" baseType="lpstr">
      <vt:lpstr>Classi allarmi RMT-STIG</vt:lpstr>
      <vt:lpstr>NEW-Allarmi</vt:lpstr>
      <vt:lpstr>Categorie Allarmi</vt:lpstr>
      <vt:lpstr>RIFERIMENTO</vt:lpstr>
      <vt:lpstr>Legenda colori</vt:lpstr>
      <vt:lpstr>EXPORT IRIS PROD 13-11-2024</vt:lpstr>
      <vt:lpstr>Tendine</vt:lpstr>
      <vt:lpstr>'Classi allarmi RMT-STIG'!Allarmi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Bisericaru Alexandru</cp:lastModifiedBy>
  <cp:revision/>
  <dcterms:created xsi:type="dcterms:W3CDTF">2019-05-23T14:59:51Z</dcterms:created>
  <dcterms:modified xsi:type="dcterms:W3CDTF">2024-12-09T08:19:15Z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0x010100B234115271334644ADE709074D3870D0</vt:lpwstr>
  </property>
  <property fmtid="{D5CDD505-2E9C-101B-9397-08002B2CF9AE}" pid="3" name="MSIP_Label_df741c83-a9ef-4d42-8d1b-247615bb1e96_Enabled">
    <vt:lpwstr>true</vt:lpwstr>
  </property>
  <property fmtid="{D5CDD505-2E9C-101B-9397-08002B2CF9AE}" pid="4" name="MSIP_Label_df741c83-a9ef-4d42-8d1b-247615bb1e96_SetDate">
    <vt:lpwstr>2021-12-23T15:32:55Z</vt:lpwstr>
  </property>
  <property fmtid="{D5CDD505-2E9C-101B-9397-08002B2CF9AE}" pid="5" name="MSIP_Label_df741c83-a9ef-4d42-8d1b-247615bb1e96_Method">
    <vt:lpwstr>Privileged</vt:lpwstr>
  </property>
  <property fmtid="{D5CDD505-2E9C-101B-9397-08002B2CF9AE}" pid="6" name="MSIP_Label_df741c83-a9ef-4d42-8d1b-247615bb1e96_Name">
    <vt:lpwstr>Internal use without footer</vt:lpwstr>
  </property>
  <property fmtid="{D5CDD505-2E9C-101B-9397-08002B2CF9AE}" pid="7" name="MSIP_Label_df741c83-a9ef-4d42-8d1b-247615bb1e96_SiteId">
    <vt:lpwstr>f57babab-d7b5-4fb8-8ddd-057ce542d039</vt:lpwstr>
  </property>
  <property fmtid="{D5CDD505-2E9C-101B-9397-08002B2CF9AE}" pid="8" name="MSIP_Label_df741c83-a9ef-4d42-8d1b-247615bb1e96_ActionId">
    <vt:lpwstr>5b06dbbd-f15f-433b-8269-5a1a1de1fff9</vt:lpwstr>
  </property>
  <property fmtid="{D5CDD505-2E9C-101B-9397-08002B2CF9AE}" pid="9" name="MSIP_Label_df741c83-a9ef-4d42-8d1b-247615bb1e96_ContentBits">
    <vt:lpwstr>0</vt:lpwstr>
  </property>
  <property fmtid="{D5CDD505-2E9C-101B-9397-08002B2CF9AE}" pid="10" name="MediaServiceImageTags">
    <vt:lpwstr/>
  </property>
  <property fmtid="{D5CDD505-2E9C-101B-9397-08002B2CF9AE}" pid="11" name="MSIP_Label_ea60d57e-af5b-4752-ac57-3e4f28ca11dc_Enabled">
    <vt:lpwstr>true</vt:lpwstr>
  </property>
  <property fmtid="{D5CDD505-2E9C-101B-9397-08002B2CF9AE}" pid="12" name="MSIP_Label_ea60d57e-af5b-4752-ac57-3e4f28ca11dc_SetDate">
    <vt:lpwstr>2022-09-13T15:40:46Z</vt:lpwstr>
  </property>
  <property fmtid="{D5CDD505-2E9C-101B-9397-08002B2CF9AE}" pid="13" name="MSIP_Label_ea60d57e-af5b-4752-ac57-3e4f28ca11dc_Method">
    <vt:lpwstr>Standard</vt:lpwstr>
  </property>
  <property fmtid="{D5CDD505-2E9C-101B-9397-08002B2CF9AE}" pid="14" name="MSIP_Label_ea60d57e-af5b-4752-ac57-3e4f28ca11dc_Name">
    <vt:lpwstr>ea60d57e-af5b-4752-ac57-3e4f28ca11dc</vt:lpwstr>
  </property>
  <property fmtid="{D5CDD505-2E9C-101B-9397-08002B2CF9AE}" pid="15" name="MSIP_Label_ea60d57e-af5b-4752-ac57-3e4f28ca11dc_SiteId">
    <vt:lpwstr>36da45f1-dd2c-4d1f-af13-5abe46b99921</vt:lpwstr>
  </property>
  <property fmtid="{D5CDD505-2E9C-101B-9397-08002B2CF9AE}" pid="16" name="MSIP_Label_ea60d57e-af5b-4752-ac57-3e4f28ca11dc_ActionId">
    <vt:lpwstr>f591891e-422e-46b6-ac37-58c9504b0ae9</vt:lpwstr>
  </property>
  <property fmtid="{D5CDD505-2E9C-101B-9397-08002B2CF9AE}" pid="17" name="MSIP_Label_ea60d57e-af5b-4752-ac57-3e4f28ca11dc_ContentBits">
    <vt:lpwstr>0</vt:lpwstr>
  </property>
  <property fmtid="{D5CDD505-2E9C-101B-9397-08002B2CF9AE}" pid="18" name="Order">
    <vt:r8>307000</vt:r8>
  </property>
  <property fmtid="{D5CDD505-2E9C-101B-9397-08002B2CF9AE}" pid="19" name="ComplianceAssetId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xd_Signature">
    <vt:bool>false</vt:bool>
  </property>
  <property fmtid="{D5CDD505-2E9C-101B-9397-08002B2CF9AE}" pid="23" name="xd_ProgID">
    <vt:lpwstr/>
  </property>
  <property fmtid="{D5CDD505-2E9C-101B-9397-08002B2CF9AE}" pid="24" name="_ColorHex">
    <vt:lpwstr/>
  </property>
  <property fmtid="{D5CDD505-2E9C-101B-9397-08002B2CF9AE}" pid="25" name="_Emoji">
    <vt:lpwstr/>
  </property>
  <property fmtid="{D5CDD505-2E9C-101B-9397-08002B2CF9AE}" pid="26" name="TemplateUrl">
    <vt:lpwstr/>
  </property>
  <property fmtid="{D5CDD505-2E9C-101B-9397-08002B2CF9AE}" pid="27" name="_ColorTag">
    <vt:lpwstr/>
  </property>
</Properties>
</file>